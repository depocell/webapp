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Reseller" sheetId="1" state="visible" r:id="rId1"/>
    <sheet name="Age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#,##0_ ;[Red]\-#,##0\ 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2"/>
      <sz val="11"/>
    </font>
    <font>
      <name val="Calibri"/>
      <family val="2"/>
      <b val="1"/>
      <sz val="12"/>
    </font>
    <font>
      <name val="Calibri"/>
      <family val="2"/>
      <b val="1"/>
      <sz val="12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</borders>
  <cellStyleXfs count="2">
    <xf numFmtId="0" fontId="1" fillId="0" borderId="0"/>
    <xf numFmtId="41" fontId="1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5" fontId="0" fillId="0" borderId="1" pivotButton="0" quotePrefix="0" xfId="0"/>
    <xf numFmtId="0" fontId="0" fillId="2" borderId="2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15" fontId="0" fillId="2" borderId="1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0" fillId="0" borderId="5" applyAlignment="1" pivotButton="0" quotePrefix="0" xfId="0">
      <alignment horizontal="center" vertical="center"/>
    </xf>
    <xf numFmtId="15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0" fontId="0" fillId="2" borderId="1" pivotButton="0" quotePrefix="0" xfId="0"/>
    <xf numFmtId="164" fontId="3" fillId="0" borderId="3" applyAlignment="1" pivotButton="0" quotePrefix="0" xfId="1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1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0" borderId="3" applyAlignment="1" pivotButton="0" quotePrefix="0" xfId="1">
      <alignment horizontal="center" vertical="center"/>
    </xf>
    <xf numFmtId="164" fontId="0" fillId="0" borderId="0" applyAlignment="1" pivotButton="0" quotePrefix="0" xfId="0">
      <alignment horizontal="center"/>
    </xf>
    <xf numFmtId="165" fontId="5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Comma [0]" xfId="1" builtinId="6"/>
  </cellStyles>
  <dxfs count="78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numFmt numFmtId="19" formatCode="dd/mm/yyyy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left" vertical="bottom"/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lor auto="1"/>
        <sz val="12"/>
        <vertAlign val="baseline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 style="thin">
          <color theme="8"/>
        </top>
        <bottom/>
      </border>
    </dxf>
    <dxf>
      <numFmt numFmtId="33" formatCode="_-* #,##0_-;\-* #,##0_-;_-* &quot;-&quot;_-;_-@_-"/>
      <alignment horizont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center" vertical="center"/>
      <border>
        <left/>
        <right/>
        <top style="thin">
          <color theme="8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alignment horizontal="left" vertical="center"/>
      <border>
        <left/>
        <right/>
        <top style="thin">
          <color theme="8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border>
        <left/>
        <right/>
        <top style="thin">
          <color theme="8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border>
        <left/>
        <right/>
        <top style="thin">
          <color theme="8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20" formatCode="dd\-mmm\-yy"/>
      <border>
        <left/>
        <right/>
        <top style="thin">
          <color theme="8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border outline="0">
        <left/>
        <right/>
        <top style="thin">
          <color theme="8"/>
        </top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border>
        <left/>
        <right/>
        <top style="thin">
          <color theme="8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center"/>
      <border>
        <left/>
        <right/>
        <top style="thin">
          <color theme="8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center"/>
      <border>
        <left style="thin">
          <color theme="8"/>
        </left>
        <right/>
        <top style="thin">
          <color theme="8"/>
        </top>
        <bottom/>
        <vertical/>
        <horizontal/>
      </border>
    </dxf>
    <dxf>
      <border outline="0">
        <top style="thin">
          <color theme="4"/>
        </top>
      </border>
    </dxf>
    <dxf>
      <font>
        <name val="Calibri"/>
        <family val="2"/>
        <b val="1"/>
        <strike val="0"/>
        <outline val="0"/>
        <shadow val="0"/>
        <condense val="0"/>
        <color theme="2"/>
        <extend val="0"/>
        <sz val="11"/>
        <vertAlign val="baseline"/>
      </font>
      <fill>
        <patternFill patternType="solid">
          <fgColor theme="4"/>
          <bgColor theme="4"/>
        </patternFill>
      </fill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3" displayName="Table3" ref="A1:L2588" headerRowCount="1" totalsRowShown="0" headerRowDxfId="77" tableBorderDxfId="76">
  <tableColumns count="12">
    <tableColumn id="1" name="Kode Reseller" dataDxfId="75"/>
    <tableColumn id="2" name="Reseller Name" dataDxfId="74"/>
    <tableColumn id="3" name="Group" dataDxfId="73"/>
    <tableColumn id="4" name="Upline" dataDxfId="72"/>
    <tableColumn id="5" name="Daftar" dataDxfId="71"/>
    <tableColumn id="6" name="Leveling" dataDxfId="70"/>
    <tableColumn id="7" name="Agen id" dataDxfId="69"/>
    <tableColumn id="8" name="Agen Name" dataDxfId="68">
      <calculatedColumnFormula>UPPER(Table3[[#This Row],[Agen id]]&amp;"-"&amp;VLOOKUP(Table3[[#This Row],[Agen id]],A:B,2,0)&amp;"("&amp;Table3[[#This Row],[Short]]&amp;")")</calculatedColumnFormula>
    </tableColumn>
    <tableColumn id="9" name="Tipe"/>
    <tableColumn id="10" name="Cabang" dataDxfId="67">
      <calculatedColumnFormula>VLOOKUP(Table3[[#This Row],[Agen id]],Agen!A:C,3,0)</calculatedColumnFormula>
    </tableColumn>
    <tableColumn id="11" name="Short" dataDxfId="66">
      <calculatedColumnFormula>TRIM(LEFT(Table3[[#This Row],[Group]],2))</calculatedColumnFormula>
    </tableColumn>
    <tableColumn id="12" name="Sales" dataDxfId="6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4" displayName="Table4" ref="A1:N1703" headerRowCount="1" totalsRowShown="0" headerRowDxfId="64" dataDxfId="63">
  <tableColumns count="14">
    <tableColumn id="1" name="AGEN ID" dataDxfId="62"/>
    <tableColumn id="2" name="AGEN NAME" dataDxfId="61">
      <calculatedColumnFormula>VLOOKUP(A2,Reseller!G:H,2,0)</calculatedColumnFormula>
    </tableColumn>
    <tableColumn id="3" name="CABANG" dataDxfId="60"/>
    <tableColumn id="4" name="TYPE" dataDxfId="59"/>
    <tableColumn id="5" name="SCO" dataDxfId="58"/>
    <tableColumn id="6" name="DSO" dataDxfId="57"/>
    <tableColumn id="7" name="Daftar" dataDxfId="56">
      <calculatedColumnFormula>VLOOKUP(Table4[[#This Row],[AGEN ID]],Reseller!A:E,5,0)</calculatedColumnFormula>
    </tableColumn>
    <tableColumn id="8" name="LOCATION" dataDxfId="55"/>
    <tableColumn id="9" name="KOTA/KAB" dataDxfId="54"/>
    <tableColumn id="10" name="KECAMATAN" dataDxfId="53"/>
    <tableColumn id="11" name="KELURAHAN" dataDxfId="52"/>
    <tableColumn id="12" name="JADWAL" dataDxfId="51"/>
    <tableColumn id="13" name="LIMIT" dataDxfId="50"/>
    <tableColumn id="14" name="STATUS" dataDxfId="4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88"/>
  <sheetViews>
    <sheetView tabSelected="1" topLeftCell="A2568" workbookViewId="0">
      <selection activeCell="G2588" sqref="G2588"/>
    </sheetView>
  </sheetViews>
  <sheetFormatPr baseColWidth="8" defaultRowHeight="15"/>
  <cols>
    <col width="15.42578125" customWidth="1" min="1" max="1"/>
    <col width="28.5703125" bestFit="1" customWidth="1" min="2" max="2"/>
    <col width="20.28515625" bestFit="1" customWidth="1" min="3" max="3"/>
    <col width="17.7109375" bestFit="1" customWidth="1" min="4" max="4"/>
    <col width="10.140625" bestFit="1" customWidth="1" min="5" max="5"/>
    <col width="10.85546875" bestFit="1" customWidth="1" min="6" max="6"/>
    <col width="9.85546875" customWidth="1" min="7" max="7"/>
    <col width="45.28515625" bestFit="1" customWidth="1" min="8" max="8"/>
    <col width="7" customWidth="1" min="9" max="9"/>
    <col width="9.5703125" customWidth="1" min="10" max="10"/>
    <col width="7.85546875" customWidth="1" min="11" max="11"/>
    <col width="10.85546875" bestFit="1" customWidth="1" min="12" max="12"/>
  </cols>
  <sheetData>
    <row r="1">
      <c r="A1" s="26" t="inlineStr">
        <is>
          <t>Kode Reseller</t>
        </is>
      </c>
      <c r="B1" s="27" t="inlineStr">
        <is>
          <t>Reseller Name</t>
        </is>
      </c>
      <c r="C1" s="27" t="inlineStr">
        <is>
          <t>Group</t>
        </is>
      </c>
      <c r="D1" s="27" t="inlineStr">
        <is>
          <t>Upline</t>
        </is>
      </c>
      <c r="E1" s="27" t="inlineStr">
        <is>
          <t>Daftar</t>
        </is>
      </c>
      <c r="F1" s="27" t="inlineStr">
        <is>
          <t>Leveling</t>
        </is>
      </c>
      <c r="G1" s="27" t="inlineStr">
        <is>
          <t>Agen id</t>
        </is>
      </c>
      <c r="H1" s="27" t="inlineStr">
        <is>
          <t>Agen Name</t>
        </is>
      </c>
      <c r="I1" s="27" t="inlineStr">
        <is>
          <t>Tipe</t>
        </is>
      </c>
      <c r="J1" s="27" t="inlineStr">
        <is>
          <t>Cabang</t>
        </is>
      </c>
      <c r="K1" s="27" t="inlineStr">
        <is>
          <t>Short</t>
        </is>
      </c>
      <c r="L1" s="28" t="inlineStr">
        <is>
          <t>Sales</t>
        </is>
      </c>
    </row>
    <row r="2">
      <c r="A2" s="5" t="inlineStr">
        <is>
          <t>OP00011</t>
        </is>
      </c>
      <c r="B2" s="6" t="inlineStr">
        <is>
          <t>Rizly</t>
        </is>
      </c>
      <c r="C2" s="7" t="inlineStr">
        <is>
          <t>MK - Marketing</t>
        </is>
      </c>
      <c r="D2" s="1" t="inlineStr">
        <is>
          <t>OP00002</t>
        </is>
      </c>
      <c r="E2" s="8" t="n">
        <v>44702.70138888889</v>
      </c>
      <c r="F2" s="7" t="inlineStr">
        <is>
          <t>AGEN</t>
        </is>
      </c>
      <c r="G2" s="18" t="inlineStr">
        <is>
          <t>OP00011</t>
        </is>
      </c>
      <c r="H2" s="19">
        <f>UPPER(Table3[[#This Row],[Agen id]]&amp;"-"&amp;VLOOKUP(Table3[[#This Row],[Agen id]],A:B,2,0)&amp;"("&amp;Table3[[#This Row],[Short]]&amp;")")</f>
        <v/>
      </c>
      <c r="J2" s="7">
        <f>VLOOKUP(Table3[[#This Row],[Agen id]],Agen!A:C,3,0)</f>
        <v/>
      </c>
      <c r="K2" s="36">
        <f>TRIM(LEFT(Table3[[#This Row],[Group]],2))</f>
        <v/>
      </c>
      <c r="L2" s="3" t="inlineStr">
        <is>
          <t>NON SALES</t>
        </is>
      </c>
    </row>
    <row r="3">
      <c r="A3" s="5" t="inlineStr">
        <is>
          <t>OP00012</t>
        </is>
      </c>
      <c r="B3" s="6" t="inlineStr">
        <is>
          <t>Sans Cell</t>
        </is>
      </c>
      <c r="C3" s="7" t="inlineStr">
        <is>
          <t>A - Agen</t>
        </is>
      </c>
      <c r="D3" s="1" t="inlineStr">
        <is>
          <t>OP00002</t>
        </is>
      </c>
      <c r="E3" s="8" t="n">
        <v>44702.74930555555</v>
      </c>
      <c r="F3" s="7" t="inlineStr">
        <is>
          <t>AGEN</t>
        </is>
      </c>
      <c r="G3" s="18" t="inlineStr">
        <is>
          <t>OP00012</t>
        </is>
      </c>
      <c r="H3" s="19">
        <f>UPPER(Table3[[#This Row],[Agen id]]&amp;"-"&amp;VLOOKUP(Table3[[#This Row],[Agen id]],A:B,2,0)&amp;"("&amp;Table3[[#This Row],[Short]]&amp;")")</f>
        <v/>
      </c>
      <c r="J3" s="7">
        <f>VLOOKUP(Table3[[#This Row],[Agen id]],Agen!A:C,3,0)</f>
        <v/>
      </c>
      <c r="K3" s="37">
        <f>TRIM(LEFT(Table3[[#This Row],[Group]],2))</f>
        <v/>
      </c>
      <c r="L3" s="3" t="inlineStr">
        <is>
          <t>NON SALES</t>
        </is>
      </c>
    </row>
    <row r="4">
      <c r="A4" s="5" t="inlineStr">
        <is>
          <t>OP00013</t>
        </is>
      </c>
      <c r="B4" s="6" t="inlineStr">
        <is>
          <t>SRH CELL</t>
        </is>
      </c>
      <c r="C4" s="7" t="inlineStr">
        <is>
          <t>A - Agen</t>
        </is>
      </c>
      <c r="D4" s="1" t="inlineStr">
        <is>
          <t>OP00002</t>
        </is>
      </c>
      <c r="E4" s="8" t="n">
        <v>44704.43194444444</v>
      </c>
      <c r="F4" s="7" t="inlineStr">
        <is>
          <t>AGEN</t>
        </is>
      </c>
      <c r="G4" s="18" t="inlineStr">
        <is>
          <t>OP00013</t>
        </is>
      </c>
      <c r="H4" s="19">
        <f>UPPER(Table3[[#This Row],[Agen id]]&amp;"-"&amp;VLOOKUP(Table3[[#This Row],[Agen id]],A:B,2,0)&amp;"("&amp;Table3[[#This Row],[Short]]&amp;")")</f>
        <v/>
      </c>
      <c r="J4" s="7">
        <f>VLOOKUP(Table3[[#This Row],[Agen id]],Agen!A:C,3,0)</f>
        <v/>
      </c>
      <c r="K4" s="37">
        <f>TRIM(LEFT(Table3[[#This Row],[Group]],2))</f>
        <v/>
      </c>
      <c r="L4" s="3" t="inlineStr">
        <is>
          <t>NON SALES</t>
        </is>
      </c>
    </row>
    <row r="5">
      <c r="A5" s="5" t="inlineStr">
        <is>
          <t>OP00014</t>
        </is>
      </c>
      <c r="B5" s="6" t="inlineStr">
        <is>
          <t>Data Cellular</t>
        </is>
      </c>
      <c r="C5" s="7" t="inlineStr">
        <is>
          <t>AT1 - Agen Tangerang</t>
        </is>
      </c>
      <c r="D5" s="1" t="inlineStr">
        <is>
          <t>OP00002</t>
        </is>
      </c>
      <c r="E5" s="8" t="n">
        <v>44704.43541666667</v>
      </c>
      <c r="F5" s="7" t="inlineStr">
        <is>
          <t>AGEN</t>
        </is>
      </c>
      <c r="G5" s="18" t="inlineStr">
        <is>
          <t>OP00014</t>
        </is>
      </c>
      <c r="H5" s="19">
        <f>UPPER(Table3[[#This Row],[Agen id]]&amp;"-"&amp;VLOOKUP(Table3[[#This Row],[Agen id]],A:B,2,0)&amp;"("&amp;Table3[[#This Row],[Short]]&amp;")")</f>
        <v/>
      </c>
      <c r="J5" s="7">
        <f>VLOOKUP(Table3[[#This Row],[Agen id]],Agen!A:C,3,0)</f>
        <v/>
      </c>
      <c r="K5" s="37">
        <f>TRIM(LEFT(Table3[[#This Row],[Group]],2))</f>
        <v/>
      </c>
      <c r="L5" s="3" t="inlineStr">
        <is>
          <t>NON SALES</t>
        </is>
      </c>
    </row>
    <row r="6">
      <c r="A6" s="5" t="inlineStr">
        <is>
          <t>OP00015</t>
        </is>
      </c>
      <c r="B6" s="6" t="inlineStr">
        <is>
          <t>Naira Cell</t>
        </is>
      </c>
      <c r="C6" s="7" t="inlineStr">
        <is>
          <t>AV - Agen Verified</t>
        </is>
      </c>
      <c r="D6" s="1" t="inlineStr">
        <is>
          <t>OP00002</t>
        </is>
      </c>
      <c r="E6" s="8" t="n">
        <v>44705.45069444444</v>
      </c>
      <c r="F6" s="7" t="inlineStr">
        <is>
          <t>AGEN</t>
        </is>
      </c>
      <c r="G6" s="18" t="inlineStr">
        <is>
          <t>OP00015</t>
        </is>
      </c>
      <c r="H6" s="19">
        <f>UPPER(Table3[[#This Row],[Agen id]]&amp;"-"&amp;VLOOKUP(Table3[[#This Row],[Agen id]],A:B,2,0)&amp;"("&amp;Table3[[#This Row],[Short]]&amp;")")</f>
        <v/>
      </c>
      <c r="J6" s="7">
        <f>VLOOKUP(Table3[[#This Row],[Agen id]],Agen!A:C,3,0)</f>
        <v/>
      </c>
      <c r="K6" s="37">
        <f>TRIM(LEFT(Table3[[#This Row],[Group]],2))</f>
        <v/>
      </c>
      <c r="L6" s="3" t="inlineStr">
        <is>
          <t>NON SALES</t>
        </is>
      </c>
    </row>
    <row r="7">
      <c r="A7" s="5" t="inlineStr">
        <is>
          <t>OP00016</t>
        </is>
      </c>
      <c r="B7" s="6" t="inlineStr">
        <is>
          <t>Sabiq Cell</t>
        </is>
      </c>
      <c r="C7" s="7" t="inlineStr">
        <is>
          <t>A - Agen</t>
        </is>
      </c>
      <c r="D7" s="1" t="inlineStr">
        <is>
          <t>OP00002</t>
        </is>
      </c>
      <c r="E7" s="8" t="n">
        <v>44705.45138888889</v>
      </c>
      <c r="F7" s="7" t="inlineStr">
        <is>
          <t>AGEN</t>
        </is>
      </c>
      <c r="G7" s="18" t="inlineStr">
        <is>
          <t>OP00016</t>
        </is>
      </c>
      <c r="H7" s="19">
        <f>UPPER(Table3[[#This Row],[Agen id]]&amp;"-"&amp;VLOOKUP(Table3[[#This Row],[Agen id]],A:B,2,0)&amp;"("&amp;Table3[[#This Row],[Short]]&amp;")")</f>
        <v/>
      </c>
      <c r="J7" s="7">
        <f>VLOOKUP(Table3[[#This Row],[Agen id]],Agen!A:C,3,0)</f>
        <v/>
      </c>
      <c r="K7" s="37">
        <f>TRIM(LEFT(Table3[[#This Row],[Group]],2))</f>
        <v/>
      </c>
      <c r="L7" s="3" t="inlineStr">
        <is>
          <t>NON SALES</t>
        </is>
      </c>
    </row>
    <row r="8">
      <c r="A8" s="5" t="inlineStr">
        <is>
          <t>OP00018</t>
        </is>
      </c>
      <c r="B8" s="6" t="inlineStr">
        <is>
          <t>OkiOke Cell</t>
        </is>
      </c>
      <c r="C8" s="7" t="inlineStr">
        <is>
          <t>A - Agen</t>
        </is>
      </c>
      <c r="D8" s="1" t="inlineStr">
        <is>
          <t>OP00002</t>
        </is>
      </c>
      <c r="E8" s="8" t="n">
        <v>44708.61111111111</v>
      </c>
      <c r="F8" s="7" t="inlineStr">
        <is>
          <t>AGEN</t>
        </is>
      </c>
      <c r="G8" s="18" t="inlineStr">
        <is>
          <t>OP00018</t>
        </is>
      </c>
      <c r="H8" s="19">
        <f>UPPER(Table3[[#This Row],[Agen id]]&amp;"-"&amp;VLOOKUP(Table3[[#This Row],[Agen id]],A:B,2,0)&amp;"("&amp;Table3[[#This Row],[Short]]&amp;")")</f>
        <v/>
      </c>
      <c r="J8" s="7">
        <f>VLOOKUP(Table3[[#This Row],[Agen id]],Agen!A:C,3,0)</f>
        <v/>
      </c>
      <c r="K8" s="37">
        <f>TRIM(LEFT(Table3[[#This Row],[Group]],2))</f>
        <v/>
      </c>
      <c r="L8" s="3" t="inlineStr">
        <is>
          <t>NON SALES</t>
        </is>
      </c>
    </row>
    <row r="9">
      <c r="A9" s="5" t="inlineStr">
        <is>
          <t>OP00020</t>
        </is>
      </c>
      <c r="B9" s="6" t="inlineStr">
        <is>
          <t>Cantik cell</t>
        </is>
      </c>
      <c r="C9" s="7" t="inlineStr">
        <is>
          <t>A - Agen</t>
        </is>
      </c>
      <c r="D9" s="1" t="inlineStr">
        <is>
          <t>OP00002</t>
        </is>
      </c>
      <c r="E9" s="8" t="n">
        <v>44714.40694444445</v>
      </c>
      <c r="F9" s="7" t="inlineStr">
        <is>
          <t>AGEN</t>
        </is>
      </c>
      <c r="G9" s="18" t="inlineStr">
        <is>
          <t>OP00020</t>
        </is>
      </c>
      <c r="H9" s="19">
        <f>UPPER(Table3[[#This Row],[Agen id]]&amp;"-"&amp;VLOOKUP(Table3[[#This Row],[Agen id]],A:B,2,0)&amp;"("&amp;Table3[[#This Row],[Short]]&amp;")")</f>
        <v/>
      </c>
      <c r="J9" s="7">
        <f>VLOOKUP(Table3[[#This Row],[Agen id]],Agen!A:C,3,0)</f>
        <v/>
      </c>
      <c r="K9" s="37">
        <f>TRIM(LEFT(Table3[[#This Row],[Group]],2))</f>
        <v/>
      </c>
      <c r="L9" s="3" t="inlineStr">
        <is>
          <t>NON SALES</t>
        </is>
      </c>
    </row>
    <row r="10">
      <c r="A10" s="5" t="inlineStr">
        <is>
          <t>OP00022</t>
        </is>
      </c>
      <c r="B10" s="6" t="inlineStr">
        <is>
          <t>Fazila store</t>
        </is>
      </c>
      <c r="C10" s="7" t="inlineStr">
        <is>
          <t>A - Agen</t>
        </is>
      </c>
      <c r="D10" s="1" t="inlineStr">
        <is>
          <t>OP00002</t>
        </is>
      </c>
      <c r="E10" s="8" t="n">
        <v>44714.41944444444</v>
      </c>
      <c r="F10" s="7" t="inlineStr">
        <is>
          <t>AGEN</t>
        </is>
      </c>
      <c r="G10" s="18" t="inlineStr">
        <is>
          <t>OP00022</t>
        </is>
      </c>
      <c r="H10" s="19">
        <f>UPPER(Table3[[#This Row],[Agen id]]&amp;"-"&amp;VLOOKUP(Table3[[#This Row],[Agen id]],A:B,2,0)&amp;"("&amp;Table3[[#This Row],[Short]]&amp;")")</f>
        <v/>
      </c>
      <c r="J10" s="7">
        <f>VLOOKUP(Table3[[#This Row],[Agen id]],Agen!A:C,3,0)</f>
        <v/>
      </c>
      <c r="K10" s="37">
        <f>TRIM(LEFT(Table3[[#This Row],[Group]],2))</f>
        <v/>
      </c>
      <c r="L10" s="3" t="inlineStr">
        <is>
          <t>NON SALES</t>
        </is>
      </c>
    </row>
    <row r="11">
      <c r="A11" s="5" t="inlineStr">
        <is>
          <t>OP00023</t>
        </is>
      </c>
      <c r="B11" s="6" t="inlineStr">
        <is>
          <t>Mp cell</t>
        </is>
      </c>
      <c r="C11" s="7" t="inlineStr">
        <is>
          <t>MK - Marketing</t>
        </is>
      </c>
      <c r="D11" s="1" t="inlineStr">
        <is>
          <t>OP00002</t>
        </is>
      </c>
      <c r="E11" s="8" t="n">
        <v>44714.46597222222</v>
      </c>
      <c r="F11" s="7" t="inlineStr">
        <is>
          <t>AGEN</t>
        </is>
      </c>
      <c r="G11" s="18" t="inlineStr">
        <is>
          <t>OP00023</t>
        </is>
      </c>
      <c r="H11" s="19">
        <f>UPPER(Table3[[#This Row],[Agen id]]&amp;"-"&amp;VLOOKUP(Table3[[#This Row],[Agen id]],A:B,2,0)&amp;"("&amp;Table3[[#This Row],[Short]]&amp;")")</f>
        <v/>
      </c>
      <c r="J11" s="7">
        <f>VLOOKUP(Table3[[#This Row],[Agen id]],Agen!A:C,3,0)</f>
        <v/>
      </c>
      <c r="K11" s="37">
        <f>TRIM(LEFT(Table3[[#This Row],[Group]],2))</f>
        <v/>
      </c>
      <c r="L11" s="3" t="inlineStr">
        <is>
          <t>NON SALES</t>
        </is>
      </c>
    </row>
    <row r="12">
      <c r="A12" s="5" t="inlineStr">
        <is>
          <t>OP00026</t>
        </is>
      </c>
      <c r="B12" s="6" t="inlineStr">
        <is>
          <t>DIKA CELL</t>
        </is>
      </c>
      <c r="C12" s="7" t="inlineStr">
        <is>
          <t>A - Agen</t>
        </is>
      </c>
      <c r="D12" s="1" t="inlineStr">
        <is>
          <t>OP00002</t>
        </is>
      </c>
      <c r="E12" s="8" t="n">
        <v>44714.59513888889</v>
      </c>
      <c r="F12" s="7" t="inlineStr">
        <is>
          <t>AGEN</t>
        </is>
      </c>
      <c r="G12" s="18" t="inlineStr">
        <is>
          <t>OP00026</t>
        </is>
      </c>
      <c r="H12" s="19">
        <f>UPPER(Table3[[#This Row],[Agen id]]&amp;"-"&amp;VLOOKUP(Table3[[#This Row],[Agen id]],A:B,2,0)&amp;"("&amp;Table3[[#This Row],[Short]]&amp;")")</f>
        <v/>
      </c>
      <c r="J12" s="7">
        <f>VLOOKUP(Table3[[#This Row],[Agen id]],Agen!A:C,3,0)</f>
        <v/>
      </c>
      <c r="K12" s="37">
        <f>TRIM(LEFT(Table3[[#This Row],[Group]],2))</f>
        <v/>
      </c>
      <c r="L12" s="3" t="inlineStr">
        <is>
          <t>NON SALES</t>
        </is>
      </c>
    </row>
    <row r="13">
      <c r="A13" s="5" t="inlineStr">
        <is>
          <t>OP00030</t>
        </is>
      </c>
      <c r="B13" s="6" t="inlineStr">
        <is>
          <t>Usup</t>
        </is>
      </c>
      <c r="C13" s="7" t="inlineStr">
        <is>
          <t>A - Agen</t>
        </is>
      </c>
      <c r="D13" s="1" t="inlineStr">
        <is>
          <t>OP00002</t>
        </is>
      </c>
      <c r="E13" s="8" t="n">
        <v>44716.41319444445</v>
      </c>
      <c r="F13" s="7" t="inlineStr">
        <is>
          <t>AGEN</t>
        </is>
      </c>
      <c r="G13" s="18" t="inlineStr">
        <is>
          <t>OP00030</t>
        </is>
      </c>
      <c r="H13" s="19">
        <f>UPPER(Table3[[#This Row],[Agen id]]&amp;"-"&amp;VLOOKUP(Table3[[#This Row],[Agen id]],A:B,2,0)&amp;"("&amp;Table3[[#This Row],[Short]]&amp;")")</f>
        <v/>
      </c>
      <c r="J13" s="7">
        <f>VLOOKUP(Table3[[#This Row],[Agen id]],Agen!A:C,3,0)</f>
        <v/>
      </c>
      <c r="K13" s="37">
        <f>TRIM(LEFT(Table3[[#This Row],[Group]],2))</f>
        <v/>
      </c>
      <c r="L13" s="3" t="inlineStr">
        <is>
          <t>NON SALES</t>
        </is>
      </c>
    </row>
    <row r="14">
      <c r="A14" s="5" t="inlineStr">
        <is>
          <t>OP00031</t>
        </is>
      </c>
      <c r="B14" s="6" t="inlineStr">
        <is>
          <t>Uzumaki Cell</t>
        </is>
      </c>
      <c r="C14" s="7" t="inlineStr">
        <is>
          <t>MK - Marketing</t>
        </is>
      </c>
      <c r="D14" s="1" t="inlineStr">
        <is>
          <t>OP00002</t>
        </is>
      </c>
      <c r="E14" s="8" t="n">
        <v>44716.42083333333</v>
      </c>
      <c r="F14" s="7" t="inlineStr">
        <is>
          <t>AGEN</t>
        </is>
      </c>
      <c r="G14" s="18" t="inlineStr">
        <is>
          <t>OP00031</t>
        </is>
      </c>
      <c r="H14" s="19">
        <f>UPPER(Table3[[#This Row],[Agen id]]&amp;"-"&amp;VLOOKUP(Table3[[#This Row],[Agen id]],A:B,2,0)&amp;"("&amp;Table3[[#This Row],[Short]]&amp;")")</f>
        <v/>
      </c>
      <c r="J14" s="7">
        <f>VLOOKUP(Table3[[#This Row],[Agen id]],Agen!A:C,3,0)</f>
        <v/>
      </c>
      <c r="K14" s="37">
        <f>TRIM(LEFT(Table3[[#This Row],[Group]],2))</f>
        <v/>
      </c>
      <c r="L14" s="3" t="inlineStr">
        <is>
          <t>NON SALES</t>
        </is>
      </c>
    </row>
    <row r="15">
      <c r="A15" s="5" t="inlineStr">
        <is>
          <t>OP00032</t>
        </is>
      </c>
      <c r="B15" s="6" t="inlineStr">
        <is>
          <t>Melasuri</t>
        </is>
      </c>
      <c r="C15" s="7" t="inlineStr">
        <is>
          <t>A - Agen</t>
        </is>
      </c>
      <c r="D15" s="1" t="inlineStr">
        <is>
          <t>OP00002</t>
        </is>
      </c>
      <c r="E15" s="8" t="n">
        <v>44716.50069444445</v>
      </c>
      <c r="F15" s="7" t="inlineStr">
        <is>
          <t>AGEN</t>
        </is>
      </c>
      <c r="G15" s="18" t="inlineStr">
        <is>
          <t>OP00032</t>
        </is>
      </c>
      <c r="H15" s="19">
        <f>UPPER(Table3[[#This Row],[Agen id]]&amp;"-"&amp;VLOOKUP(Table3[[#This Row],[Agen id]],A:B,2,0)&amp;"("&amp;Table3[[#This Row],[Short]]&amp;")")</f>
        <v/>
      </c>
      <c r="J15" s="7">
        <f>VLOOKUP(Table3[[#This Row],[Agen id]],Agen!A:C,3,0)</f>
        <v/>
      </c>
      <c r="K15" s="37">
        <f>TRIM(LEFT(Table3[[#This Row],[Group]],2))</f>
        <v/>
      </c>
      <c r="L15" s="3" t="inlineStr">
        <is>
          <t>NON SALES</t>
        </is>
      </c>
    </row>
    <row r="16">
      <c r="A16" s="5" t="inlineStr">
        <is>
          <t>OP00033</t>
        </is>
      </c>
      <c r="B16" s="6" t="inlineStr">
        <is>
          <t>Kanakids</t>
        </is>
      </c>
      <c r="C16" s="7" t="inlineStr">
        <is>
          <t>A - Agen</t>
        </is>
      </c>
      <c r="D16" s="1" t="inlineStr">
        <is>
          <t>OP00002</t>
        </is>
      </c>
      <c r="E16" s="8" t="n">
        <v>44716.64930555555</v>
      </c>
      <c r="F16" s="7" t="inlineStr">
        <is>
          <t>AGEN</t>
        </is>
      </c>
      <c r="G16" s="18" t="inlineStr">
        <is>
          <t>OP00033</t>
        </is>
      </c>
      <c r="H16" s="19">
        <f>UPPER(Table3[[#This Row],[Agen id]]&amp;"-"&amp;VLOOKUP(Table3[[#This Row],[Agen id]],A:B,2,0)&amp;"("&amp;Table3[[#This Row],[Short]]&amp;")")</f>
        <v/>
      </c>
      <c r="J16" s="7">
        <f>VLOOKUP(Table3[[#This Row],[Agen id]],Agen!A:C,3,0)</f>
        <v/>
      </c>
      <c r="K16" s="37">
        <f>TRIM(LEFT(Table3[[#This Row],[Group]],2))</f>
        <v/>
      </c>
      <c r="L16" s="3" t="inlineStr">
        <is>
          <t>NON SALES</t>
        </is>
      </c>
    </row>
    <row r="17">
      <c r="A17" s="5" t="inlineStr">
        <is>
          <t>OP00036</t>
        </is>
      </c>
      <c r="B17" s="6" t="inlineStr">
        <is>
          <t>Djc</t>
        </is>
      </c>
      <c r="C17" s="7" t="inlineStr">
        <is>
          <t>A - Agen</t>
        </is>
      </c>
      <c r="D17" s="1" t="inlineStr">
        <is>
          <t>OP00002</t>
        </is>
      </c>
      <c r="E17" s="8" t="n">
        <v>44717.40555555555</v>
      </c>
      <c r="F17" s="7" t="inlineStr">
        <is>
          <t>AGEN</t>
        </is>
      </c>
      <c r="G17" s="18" t="inlineStr">
        <is>
          <t>OP00036</t>
        </is>
      </c>
      <c r="H17" s="19">
        <f>UPPER(Table3[[#This Row],[Agen id]]&amp;"-"&amp;VLOOKUP(Table3[[#This Row],[Agen id]],A:B,2,0)&amp;"("&amp;Table3[[#This Row],[Short]]&amp;")")</f>
        <v/>
      </c>
      <c r="J17" s="7">
        <f>VLOOKUP(Table3[[#This Row],[Agen id]],Agen!A:C,3,0)</f>
        <v/>
      </c>
      <c r="K17" s="37">
        <f>TRIM(LEFT(Table3[[#This Row],[Group]],2))</f>
        <v/>
      </c>
      <c r="L17" s="3" t="inlineStr">
        <is>
          <t>NON SALES</t>
        </is>
      </c>
    </row>
    <row r="18">
      <c r="A18" s="5" t="inlineStr">
        <is>
          <t>OP00037</t>
        </is>
      </c>
      <c r="B18" s="6" t="inlineStr">
        <is>
          <t>ACHMAD EFENDI</t>
        </is>
      </c>
      <c r="C18" s="7" t="inlineStr">
        <is>
          <t>A - Agen</t>
        </is>
      </c>
      <c r="D18" s="1" t="inlineStr">
        <is>
          <t>OP00002</t>
        </is>
      </c>
      <c r="E18" s="8" t="n">
        <v>44717.4375</v>
      </c>
      <c r="F18" s="7" t="inlineStr">
        <is>
          <t>AGEN</t>
        </is>
      </c>
      <c r="G18" s="18" t="inlineStr">
        <is>
          <t>OP00037</t>
        </is>
      </c>
      <c r="H18" s="19">
        <f>UPPER(Table3[[#This Row],[Agen id]]&amp;"-"&amp;VLOOKUP(Table3[[#This Row],[Agen id]],A:B,2,0)&amp;"("&amp;Table3[[#This Row],[Short]]&amp;")")</f>
        <v/>
      </c>
      <c r="J18" s="7">
        <f>VLOOKUP(Table3[[#This Row],[Agen id]],Agen!A:C,3,0)</f>
        <v/>
      </c>
      <c r="K18" s="37">
        <f>TRIM(LEFT(Table3[[#This Row],[Group]],2))</f>
        <v/>
      </c>
      <c r="L18" s="3" t="inlineStr">
        <is>
          <t>NON SALES</t>
        </is>
      </c>
    </row>
    <row r="19">
      <c r="A19" s="5" t="inlineStr">
        <is>
          <t>OP00038</t>
        </is>
      </c>
      <c r="B19" s="6" t="inlineStr">
        <is>
          <t>Kurnia cell</t>
        </is>
      </c>
      <c r="C19" s="7" t="inlineStr">
        <is>
          <t>A - Agen</t>
        </is>
      </c>
      <c r="D19" s="1" t="inlineStr">
        <is>
          <t>OP00023</t>
        </is>
      </c>
      <c r="E19" s="8" t="n">
        <v>44717.96041666667</v>
      </c>
      <c r="F19" s="7" t="inlineStr">
        <is>
          <t>DOWNLINE</t>
        </is>
      </c>
      <c r="G19" s="18" t="inlineStr">
        <is>
          <t>OP00023</t>
        </is>
      </c>
      <c r="H19" s="19">
        <f>UPPER(Table3[[#This Row],[Agen id]]&amp;"-"&amp;VLOOKUP(Table3[[#This Row],[Agen id]],A:B,2,0)&amp;"("&amp;Table3[[#This Row],[Short]]&amp;")")</f>
        <v/>
      </c>
      <c r="J19" s="7">
        <f>VLOOKUP(Table3[[#This Row],[Agen id]],Agen!A:C,3,0)</f>
        <v/>
      </c>
      <c r="K19" s="37">
        <f>TRIM(LEFT(Table3[[#This Row],[Group]],2))</f>
        <v/>
      </c>
      <c r="L19" s="3" t="inlineStr">
        <is>
          <t>NON SALES</t>
        </is>
      </c>
    </row>
    <row r="20">
      <c r="A20" s="5" t="inlineStr">
        <is>
          <t>OP00040</t>
        </is>
      </c>
      <c r="B20" s="6" t="inlineStr">
        <is>
          <t>Vagun pulsa</t>
        </is>
      </c>
      <c r="C20" s="7" t="inlineStr">
        <is>
          <t>A - Agen</t>
        </is>
      </c>
      <c r="D20" s="1" t="inlineStr">
        <is>
          <t>OP00002</t>
        </is>
      </c>
      <c r="E20" s="8" t="n">
        <v>44718.91180555556</v>
      </c>
      <c r="F20" s="7" t="inlineStr">
        <is>
          <t>AGEN</t>
        </is>
      </c>
      <c r="G20" s="18" t="inlineStr">
        <is>
          <t>OP00040</t>
        </is>
      </c>
      <c r="H20" s="19">
        <f>UPPER(Table3[[#This Row],[Agen id]]&amp;"-"&amp;VLOOKUP(Table3[[#This Row],[Agen id]],A:B,2,0)&amp;"("&amp;Table3[[#This Row],[Short]]&amp;")")</f>
        <v/>
      </c>
      <c r="J20" s="7">
        <f>VLOOKUP(Table3[[#This Row],[Agen id]],Agen!A:C,3,0)</f>
        <v/>
      </c>
      <c r="K20" s="37">
        <f>TRIM(LEFT(Table3[[#This Row],[Group]],2))</f>
        <v/>
      </c>
      <c r="L20" s="3" t="inlineStr">
        <is>
          <t>NON SALES</t>
        </is>
      </c>
    </row>
    <row r="21">
      <c r="A21" s="5" t="inlineStr">
        <is>
          <t>OP00049</t>
        </is>
      </c>
      <c r="B21" s="6" t="inlineStr">
        <is>
          <t>Ayu Cell</t>
        </is>
      </c>
      <c r="C21" s="7" t="inlineStr">
        <is>
          <t>A - Agen</t>
        </is>
      </c>
      <c r="D21" s="1" t="inlineStr">
        <is>
          <t>OP00002</t>
        </is>
      </c>
      <c r="E21" s="8" t="n">
        <v>44720.26041666666</v>
      </c>
      <c r="F21" s="7" t="inlineStr">
        <is>
          <t>AGEN</t>
        </is>
      </c>
      <c r="G21" s="18" t="inlineStr">
        <is>
          <t>OP00049</t>
        </is>
      </c>
      <c r="H21" s="19">
        <f>UPPER(Table3[[#This Row],[Agen id]]&amp;"-"&amp;VLOOKUP(Table3[[#This Row],[Agen id]],A:B,2,0)&amp;"("&amp;Table3[[#This Row],[Short]]&amp;")")</f>
        <v/>
      </c>
      <c r="J21" s="7">
        <f>VLOOKUP(Table3[[#This Row],[Agen id]],Agen!A:C,3,0)</f>
        <v/>
      </c>
      <c r="K21" s="37">
        <f>TRIM(LEFT(Table3[[#This Row],[Group]],2))</f>
        <v/>
      </c>
      <c r="L21" s="3" t="inlineStr">
        <is>
          <t>NON SALES</t>
        </is>
      </c>
    </row>
    <row r="22">
      <c r="A22" s="5" t="inlineStr">
        <is>
          <t>OP00051</t>
        </is>
      </c>
      <c r="B22" s="6" t="inlineStr">
        <is>
          <t>Silvia Cell</t>
        </is>
      </c>
      <c r="C22" s="7" t="inlineStr">
        <is>
          <t>AV - Agen Verified</t>
        </is>
      </c>
      <c r="D22" s="1" t="inlineStr">
        <is>
          <t>OP00002</t>
        </is>
      </c>
      <c r="E22" s="8" t="n">
        <v>44720.36458333334</v>
      </c>
      <c r="F22" s="7" t="inlineStr">
        <is>
          <t>AGEN</t>
        </is>
      </c>
      <c r="G22" s="18" t="inlineStr">
        <is>
          <t>OP00051</t>
        </is>
      </c>
      <c r="H22" s="19">
        <f>UPPER(Table3[[#This Row],[Agen id]]&amp;"-"&amp;VLOOKUP(Table3[[#This Row],[Agen id]],A:B,2,0)&amp;"("&amp;Table3[[#This Row],[Short]]&amp;")")</f>
        <v/>
      </c>
      <c r="J22" s="7">
        <f>VLOOKUP(Table3[[#This Row],[Agen id]],Agen!A:C,3,0)</f>
        <v/>
      </c>
      <c r="K22" s="37">
        <f>TRIM(LEFT(Table3[[#This Row],[Group]],2))</f>
        <v/>
      </c>
      <c r="L22" s="3" t="inlineStr">
        <is>
          <t>NON SALES</t>
        </is>
      </c>
    </row>
    <row r="23">
      <c r="A23" s="9" t="inlineStr">
        <is>
          <t>OP00057</t>
        </is>
      </c>
      <c r="B23" s="10" t="inlineStr">
        <is>
          <t>ASTAGA RELOAD</t>
        </is>
      </c>
      <c r="C23" s="11" t="inlineStr">
        <is>
          <t>I - Internal</t>
        </is>
      </c>
      <c r="D23" s="2" t="inlineStr">
        <is>
          <t>OP00005</t>
        </is>
      </c>
      <c r="E23" s="12" t="n">
        <v>44720.64444444444</v>
      </c>
      <c r="F23" s="11" t="inlineStr">
        <is>
          <t>INTERNAL</t>
        </is>
      </c>
      <c r="G23" s="20" t="inlineStr">
        <is>
          <t>OP00057</t>
        </is>
      </c>
      <c r="H23" s="21">
        <f>UPPER(Table3[[#This Row],[Agen id]]&amp;"-"&amp;VLOOKUP(Table3[[#This Row],[Agen id]],A:B,2,0)&amp;"("&amp;Table3[[#This Row],[Short]]&amp;")")</f>
        <v/>
      </c>
      <c r="J23" s="11">
        <f>VLOOKUP(Table3[[#This Row],[Agen id]],Agen!A:C,3,0)</f>
        <v/>
      </c>
      <c r="K23" s="37">
        <f>TRIM(LEFT(Table3[[#This Row],[Group]],2))</f>
        <v/>
      </c>
      <c r="L23" s="24" t="inlineStr">
        <is>
          <t>H2H</t>
        </is>
      </c>
    </row>
    <row r="24">
      <c r="A24" s="5" t="inlineStr">
        <is>
          <t>OP00059</t>
        </is>
      </c>
      <c r="B24" s="6" t="inlineStr">
        <is>
          <t>ANAM CELL</t>
        </is>
      </c>
      <c r="C24" s="7" t="inlineStr">
        <is>
          <t>A - Agen</t>
        </is>
      </c>
      <c r="D24" s="1" t="inlineStr">
        <is>
          <t>OP00002</t>
        </is>
      </c>
      <c r="E24" s="8" t="n">
        <v>44721.28263888889</v>
      </c>
      <c r="F24" s="7" t="inlineStr">
        <is>
          <t>AGEN</t>
        </is>
      </c>
      <c r="G24" s="18" t="inlineStr">
        <is>
          <t>OP00059</t>
        </is>
      </c>
      <c r="H24" s="19">
        <f>UPPER(Table3[[#This Row],[Agen id]]&amp;"-"&amp;VLOOKUP(Table3[[#This Row],[Agen id]],A:B,2,0)&amp;"("&amp;Table3[[#This Row],[Short]]&amp;")")</f>
        <v/>
      </c>
      <c r="J24" s="7">
        <f>VLOOKUP(Table3[[#This Row],[Agen id]],Agen!A:C,3,0)</f>
        <v/>
      </c>
      <c r="K24" s="37">
        <f>TRIM(LEFT(Table3[[#This Row],[Group]],2))</f>
        <v/>
      </c>
      <c r="L24" s="3" t="inlineStr">
        <is>
          <t>NON SALES</t>
        </is>
      </c>
    </row>
    <row r="25">
      <c r="A25" s="5" t="inlineStr">
        <is>
          <t>OP00060</t>
        </is>
      </c>
      <c r="B25" s="6" t="inlineStr">
        <is>
          <t>Agungcell</t>
        </is>
      </c>
      <c r="C25" s="7" t="inlineStr">
        <is>
          <t>AV - Agen Verified</t>
        </is>
      </c>
      <c r="D25" s="1" t="inlineStr">
        <is>
          <t>OP00002</t>
        </is>
      </c>
      <c r="E25" s="8" t="n">
        <v>44721.29652777778</v>
      </c>
      <c r="F25" s="7" t="inlineStr">
        <is>
          <t>AGEN</t>
        </is>
      </c>
      <c r="G25" s="18" t="inlineStr">
        <is>
          <t>OP00060</t>
        </is>
      </c>
      <c r="H25" s="19">
        <f>UPPER(Table3[[#This Row],[Agen id]]&amp;"-"&amp;VLOOKUP(Table3[[#This Row],[Agen id]],A:B,2,0)&amp;"("&amp;Table3[[#This Row],[Short]]&amp;")")</f>
        <v/>
      </c>
      <c r="J25" s="7">
        <f>VLOOKUP(Table3[[#This Row],[Agen id]],Agen!A:C,3,0)</f>
        <v/>
      </c>
      <c r="K25" s="37">
        <f>TRIM(LEFT(Table3[[#This Row],[Group]],2))</f>
        <v/>
      </c>
      <c r="L25" s="3" t="inlineStr">
        <is>
          <t>NON SALES</t>
        </is>
      </c>
    </row>
    <row r="26">
      <c r="A26" s="5" t="inlineStr">
        <is>
          <t>OP00070</t>
        </is>
      </c>
      <c r="B26" s="6" t="inlineStr">
        <is>
          <t>Iis</t>
        </is>
      </c>
      <c r="C26" s="7" t="inlineStr">
        <is>
          <t>A - Agen</t>
        </is>
      </c>
      <c r="D26" s="1" t="inlineStr">
        <is>
          <t>OP00002</t>
        </is>
      </c>
      <c r="E26" s="8" t="n">
        <v>44723.61388888889</v>
      </c>
      <c r="F26" s="7" t="inlineStr">
        <is>
          <t>AGEN</t>
        </is>
      </c>
      <c r="G26" s="18" t="inlineStr">
        <is>
          <t>OP00070</t>
        </is>
      </c>
      <c r="H26" s="19">
        <f>UPPER(Table3[[#This Row],[Agen id]]&amp;"-"&amp;VLOOKUP(Table3[[#This Row],[Agen id]],A:B,2,0)&amp;"("&amp;Table3[[#This Row],[Short]]&amp;")")</f>
        <v/>
      </c>
      <c r="J26" s="7">
        <f>VLOOKUP(Table3[[#This Row],[Agen id]],Agen!A:C,3,0)</f>
        <v/>
      </c>
      <c r="K26" s="37">
        <f>TRIM(LEFT(Table3[[#This Row],[Group]],2))</f>
        <v/>
      </c>
      <c r="L26" s="3" t="inlineStr">
        <is>
          <t>NON SALES</t>
        </is>
      </c>
    </row>
    <row r="27">
      <c r="A27" s="5" t="inlineStr">
        <is>
          <t>OP00075</t>
        </is>
      </c>
      <c r="B27" s="6" t="inlineStr">
        <is>
          <t>Agus hari prasetyo</t>
        </is>
      </c>
      <c r="C27" s="7" t="inlineStr">
        <is>
          <t>AV - Agen Verified</t>
        </is>
      </c>
      <c r="D27" s="1" t="inlineStr">
        <is>
          <t>OP00002</t>
        </is>
      </c>
      <c r="E27" s="8" t="n">
        <v>44725.54305555556</v>
      </c>
      <c r="F27" s="7" t="inlineStr">
        <is>
          <t>AGEN</t>
        </is>
      </c>
      <c r="G27" s="18" t="inlineStr">
        <is>
          <t>OP00075</t>
        </is>
      </c>
      <c r="H27" s="19">
        <f>UPPER(Table3[[#This Row],[Agen id]]&amp;"-"&amp;VLOOKUP(Table3[[#This Row],[Agen id]],A:B,2,0)&amp;"("&amp;Table3[[#This Row],[Short]]&amp;")")</f>
        <v/>
      </c>
      <c r="J27" s="7">
        <f>VLOOKUP(Table3[[#This Row],[Agen id]],Agen!A:C,3,0)</f>
        <v/>
      </c>
      <c r="K27" s="37">
        <f>TRIM(LEFT(Table3[[#This Row],[Group]],2))</f>
        <v/>
      </c>
      <c r="L27" s="3" t="inlineStr">
        <is>
          <t>NON SALES</t>
        </is>
      </c>
    </row>
    <row r="28">
      <c r="A28" s="5" t="inlineStr">
        <is>
          <t>OP00076</t>
        </is>
      </c>
      <c r="B28" s="6" t="inlineStr">
        <is>
          <t>Edi</t>
        </is>
      </c>
      <c r="C28" s="7" t="inlineStr">
        <is>
          <t>A - Agen</t>
        </is>
      </c>
      <c r="D28" s="1" t="inlineStr">
        <is>
          <t>OP00002</t>
        </is>
      </c>
      <c r="E28" s="8" t="n">
        <v>44725.71319444444</v>
      </c>
      <c r="F28" s="7" t="inlineStr">
        <is>
          <t>AGEN</t>
        </is>
      </c>
      <c r="G28" s="18" t="inlineStr">
        <is>
          <t>OP00076</t>
        </is>
      </c>
      <c r="H28" s="19">
        <f>UPPER(Table3[[#This Row],[Agen id]]&amp;"-"&amp;VLOOKUP(Table3[[#This Row],[Agen id]],A:B,2,0)&amp;"("&amp;Table3[[#This Row],[Short]]&amp;")")</f>
        <v/>
      </c>
      <c r="J28" s="7">
        <f>VLOOKUP(Table3[[#This Row],[Agen id]],Agen!A:C,3,0)</f>
        <v/>
      </c>
      <c r="K28" s="37">
        <f>TRIM(LEFT(Table3[[#This Row],[Group]],2))</f>
        <v/>
      </c>
      <c r="L28" s="3" t="inlineStr">
        <is>
          <t>NON SALES</t>
        </is>
      </c>
    </row>
    <row r="29">
      <c r="A29" s="5" t="inlineStr">
        <is>
          <t>OP00086</t>
        </is>
      </c>
      <c r="B29" s="6" t="inlineStr">
        <is>
          <t>GOLDLUCK</t>
        </is>
      </c>
      <c r="C29" s="7" t="inlineStr">
        <is>
          <t>A - Agen</t>
        </is>
      </c>
      <c r="D29" s="1" t="inlineStr">
        <is>
          <t>OP00002</t>
        </is>
      </c>
      <c r="E29" s="8" t="n">
        <v>44727.93333333333</v>
      </c>
      <c r="F29" s="7" t="inlineStr">
        <is>
          <t>AGEN</t>
        </is>
      </c>
      <c r="G29" s="18" t="inlineStr">
        <is>
          <t>OP00086</t>
        </is>
      </c>
      <c r="H29" s="19">
        <f>UPPER(Table3[[#This Row],[Agen id]]&amp;"-"&amp;VLOOKUP(Table3[[#This Row],[Agen id]],A:B,2,0)&amp;"("&amp;Table3[[#This Row],[Short]]&amp;")")</f>
        <v/>
      </c>
      <c r="J29" s="7">
        <f>VLOOKUP(Table3[[#This Row],[Agen id]],Agen!A:C,3,0)</f>
        <v/>
      </c>
      <c r="K29" s="37">
        <f>TRIM(LEFT(Table3[[#This Row],[Group]],2))</f>
        <v/>
      </c>
      <c r="L29" s="3" t="inlineStr">
        <is>
          <t>NON SALES</t>
        </is>
      </c>
    </row>
    <row r="30">
      <c r="A30" s="5" t="inlineStr">
        <is>
          <t>OP00088</t>
        </is>
      </c>
      <c r="B30" s="6" t="inlineStr">
        <is>
          <t>Fin Okipay</t>
        </is>
      </c>
      <c r="C30" s="7" t="inlineStr">
        <is>
          <t>B - Branch</t>
        </is>
      </c>
      <c r="D30" s="1" t="inlineStr">
        <is>
          <t>OP00002</t>
        </is>
      </c>
      <c r="E30" s="8" t="n">
        <v>44728.63958333333</v>
      </c>
      <c r="F30" s="7" t="inlineStr">
        <is>
          <t>AGEN</t>
        </is>
      </c>
      <c r="G30" s="18" t="inlineStr">
        <is>
          <t>OP00088</t>
        </is>
      </c>
      <c r="H30" s="19">
        <f>UPPER(Table3[[#This Row],[Agen id]]&amp;"-"&amp;VLOOKUP(Table3[[#This Row],[Agen id]],A:B,2,0)&amp;"("&amp;Table3[[#This Row],[Short]]&amp;")")</f>
        <v/>
      </c>
      <c r="J30" s="7">
        <f>VLOOKUP(Table3[[#This Row],[Agen id]],Agen!A:C,3,0)</f>
        <v/>
      </c>
      <c r="K30" s="37">
        <f>TRIM(LEFT(Table3[[#This Row],[Group]],2))</f>
        <v/>
      </c>
      <c r="L30" s="3" t="inlineStr">
        <is>
          <t>NON SALES</t>
        </is>
      </c>
    </row>
    <row r="31">
      <c r="A31" s="5" t="inlineStr">
        <is>
          <t>OP00090</t>
        </is>
      </c>
      <c r="B31" s="6" t="inlineStr">
        <is>
          <t>Dede Ridwan Fauzi</t>
        </is>
      </c>
      <c r="C31" s="7" t="inlineStr">
        <is>
          <t>AV - Agen Verified</t>
        </is>
      </c>
      <c r="D31" s="1" t="inlineStr">
        <is>
          <t>OP00002</t>
        </is>
      </c>
      <c r="E31" s="8" t="n">
        <v>44728.77013888889</v>
      </c>
      <c r="F31" s="7" t="inlineStr">
        <is>
          <t>AGEN</t>
        </is>
      </c>
      <c r="G31" s="18" t="inlineStr">
        <is>
          <t>OP00090</t>
        </is>
      </c>
      <c r="H31" s="19">
        <f>UPPER(Table3[[#This Row],[Agen id]]&amp;"-"&amp;VLOOKUP(Table3[[#This Row],[Agen id]],A:B,2,0)&amp;"("&amp;Table3[[#This Row],[Short]]&amp;")")</f>
        <v/>
      </c>
      <c r="J31" s="7">
        <f>VLOOKUP(Table3[[#This Row],[Agen id]],Agen!A:C,3,0)</f>
        <v/>
      </c>
      <c r="K31" s="37">
        <f>TRIM(LEFT(Table3[[#This Row],[Group]],2))</f>
        <v/>
      </c>
      <c r="L31" s="3" t="inlineStr">
        <is>
          <t>NON SALES</t>
        </is>
      </c>
    </row>
    <row r="32">
      <c r="A32" s="5" t="inlineStr">
        <is>
          <t>OP00091</t>
        </is>
      </c>
      <c r="B32" s="6" t="inlineStr">
        <is>
          <t>AMINCELL</t>
        </is>
      </c>
      <c r="C32" s="7" t="inlineStr">
        <is>
          <t>A - Agen</t>
        </is>
      </c>
      <c r="D32" s="1" t="inlineStr">
        <is>
          <t>OP00002</t>
        </is>
      </c>
      <c r="E32" s="8" t="n">
        <v>44728.82430555556</v>
      </c>
      <c r="F32" s="7" t="inlineStr">
        <is>
          <t>AGEN</t>
        </is>
      </c>
      <c r="G32" s="18" t="inlineStr">
        <is>
          <t>OP00091</t>
        </is>
      </c>
      <c r="H32" s="19">
        <f>UPPER(Table3[[#This Row],[Agen id]]&amp;"-"&amp;VLOOKUP(Table3[[#This Row],[Agen id]],A:B,2,0)&amp;"("&amp;Table3[[#This Row],[Short]]&amp;")")</f>
        <v/>
      </c>
      <c r="J32" s="7">
        <f>VLOOKUP(Table3[[#This Row],[Agen id]],Agen!A:C,3,0)</f>
        <v/>
      </c>
      <c r="K32" s="37">
        <f>TRIM(LEFT(Table3[[#This Row],[Group]],2))</f>
        <v/>
      </c>
      <c r="L32" s="3" t="inlineStr">
        <is>
          <t>NON SALES</t>
        </is>
      </c>
    </row>
    <row r="33">
      <c r="A33" s="5" t="inlineStr">
        <is>
          <t>OP00093</t>
        </is>
      </c>
      <c r="B33" s="6" t="inlineStr">
        <is>
          <t>Hendry</t>
        </is>
      </c>
      <c r="C33" s="7" t="inlineStr">
        <is>
          <t>A - Agen</t>
        </is>
      </c>
      <c r="D33" s="1" t="inlineStr">
        <is>
          <t>OP00002</t>
        </is>
      </c>
      <c r="E33" s="8" t="n">
        <v>44728.83333333334</v>
      </c>
      <c r="F33" s="7" t="inlineStr">
        <is>
          <t>AGEN</t>
        </is>
      </c>
      <c r="G33" s="18" t="inlineStr">
        <is>
          <t>OP00093</t>
        </is>
      </c>
      <c r="H33" s="19">
        <f>UPPER(Table3[[#This Row],[Agen id]]&amp;"-"&amp;VLOOKUP(Table3[[#This Row],[Agen id]],A:B,2,0)&amp;"("&amp;Table3[[#This Row],[Short]]&amp;")")</f>
        <v/>
      </c>
      <c r="J33" s="7">
        <f>VLOOKUP(Table3[[#This Row],[Agen id]],Agen!A:C,3,0)</f>
        <v/>
      </c>
      <c r="K33" s="37">
        <f>TRIM(LEFT(Table3[[#This Row],[Group]],2))</f>
        <v/>
      </c>
      <c r="L33" s="3" t="inlineStr">
        <is>
          <t>NON SALES</t>
        </is>
      </c>
    </row>
    <row r="34">
      <c r="A34" s="5" t="inlineStr">
        <is>
          <t>OP00113</t>
        </is>
      </c>
      <c r="B34" s="6" t="inlineStr">
        <is>
          <t>Langkat payment</t>
        </is>
      </c>
      <c r="C34" s="7" t="inlineStr">
        <is>
          <t>A - Agen</t>
        </is>
      </c>
      <c r="D34" s="1" t="inlineStr">
        <is>
          <t>OP00002</t>
        </is>
      </c>
      <c r="E34" s="8" t="n">
        <v>44732.63958333333</v>
      </c>
      <c r="F34" s="7" t="inlineStr">
        <is>
          <t>AGEN</t>
        </is>
      </c>
      <c r="G34" s="18" t="inlineStr">
        <is>
          <t>OP00113</t>
        </is>
      </c>
      <c r="H34" s="19">
        <f>UPPER(Table3[[#This Row],[Agen id]]&amp;"-"&amp;VLOOKUP(Table3[[#This Row],[Agen id]],A:B,2,0)&amp;"("&amp;Table3[[#This Row],[Short]]&amp;")")</f>
        <v/>
      </c>
      <c r="J34" s="7">
        <f>VLOOKUP(Table3[[#This Row],[Agen id]],Agen!A:C,3,0)</f>
        <v/>
      </c>
      <c r="K34" s="37">
        <f>TRIM(LEFT(Table3[[#This Row],[Group]],2))</f>
        <v/>
      </c>
      <c r="L34" s="3" t="inlineStr">
        <is>
          <t>NON SALES</t>
        </is>
      </c>
    </row>
    <row r="35">
      <c r="A35" s="5" t="inlineStr">
        <is>
          <t>OP00114</t>
        </is>
      </c>
      <c r="B35" s="6" t="inlineStr">
        <is>
          <t>Gehu cell</t>
        </is>
      </c>
      <c r="C35" s="7" t="inlineStr">
        <is>
          <t>MK - Marketing</t>
        </is>
      </c>
      <c r="D35" s="1" t="inlineStr">
        <is>
          <t>OP00002</t>
        </is>
      </c>
      <c r="E35" s="8" t="n">
        <v>44732.64861111111</v>
      </c>
      <c r="F35" s="7" t="inlineStr">
        <is>
          <t>AGEN</t>
        </is>
      </c>
      <c r="G35" s="18" t="inlineStr">
        <is>
          <t>OP00114</t>
        </is>
      </c>
      <c r="H35" s="19">
        <f>UPPER(Table3[[#This Row],[Agen id]]&amp;"-"&amp;VLOOKUP(Table3[[#This Row],[Agen id]],A:B,2,0)&amp;"("&amp;Table3[[#This Row],[Short]]&amp;")")</f>
        <v/>
      </c>
      <c r="J35" s="7">
        <f>VLOOKUP(Table3[[#This Row],[Agen id]],Agen!A:C,3,0)</f>
        <v/>
      </c>
      <c r="K35" s="37">
        <f>TRIM(LEFT(Table3[[#This Row],[Group]],2))</f>
        <v/>
      </c>
      <c r="L35" s="3" t="inlineStr">
        <is>
          <t>NON SALES</t>
        </is>
      </c>
    </row>
    <row r="36">
      <c r="A36" s="5" t="inlineStr">
        <is>
          <t>OP00120</t>
        </is>
      </c>
      <c r="B36" s="6" t="inlineStr">
        <is>
          <t>Max cellkl</t>
        </is>
      </c>
      <c r="C36" s="7" t="inlineStr">
        <is>
          <t>A - Agen</t>
        </is>
      </c>
      <c r="D36" s="1" t="inlineStr">
        <is>
          <t>OP00002</t>
        </is>
      </c>
      <c r="E36" s="8" t="n">
        <v>44734.43263888889</v>
      </c>
      <c r="F36" s="7" t="inlineStr">
        <is>
          <t>AGEN</t>
        </is>
      </c>
      <c r="G36" s="18" t="inlineStr">
        <is>
          <t>OP00120</t>
        </is>
      </c>
      <c r="H36" s="19">
        <f>UPPER(Table3[[#This Row],[Agen id]]&amp;"-"&amp;VLOOKUP(Table3[[#This Row],[Agen id]],A:B,2,0)&amp;"("&amp;Table3[[#This Row],[Short]]&amp;")")</f>
        <v/>
      </c>
      <c r="J36" s="7">
        <f>VLOOKUP(Table3[[#This Row],[Agen id]],Agen!A:C,3,0)</f>
        <v/>
      </c>
      <c r="K36" s="37">
        <f>TRIM(LEFT(Table3[[#This Row],[Group]],2))</f>
        <v/>
      </c>
      <c r="L36" s="3" t="inlineStr">
        <is>
          <t>NON SALES</t>
        </is>
      </c>
    </row>
    <row r="37">
      <c r="A37" s="5" t="inlineStr">
        <is>
          <t>OP00121</t>
        </is>
      </c>
      <c r="B37" s="6" t="inlineStr">
        <is>
          <t>OKI PAY</t>
        </is>
      </c>
      <c r="C37" s="7" t="inlineStr">
        <is>
          <t>A - Agen</t>
        </is>
      </c>
      <c r="D37" s="1" t="inlineStr">
        <is>
          <t>OP00002</t>
        </is>
      </c>
      <c r="E37" s="8" t="n">
        <v>44734.52083333334</v>
      </c>
      <c r="F37" s="7" t="inlineStr">
        <is>
          <t>AGEN</t>
        </is>
      </c>
      <c r="G37" s="18" t="inlineStr">
        <is>
          <t>OP00121</t>
        </is>
      </c>
      <c r="H37" s="19">
        <f>UPPER(Table3[[#This Row],[Agen id]]&amp;"-"&amp;VLOOKUP(Table3[[#This Row],[Agen id]],A:B,2,0)&amp;"("&amp;Table3[[#This Row],[Short]]&amp;")")</f>
        <v/>
      </c>
      <c r="J37" s="7">
        <f>VLOOKUP(Table3[[#This Row],[Agen id]],Agen!A:C,3,0)</f>
        <v/>
      </c>
      <c r="K37" s="37">
        <f>TRIM(LEFT(Table3[[#This Row],[Group]],2))</f>
        <v/>
      </c>
      <c r="L37" s="3" t="inlineStr">
        <is>
          <t>NON SALES</t>
        </is>
      </c>
    </row>
    <row r="38">
      <c r="A38" s="5" t="inlineStr">
        <is>
          <t>OP00124</t>
        </is>
      </c>
      <c r="B38" s="6" t="inlineStr">
        <is>
          <t>Aulia</t>
        </is>
      </c>
      <c r="C38" s="7" t="inlineStr">
        <is>
          <t>A - Agen</t>
        </is>
      </c>
      <c r="D38" s="1" t="inlineStr">
        <is>
          <t>OP00002</t>
        </is>
      </c>
      <c r="E38" s="8" t="n">
        <v>44735.45208333333</v>
      </c>
      <c r="F38" s="7" t="inlineStr">
        <is>
          <t>AGEN</t>
        </is>
      </c>
      <c r="G38" s="18" t="inlineStr">
        <is>
          <t>OP00124</t>
        </is>
      </c>
      <c r="H38" s="19">
        <f>UPPER(Table3[[#This Row],[Agen id]]&amp;"-"&amp;VLOOKUP(Table3[[#This Row],[Agen id]],A:B,2,0)&amp;"("&amp;Table3[[#This Row],[Short]]&amp;")")</f>
        <v/>
      </c>
      <c r="J38" s="7">
        <f>VLOOKUP(Table3[[#This Row],[Agen id]],Agen!A:C,3,0)</f>
        <v/>
      </c>
      <c r="K38" s="37">
        <f>TRIM(LEFT(Table3[[#This Row],[Group]],2))</f>
        <v/>
      </c>
      <c r="L38" s="3" t="inlineStr">
        <is>
          <t>NON SALES</t>
        </is>
      </c>
    </row>
    <row r="39">
      <c r="A39" s="5" t="inlineStr">
        <is>
          <t>OP00151</t>
        </is>
      </c>
      <c r="B39" s="6" t="inlineStr">
        <is>
          <t>Endang sopyan</t>
        </is>
      </c>
      <c r="C39" s="7" t="inlineStr">
        <is>
          <t>AV - Agen Verified</t>
        </is>
      </c>
      <c r="D39" s="1" t="inlineStr">
        <is>
          <t>OP00002</t>
        </is>
      </c>
      <c r="E39" s="8" t="n">
        <v>44741.39652777778</v>
      </c>
      <c r="F39" s="7" t="inlineStr">
        <is>
          <t>AGEN</t>
        </is>
      </c>
      <c r="G39" s="18" t="inlineStr">
        <is>
          <t>OP00151</t>
        </is>
      </c>
      <c r="H39" s="19">
        <f>UPPER(Table3[[#This Row],[Agen id]]&amp;"-"&amp;VLOOKUP(Table3[[#This Row],[Agen id]],A:B,2,0)&amp;"("&amp;Table3[[#This Row],[Short]]&amp;")")</f>
        <v/>
      </c>
      <c r="J39" s="7">
        <f>VLOOKUP(Table3[[#This Row],[Agen id]],Agen!A:C,3,0)</f>
        <v/>
      </c>
      <c r="K39" s="37">
        <f>TRIM(LEFT(Table3[[#This Row],[Group]],2))</f>
        <v/>
      </c>
      <c r="L39" s="3" t="inlineStr">
        <is>
          <t>NON SALES</t>
        </is>
      </c>
    </row>
    <row r="40">
      <c r="A40" s="5" t="inlineStr">
        <is>
          <t>OP00152</t>
        </is>
      </c>
      <c r="B40" s="6" t="inlineStr">
        <is>
          <t>Melta Boni</t>
        </is>
      </c>
      <c r="C40" s="7" t="inlineStr">
        <is>
          <t>AV - Agen Verified</t>
        </is>
      </c>
      <c r="D40" s="1" t="inlineStr">
        <is>
          <t>OP00002</t>
        </is>
      </c>
      <c r="E40" s="8" t="n">
        <v>44741.79375</v>
      </c>
      <c r="F40" s="7" t="inlineStr">
        <is>
          <t>AGEN</t>
        </is>
      </c>
      <c r="G40" s="18" t="inlineStr">
        <is>
          <t>OP00152</t>
        </is>
      </c>
      <c r="H40" s="19">
        <f>UPPER(Table3[[#This Row],[Agen id]]&amp;"-"&amp;VLOOKUP(Table3[[#This Row],[Agen id]],A:B,2,0)&amp;"("&amp;Table3[[#This Row],[Short]]&amp;")")</f>
        <v/>
      </c>
      <c r="J40" s="7">
        <f>VLOOKUP(Table3[[#This Row],[Agen id]],Agen!A:C,3,0)</f>
        <v/>
      </c>
      <c r="K40" s="37">
        <f>TRIM(LEFT(Table3[[#This Row],[Group]],2))</f>
        <v/>
      </c>
      <c r="L40" s="3" t="inlineStr">
        <is>
          <t>NON SALES</t>
        </is>
      </c>
    </row>
    <row r="41">
      <c r="A41" s="5" t="inlineStr">
        <is>
          <t>OP00157</t>
        </is>
      </c>
      <c r="B41" s="6" t="inlineStr">
        <is>
          <t>Brilink</t>
        </is>
      </c>
      <c r="C41" s="7" t="inlineStr">
        <is>
          <t>AV - Agen Verified</t>
        </is>
      </c>
      <c r="D41" s="1" t="inlineStr">
        <is>
          <t>OP00002</t>
        </is>
      </c>
      <c r="E41" s="8" t="n">
        <v>44742.975</v>
      </c>
      <c r="F41" s="7" t="inlineStr">
        <is>
          <t>AGEN</t>
        </is>
      </c>
      <c r="G41" s="18" t="inlineStr">
        <is>
          <t>OP00157</t>
        </is>
      </c>
      <c r="H41" s="19">
        <f>UPPER(Table3[[#This Row],[Agen id]]&amp;"-"&amp;VLOOKUP(Table3[[#This Row],[Agen id]],A:B,2,0)&amp;"("&amp;Table3[[#This Row],[Short]]&amp;")")</f>
        <v/>
      </c>
      <c r="J41" s="7">
        <f>VLOOKUP(Table3[[#This Row],[Agen id]],Agen!A:C,3,0)</f>
        <v/>
      </c>
      <c r="K41" s="37">
        <f>TRIM(LEFT(Table3[[#This Row],[Group]],2))</f>
        <v/>
      </c>
      <c r="L41" s="3" t="inlineStr">
        <is>
          <t>NON SALES</t>
        </is>
      </c>
    </row>
    <row r="42">
      <c r="A42" s="5" t="inlineStr">
        <is>
          <t>OP00177</t>
        </is>
      </c>
      <c r="B42" s="6" t="inlineStr">
        <is>
          <t>Geulis</t>
        </is>
      </c>
      <c r="C42" s="7" t="inlineStr">
        <is>
          <t>A - Agen</t>
        </is>
      </c>
      <c r="D42" s="1" t="inlineStr">
        <is>
          <t>OP00002</t>
        </is>
      </c>
      <c r="E42" s="8" t="n">
        <v>44748.50694444445</v>
      </c>
      <c r="F42" s="7" t="inlineStr">
        <is>
          <t>AGEN</t>
        </is>
      </c>
      <c r="G42" s="18" t="inlineStr">
        <is>
          <t>OP00177</t>
        </is>
      </c>
      <c r="H42" s="19">
        <f>UPPER(Table3[[#This Row],[Agen id]]&amp;"-"&amp;VLOOKUP(Table3[[#This Row],[Agen id]],A:B,2,0)&amp;"("&amp;Table3[[#This Row],[Short]]&amp;")")</f>
        <v/>
      </c>
      <c r="J42" s="7">
        <f>VLOOKUP(Table3[[#This Row],[Agen id]],Agen!A:C,3,0)</f>
        <v/>
      </c>
      <c r="K42" s="37">
        <f>TRIM(LEFT(Table3[[#This Row],[Group]],2))</f>
        <v/>
      </c>
      <c r="L42" s="3" t="inlineStr">
        <is>
          <t>NON SALES</t>
        </is>
      </c>
    </row>
    <row r="43">
      <c r="A43" s="5" t="inlineStr">
        <is>
          <t>OP00180</t>
        </is>
      </c>
      <c r="B43" s="6" t="inlineStr">
        <is>
          <t>Enjoy Cell</t>
        </is>
      </c>
      <c r="C43" s="7" t="inlineStr">
        <is>
          <t>A - Agen</t>
        </is>
      </c>
      <c r="D43" s="1" t="inlineStr">
        <is>
          <t>OP00002</t>
        </is>
      </c>
      <c r="E43" s="8" t="n">
        <v>44748.67847222222</v>
      </c>
      <c r="F43" s="7" t="inlineStr">
        <is>
          <t>AGEN</t>
        </is>
      </c>
      <c r="G43" s="18" t="inlineStr">
        <is>
          <t>OP00180</t>
        </is>
      </c>
      <c r="H43" s="19">
        <f>UPPER(Table3[[#This Row],[Agen id]]&amp;"-"&amp;VLOOKUP(Table3[[#This Row],[Agen id]],A:B,2,0)&amp;"("&amp;Table3[[#This Row],[Short]]&amp;")")</f>
        <v/>
      </c>
      <c r="J43" s="7">
        <f>VLOOKUP(Table3[[#This Row],[Agen id]],Agen!A:C,3,0)</f>
        <v/>
      </c>
      <c r="K43" s="37">
        <f>TRIM(LEFT(Table3[[#This Row],[Group]],2))</f>
        <v/>
      </c>
      <c r="L43" s="3" t="inlineStr">
        <is>
          <t>NON SALES</t>
        </is>
      </c>
    </row>
    <row r="44">
      <c r="A44" s="5" t="inlineStr">
        <is>
          <t>OP00181</t>
        </is>
      </c>
      <c r="B44" s="6" t="inlineStr">
        <is>
          <t>Agung</t>
        </is>
      </c>
      <c r="C44" s="7" t="inlineStr">
        <is>
          <t>A - Agen</t>
        </is>
      </c>
      <c r="D44" s="1" t="inlineStr">
        <is>
          <t>OP00002</t>
        </is>
      </c>
      <c r="E44" s="8" t="n">
        <v>44748.68055555555</v>
      </c>
      <c r="F44" s="7" t="inlineStr">
        <is>
          <t>AGEN</t>
        </is>
      </c>
      <c r="G44" s="18" t="inlineStr">
        <is>
          <t>OP00181</t>
        </is>
      </c>
      <c r="H44" s="19">
        <f>UPPER(Table3[[#This Row],[Agen id]]&amp;"-"&amp;VLOOKUP(Table3[[#This Row],[Agen id]],A:B,2,0)&amp;"("&amp;Table3[[#This Row],[Short]]&amp;")")</f>
        <v/>
      </c>
      <c r="J44" s="7">
        <f>VLOOKUP(Table3[[#This Row],[Agen id]],Agen!A:C,3,0)</f>
        <v/>
      </c>
      <c r="K44" s="37">
        <f>TRIM(LEFT(Table3[[#This Row],[Group]],2))</f>
        <v/>
      </c>
      <c r="L44" s="3" t="inlineStr">
        <is>
          <t>NON SALES</t>
        </is>
      </c>
    </row>
    <row r="45">
      <c r="A45" s="5" t="inlineStr">
        <is>
          <t>OP00185</t>
        </is>
      </c>
      <c r="B45" s="6" t="inlineStr">
        <is>
          <t>Mitra Multipyment</t>
        </is>
      </c>
      <c r="C45" s="7" t="inlineStr">
        <is>
          <t>A - Agen</t>
        </is>
      </c>
      <c r="D45" s="1" t="inlineStr">
        <is>
          <t>OP00002</t>
        </is>
      </c>
      <c r="E45" s="8" t="n">
        <v>44748.85138888889</v>
      </c>
      <c r="F45" s="7" t="inlineStr">
        <is>
          <t>AGEN</t>
        </is>
      </c>
      <c r="G45" s="18" t="inlineStr">
        <is>
          <t>OP00185</t>
        </is>
      </c>
      <c r="H45" s="19">
        <f>UPPER(Table3[[#This Row],[Agen id]]&amp;"-"&amp;VLOOKUP(Table3[[#This Row],[Agen id]],A:B,2,0)&amp;"("&amp;Table3[[#This Row],[Short]]&amp;")")</f>
        <v/>
      </c>
      <c r="J45" s="7">
        <f>VLOOKUP(Table3[[#This Row],[Agen id]],Agen!A:C,3,0)</f>
        <v/>
      </c>
      <c r="K45" s="37">
        <f>TRIM(LEFT(Table3[[#This Row],[Group]],2))</f>
        <v/>
      </c>
      <c r="L45" s="3" t="inlineStr">
        <is>
          <t>NON SALES</t>
        </is>
      </c>
    </row>
    <row r="46">
      <c r="A46" s="5" t="inlineStr">
        <is>
          <t>OP00188</t>
        </is>
      </c>
      <c r="B46" s="6" t="inlineStr">
        <is>
          <t>MRH PAYMENT</t>
        </is>
      </c>
      <c r="C46" s="7" t="inlineStr">
        <is>
          <t>A - Agen</t>
        </is>
      </c>
      <c r="D46" s="1" t="inlineStr">
        <is>
          <t>OP00002</t>
        </is>
      </c>
      <c r="E46" s="8" t="n">
        <v>44748.90833333333</v>
      </c>
      <c r="F46" s="7" t="inlineStr">
        <is>
          <t>AGEN</t>
        </is>
      </c>
      <c r="G46" s="18" t="inlineStr">
        <is>
          <t>OP00188</t>
        </is>
      </c>
      <c r="H46" s="19">
        <f>UPPER(Table3[[#This Row],[Agen id]]&amp;"-"&amp;VLOOKUP(Table3[[#This Row],[Agen id]],A:B,2,0)&amp;"("&amp;Table3[[#This Row],[Short]]&amp;")")</f>
        <v/>
      </c>
      <c r="J46" s="7">
        <f>VLOOKUP(Table3[[#This Row],[Agen id]],Agen!A:C,3,0)</f>
        <v/>
      </c>
      <c r="K46" s="37">
        <f>TRIM(LEFT(Table3[[#This Row],[Group]],2))</f>
        <v/>
      </c>
      <c r="L46" s="3" t="inlineStr">
        <is>
          <t>NON SALES</t>
        </is>
      </c>
    </row>
    <row r="47">
      <c r="A47" s="5" t="inlineStr">
        <is>
          <t>OP00193</t>
        </is>
      </c>
      <c r="B47" s="6" t="inlineStr">
        <is>
          <t>IRWAN MULTIPAYMENT</t>
        </is>
      </c>
      <c r="C47" s="7" t="inlineStr">
        <is>
          <t>MK - Marketing</t>
        </is>
      </c>
      <c r="D47" s="1" t="inlineStr">
        <is>
          <t>OP00002</t>
        </is>
      </c>
      <c r="E47" s="8" t="n">
        <v>44749.43611111111</v>
      </c>
      <c r="F47" s="7" t="inlineStr">
        <is>
          <t>AGEN</t>
        </is>
      </c>
      <c r="G47" s="18" t="inlineStr">
        <is>
          <t>OP00193</t>
        </is>
      </c>
      <c r="H47" s="19">
        <f>UPPER(Table3[[#This Row],[Agen id]]&amp;"-"&amp;VLOOKUP(Table3[[#This Row],[Agen id]],A:B,2,0)&amp;"("&amp;Table3[[#This Row],[Short]]&amp;")")</f>
        <v/>
      </c>
      <c r="J47" s="7">
        <f>VLOOKUP(Table3[[#This Row],[Agen id]],Agen!A:C,3,0)</f>
        <v/>
      </c>
      <c r="K47" s="37">
        <f>TRIM(LEFT(Table3[[#This Row],[Group]],2))</f>
        <v/>
      </c>
      <c r="L47" s="3" t="inlineStr">
        <is>
          <t>NON SALES</t>
        </is>
      </c>
    </row>
    <row r="48">
      <c r="A48" s="5" t="inlineStr">
        <is>
          <t>OP00195</t>
        </is>
      </c>
      <c r="B48" s="6" t="inlineStr">
        <is>
          <t>Kharisma</t>
        </is>
      </c>
      <c r="C48" s="7" t="inlineStr">
        <is>
          <t>A - Agen</t>
        </is>
      </c>
      <c r="D48" s="1" t="inlineStr">
        <is>
          <t>OP00002</t>
        </is>
      </c>
      <c r="E48" s="8" t="n">
        <v>44749.64652777778</v>
      </c>
      <c r="F48" s="7" t="inlineStr">
        <is>
          <t>AGEN</t>
        </is>
      </c>
      <c r="G48" s="18" t="inlineStr">
        <is>
          <t>OP00195</t>
        </is>
      </c>
      <c r="H48" s="19">
        <f>UPPER(Table3[[#This Row],[Agen id]]&amp;"-"&amp;VLOOKUP(Table3[[#This Row],[Agen id]],A:B,2,0)&amp;"("&amp;Table3[[#This Row],[Short]]&amp;")")</f>
        <v/>
      </c>
      <c r="J48" s="7">
        <f>VLOOKUP(Table3[[#This Row],[Agen id]],Agen!A:C,3,0)</f>
        <v/>
      </c>
      <c r="K48" s="37">
        <f>TRIM(LEFT(Table3[[#This Row],[Group]],2))</f>
        <v/>
      </c>
      <c r="L48" s="3" t="inlineStr">
        <is>
          <t>NON SALES</t>
        </is>
      </c>
    </row>
    <row r="49">
      <c r="A49" s="5" t="inlineStr">
        <is>
          <t>OP00211</t>
        </is>
      </c>
      <c r="B49" s="6" t="inlineStr">
        <is>
          <t>HIR</t>
        </is>
      </c>
      <c r="C49" s="7" t="inlineStr">
        <is>
          <t>A - Agen</t>
        </is>
      </c>
      <c r="D49" s="1" t="inlineStr">
        <is>
          <t>OP00002</t>
        </is>
      </c>
      <c r="E49" s="8" t="n">
        <v>44751.57569444444</v>
      </c>
      <c r="F49" s="7" t="inlineStr">
        <is>
          <t>AGEN</t>
        </is>
      </c>
      <c r="G49" s="18" t="inlineStr">
        <is>
          <t>OP00211</t>
        </is>
      </c>
      <c r="H49" s="19">
        <f>UPPER(Table3[[#This Row],[Agen id]]&amp;"-"&amp;VLOOKUP(Table3[[#This Row],[Agen id]],A:B,2,0)&amp;"("&amp;Table3[[#This Row],[Short]]&amp;")")</f>
        <v/>
      </c>
      <c r="J49" s="7">
        <f>VLOOKUP(Table3[[#This Row],[Agen id]],Agen!A:C,3,0)</f>
        <v/>
      </c>
      <c r="K49" s="37">
        <f>TRIM(LEFT(Table3[[#This Row],[Group]],2))</f>
        <v/>
      </c>
      <c r="L49" s="3" t="inlineStr">
        <is>
          <t>NON SALES</t>
        </is>
      </c>
    </row>
    <row r="50">
      <c r="A50" s="5" t="inlineStr">
        <is>
          <t>OP00214</t>
        </is>
      </c>
      <c r="B50" s="6" t="inlineStr">
        <is>
          <t>Ipah</t>
        </is>
      </c>
      <c r="C50" s="7" t="inlineStr">
        <is>
          <t>A - Agen</t>
        </is>
      </c>
      <c r="D50" s="1" t="inlineStr">
        <is>
          <t>OP00011</t>
        </is>
      </c>
      <c r="E50" s="8" t="n">
        <v>44751.67916666667</v>
      </c>
      <c r="F50" s="7" t="inlineStr">
        <is>
          <t>DOWNLINE</t>
        </is>
      </c>
      <c r="G50" s="18" t="inlineStr">
        <is>
          <t>OP00011</t>
        </is>
      </c>
      <c r="H50" s="19">
        <f>UPPER(Table3[[#This Row],[Agen id]]&amp;"-"&amp;VLOOKUP(Table3[[#This Row],[Agen id]],A:B,2,0)&amp;"("&amp;Table3[[#This Row],[Short]]&amp;")")</f>
        <v/>
      </c>
      <c r="J50" s="7">
        <f>VLOOKUP(Table3[[#This Row],[Agen id]],Agen!A:C,3,0)</f>
        <v/>
      </c>
      <c r="K50" s="37">
        <f>TRIM(LEFT(Table3[[#This Row],[Group]],2))</f>
        <v/>
      </c>
      <c r="L50" s="3" t="inlineStr">
        <is>
          <t>NON SALES</t>
        </is>
      </c>
    </row>
    <row r="51">
      <c r="A51" s="5" t="inlineStr">
        <is>
          <t>OP00224</t>
        </is>
      </c>
      <c r="B51" s="6" t="inlineStr">
        <is>
          <t>BRAMCELL</t>
        </is>
      </c>
      <c r="C51" s="7" t="inlineStr">
        <is>
          <t>A - Agen</t>
        </is>
      </c>
      <c r="D51" s="1" t="inlineStr">
        <is>
          <t>OP00014</t>
        </is>
      </c>
      <c r="E51" s="8" t="n">
        <v>44752.65486111111</v>
      </c>
      <c r="F51" s="7" t="inlineStr">
        <is>
          <t>DOWNLINE</t>
        </is>
      </c>
      <c r="G51" s="18" t="inlineStr">
        <is>
          <t>OP00014</t>
        </is>
      </c>
      <c r="H51" s="19">
        <f>UPPER(Table3[[#This Row],[Agen id]]&amp;"-"&amp;VLOOKUP(Table3[[#This Row],[Agen id]],A:B,2,0)&amp;"("&amp;Table3[[#This Row],[Short]]&amp;")")</f>
        <v/>
      </c>
      <c r="J51" s="7">
        <f>VLOOKUP(Table3[[#This Row],[Agen id]],Agen!A:C,3,0)</f>
        <v/>
      </c>
      <c r="K51" s="37">
        <f>TRIM(LEFT(Table3[[#This Row],[Group]],2))</f>
        <v/>
      </c>
      <c r="L51" s="3" t="inlineStr">
        <is>
          <t>NON SALES</t>
        </is>
      </c>
    </row>
    <row r="52">
      <c r="A52" s="5" t="inlineStr">
        <is>
          <t>OP00231</t>
        </is>
      </c>
      <c r="B52" s="6" t="inlineStr">
        <is>
          <t>Ibnu pay</t>
        </is>
      </c>
      <c r="C52" s="7" t="inlineStr">
        <is>
          <t>A - Agen</t>
        </is>
      </c>
      <c r="D52" s="1" t="inlineStr">
        <is>
          <t>OP00014</t>
        </is>
      </c>
      <c r="E52" s="8" t="n">
        <v>44753.43611111111</v>
      </c>
      <c r="F52" s="7" t="inlineStr">
        <is>
          <t>DOWNLINE</t>
        </is>
      </c>
      <c r="G52" s="18" t="inlineStr">
        <is>
          <t>OP00014</t>
        </is>
      </c>
      <c r="H52" s="19">
        <f>UPPER(Table3[[#This Row],[Agen id]]&amp;"-"&amp;VLOOKUP(Table3[[#This Row],[Agen id]],A:B,2,0)&amp;"("&amp;Table3[[#This Row],[Short]]&amp;")")</f>
        <v/>
      </c>
      <c r="J52" s="7">
        <f>VLOOKUP(Table3[[#This Row],[Agen id]],Agen!A:C,3,0)</f>
        <v/>
      </c>
      <c r="K52" s="37">
        <f>TRIM(LEFT(Table3[[#This Row],[Group]],2))</f>
        <v/>
      </c>
      <c r="L52" s="3" t="inlineStr">
        <is>
          <t>NON SALES</t>
        </is>
      </c>
    </row>
    <row r="53">
      <c r="A53" s="5" t="inlineStr">
        <is>
          <t>OP00233</t>
        </is>
      </c>
      <c r="B53" s="6" t="inlineStr">
        <is>
          <t>Rivano</t>
        </is>
      </c>
      <c r="C53" s="7" t="inlineStr">
        <is>
          <t>A - Agen</t>
        </is>
      </c>
      <c r="D53" s="1" t="inlineStr">
        <is>
          <t>OP00002</t>
        </is>
      </c>
      <c r="E53" s="8" t="n">
        <v>44754.44930555556</v>
      </c>
      <c r="F53" s="7" t="inlineStr">
        <is>
          <t>AGEN</t>
        </is>
      </c>
      <c r="G53" s="18" t="inlineStr">
        <is>
          <t>OP00233</t>
        </is>
      </c>
      <c r="H53" s="19">
        <f>UPPER(Table3[[#This Row],[Agen id]]&amp;"-"&amp;VLOOKUP(Table3[[#This Row],[Agen id]],A:B,2,0)&amp;"("&amp;Table3[[#This Row],[Short]]&amp;")")</f>
        <v/>
      </c>
      <c r="J53" s="7">
        <f>VLOOKUP(Table3[[#This Row],[Agen id]],Agen!A:C,3,0)</f>
        <v/>
      </c>
      <c r="K53" s="37">
        <f>TRIM(LEFT(Table3[[#This Row],[Group]],2))</f>
        <v/>
      </c>
      <c r="L53" s="3" t="inlineStr">
        <is>
          <t>NON SALES</t>
        </is>
      </c>
    </row>
    <row r="54">
      <c r="A54" s="5" t="inlineStr">
        <is>
          <t>OP00236</t>
        </is>
      </c>
      <c r="B54" s="6" t="inlineStr">
        <is>
          <t>ALL IN PULSA</t>
        </is>
      </c>
      <c r="C54" s="7" t="inlineStr">
        <is>
          <t>MK - Marketing</t>
        </is>
      </c>
      <c r="D54" s="1" t="inlineStr">
        <is>
          <t>OP00002</t>
        </is>
      </c>
      <c r="E54" s="8" t="n">
        <v>44754.62152777778</v>
      </c>
      <c r="F54" s="7" t="inlineStr">
        <is>
          <t>AGEN</t>
        </is>
      </c>
      <c r="G54" s="18" t="inlineStr">
        <is>
          <t>OP00236</t>
        </is>
      </c>
      <c r="H54" s="19">
        <f>UPPER(Table3[[#This Row],[Agen id]]&amp;"-"&amp;VLOOKUP(Table3[[#This Row],[Agen id]],A:B,2,0)&amp;"("&amp;Table3[[#This Row],[Short]]&amp;")")</f>
        <v/>
      </c>
      <c r="J54" s="7">
        <f>VLOOKUP(Table3[[#This Row],[Agen id]],Agen!A:C,3,0)</f>
        <v/>
      </c>
      <c r="K54" s="37">
        <f>TRIM(LEFT(Table3[[#This Row],[Group]],2))</f>
        <v/>
      </c>
      <c r="L54" s="3" t="inlineStr">
        <is>
          <t>NON SALES</t>
        </is>
      </c>
    </row>
    <row r="55">
      <c r="A55" s="5" t="inlineStr">
        <is>
          <t>OP00238</t>
        </is>
      </c>
      <c r="B55" s="6" t="inlineStr">
        <is>
          <t>Aisyah</t>
        </is>
      </c>
      <c r="C55" s="7" t="inlineStr">
        <is>
          <t>MK - Marketing</t>
        </is>
      </c>
      <c r="D55" s="1" t="inlineStr">
        <is>
          <t>OP00002</t>
        </is>
      </c>
      <c r="E55" s="8" t="n">
        <v>44754.63402777778</v>
      </c>
      <c r="F55" s="7" t="inlineStr">
        <is>
          <t>AGEN</t>
        </is>
      </c>
      <c r="G55" s="18" t="inlineStr">
        <is>
          <t>OP00238</t>
        </is>
      </c>
      <c r="H55" s="19">
        <f>UPPER(Table3[[#This Row],[Agen id]]&amp;"-"&amp;VLOOKUP(Table3[[#This Row],[Agen id]],A:B,2,0)&amp;"("&amp;Table3[[#This Row],[Short]]&amp;")")</f>
        <v/>
      </c>
      <c r="J55" s="7">
        <f>VLOOKUP(Table3[[#This Row],[Agen id]],Agen!A:C,3,0)</f>
        <v/>
      </c>
      <c r="K55" s="37">
        <f>TRIM(LEFT(Table3[[#This Row],[Group]],2))</f>
        <v/>
      </c>
      <c r="L55" s="3" t="inlineStr">
        <is>
          <t>NON SALES</t>
        </is>
      </c>
    </row>
    <row r="56">
      <c r="A56" s="5" t="inlineStr">
        <is>
          <t>OP00246</t>
        </is>
      </c>
      <c r="B56" s="6" t="inlineStr">
        <is>
          <t>Fahri</t>
        </is>
      </c>
      <c r="C56" s="7" t="inlineStr">
        <is>
          <t>AV - Agen Verified</t>
        </is>
      </c>
      <c r="D56" s="1" t="inlineStr">
        <is>
          <t>OP00002</t>
        </is>
      </c>
      <c r="E56" s="8" t="n">
        <v>44755.43958333333</v>
      </c>
      <c r="F56" s="7" t="inlineStr">
        <is>
          <t>AGEN</t>
        </is>
      </c>
      <c r="G56" s="18" t="inlineStr">
        <is>
          <t>OP00246</t>
        </is>
      </c>
      <c r="H56" s="19">
        <f>UPPER(Table3[[#This Row],[Agen id]]&amp;"-"&amp;VLOOKUP(Table3[[#This Row],[Agen id]],A:B,2,0)&amp;"("&amp;Table3[[#This Row],[Short]]&amp;")")</f>
        <v/>
      </c>
      <c r="J56" s="7">
        <f>VLOOKUP(Table3[[#This Row],[Agen id]],Agen!A:C,3,0)</f>
        <v/>
      </c>
      <c r="K56" s="37">
        <f>TRIM(LEFT(Table3[[#This Row],[Group]],2))</f>
        <v/>
      </c>
      <c r="L56" s="3" t="inlineStr">
        <is>
          <t>NON SALES</t>
        </is>
      </c>
    </row>
    <row r="57">
      <c r="A57" s="5" t="inlineStr">
        <is>
          <t>OP00252</t>
        </is>
      </c>
      <c r="B57" s="6" t="inlineStr">
        <is>
          <t>ILVANCELL</t>
        </is>
      </c>
      <c r="C57" s="7" t="inlineStr">
        <is>
          <t>A - Agen</t>
        </is>
      </c>
      <c r="D57" s="1" t="inlineStr">
        <is>
          <t>OP00002</t>
        </is>
      </c>
      <c r="E57" s="8" t="n">
        <v>44755.64861111111</v>
      </c>
      <c r="F57" s="7" t="inlineStr">
        <is>
          <t>AGEN</t>
        </is>
      </c>
      <c r="G57" s="18" t="inlineStr">
        <is>
          <t>OP00252</t>
        </is>
      </c>
      <c r="H57" s="19">
        <f>UPPER(Table3[[#This Row],[Agen id]]&amp;"-"&amp;VLOOKUP(Table3[[#This Row],[Agen id]],A:B,2,0)&amp;"("&amp;Table3[[#This Row],[Short]]&amp;")")</f>
        <v/>
      </c>
      <c r="J57" s="7">
        <f>VLOOKUP(Table3[[#This Row],[Agen id]],Agen!A:C,3,0)</f>
        <v/>
      </c>
      <c r="K57" s="37">
        <f>TRIM(LEFT(Table3[[#This Row],[Group]],2))</f>
        <v/>
      </c>
      <c r="L57" s="3" t="inlineStr">
        <is>
          <t>NON SALES</t>
        </is>
      </c>
    </row>
    <row r="58">
      <c r="A58" s="5" t="inlineStr">
        <is>
          <t>OP00266</t>
        </is>
      </c>
      <c r="B58" s="6" t="inlineStr">
        <is>
          <t>Abdul kadir jailani</t>
        </is>
      </c>
      <c r="C58" s="7" t="inlineStr">
        <is>
          <t>AV - Agen Verified</t>
        </is>
      </c>
      <c r="D58" s="1" t="inlineStr">
        <is>
          <t>OP00015</t>
        </is>
      </c>
      <c r="E58" s="8" t="n">
        <v>44755.90416666667</v>
      </c>
      <c r="F58" s="7" t="inlineStr">
        <is>
          <t>DOWNLINE</t>
        </is>
      </c>
      <c r="G58" s="18" t="inlineStr">
        <is>
          <t>OP00015</t>
        </is>
      </c>
      <c r="H58" s="19">
        <f>UPPER(Table3[[#This Row],[Agen id]]&amp;"-"&amp;VLOOKUP(Table3[[#This Row],[Agen id]],A:B,2,0)&amp;"("&amp;Table3[[#This Row],[Short]]&amp;")")</f>
        <v/>
      </c>
      <c r="J58" s="7">
        <f>VLOOKUP(Table3[[#This Row],[Agen id]],Agen!A:C,3,0)</f>
        <v/>
      </c>
      <c r="K58" s="37">
        <f>TRIM(LEFT(Table3[[#This Row],[Group]],2))</f>
        <v/>
      </c>
      <c r="L58" s="3" t="inlineStr">
        <is>
          <t>NON SALES</t>
        </is>
      </c>
    </row>
    <row r="59">
      <c r="A59" s="5" t="inlineStr">
        <is>
          <t>OP00277</t>
        </is>
      </c>
      <c r="B59" s="6" t="inlineStr">
        <is>
          <t>Hidayah Cell</t>
        </is>
      </c>
      <c r="C59" s="7" t="inlineStr">
        <is>
          <t>A - Agen</t>
        </is>
      </c>
      <c r="D59" s="1" t="inlineStr">
        <is>
          <t>OP00002</t>
        </is>
      </c>
      <c r="E59" s="8" t="n">
        <v>44756.46458333333</v>
      </c>
      <c r="F59" s="7" t="inlineStr">
        <is>
          <t>AGEN</t>
        </is>
      </c>
      <c r="G59" s="18" t="inlineStr">
        <is>
          <t>OP00277</t>
        </is>
      </c>
      <c r="H59" s="19">
        <f>UPPER(Table3[[#This Row],[Agen id]]&amp;"-"&amp;VLOOKUP(Table3[[#This Row],[Agen id]],A:B,2,0)&amp;"("&amp;Table3[[#This Row],[Short]]&amp;")")</f>
        <v/>
      </c>
      <c r="J59" s="7">
        <f>VLOOKUP(Table3[[#This Row],[Agen id]],Agen!A:C,3,0)</f>
        <v/>
      </c>
      <c r="K59" s="37">
        <f>TRIM(LEFT(Table3[[#This Row],[Group]],2))</f>
        <v/>
      </c>
      <c r="L59" s="3" t="inlineStr">
        <is>
          <t>NON SALES</t>
        </is>
      </c>
    </row>
    <row r="60">
      <c r="A60" s="5" t="inlineStr">
        <is>
          <t>OP00279</t>
        </is>
      </c>
      <c r="B60" s="6" t="inlineStr">
        <is>
          <t>HASANAH - CELL</t>
        </is>
      </c>
      <c r="C60" s="7" t="inlineStr">
        <is>
          <t>AV - Agen Verified</t>
        </is>
      </c>
      <c r="D60" s="1" t="inlineStr">
        <is>
          <t>OP00014</t>
        </is>
      </c>
      <c r="E60" s="8" t="n">
        <v>44756.56944444445</v>
      </c>
      <c r="F60" s="7" t="inlineStr">
        <is>
          <t>DOWNLINE</t>
        </is>
      </c>
      <c r="G60" s="18" t="inlineStr">
        <is>
          <t>OP00014</t>
        </is>
      </c>
      <c r="H60" s="19">
        <f>UPPER(Table3[[#This Row],[Agen id]]&amp;"-"&amp;VLOOKUP(Table3[[#This Row],[Agen id]],A:B,2,0)&amp;"("&amp;Table3[[#This Row],[Short]]&amp;")")</f>
        <v/>
      </c>
      <c r="J60" s="7">
        <f>VLOOKUP(Table3[[#This Row],[Agen id]],Agen!A:C,3,0)</f>
        <v/>
      </c>
      <c r="K60" s="37">
        <f>TRIM(LEFT(Table3[[#This Row],[Group]],2))</f>
        <v/>
      </c>
      <c r="L60" s="3" t="inlineStr">
        <is>
          <t>NON SALES</t>
        </is>
      </c>
    </row>
    <row r="61">
      <c r="A61" s="5" t="inlineStr">
        <is>
          <t>OP00284</t>
        </is>
      </c>
      <c r="B61" s="6" t="inlineStr">
        <is>
          <t>Nadhifah Cell</t>
        </is>
      </c>
      <c r="C61" s="7" t="inlineStr">
        <is>
          <t>A - Agen</t>
        </is>
      </c>
      <c r="D61" s="1" t="inlineStr">
        <is>
          <t>OP00014</t>
        </is>
      </c>
      <c r="E61" s="8" t="n">
        <v>44756.89097222222</v>
      </c>
      <c r="F61" s="7" t="inlineStr">
        <is>
          <t>DOWNLINE</t>
        </is>
      </c>
      <c r="G61" s="18" t="inlineStr">
        <is>
          <t>OP00014</t>
        </is>
      </c>
      <c r="H61" s="19">
        <f>UPPER(Table3[[#This Row],[Agen id]]&amp;"-"&amp;VLOOKUP(Table3[[#This Row],[Agen id]],A:B,2,0)&amp;"("&amp;Table3[[#This Row],[Short]]&amp;")")</f>
        <v/>
      </c>
      <c r="J61" s="7">
        <f>VLOOKUP(Table3[[#This Row],[Agen id]],Agen!A:C,3,0)</f>
        <v/>
      </c>
      <c r="K61" s="37">
        <f>TRIM(LEFT(Table3[[#This Row],[Group]],2))</f>
        <v/>
      </c>
      <c r="L61" s="3" t="inlineStr">
        <is>
          <t>NON SALES</t>
        </is>
      </c>
    </row>
    <row r="62">
      <c r="A62" s="5" t="inlineStr">
        <is>
          <t>OP00298</t>
        </is>
      </c>
      <c r="B62" s="6" t="inlineStr">
        <is>
          <t>BUNDA</t>
        </is>
      </c>
      <c r="C62" s="7" t="inlineStr">
        <is>
          <t>A - Agen</t>
        </is>
      </c>
      <c r="D62" s="1" t="inlineStr">
        <is>
          <t>OP00002</t>
        </is>
      </c>
      <c r="E62" s="8" t="n">
        <v>44758.02013888889</v>
      </c>
      <c r="F62" s="7" t="inlineStr">
        <is>
          <t>AGEN</t>
        </is>
      </c>
      <c r="G62" s="18" t="inlineStr">
        <is>
          <t>OP00298</t>
        </is>
      </c>
      <c r="H62" s="19">
        <f>UPPER(Table3[[#This Row],[Agen id]]&amp;"-"&amp;VLOOKUP(Table3[[#This Row],[Agen id]],A:B,2,0)&amp;"("&amp;Table3[[#This Row],[Short]]&amp;")")</f>
        <v/>
      </c>
      <c r="J62" s="7">
        <f>VLOOKUP(Table3[[#This Row],[Agen id]],Agen!A:C,3,0)</f>
        <v/>
      </c>
      <c r="K62" s="37">
        <f>TRIM(LEFT(Table3[[#This Row],[Group]],2))</f>
        <v/>
      </c>
      <c r="L62" s="3" t="inlineStr">
        <is>
          <t>NON SALES</t>
        </is>
      </c>
    </row>
    <row r="63">
      <c r="A63" s="5" t="inlineStr">
        <is>
          <t>OP00299</t>
        </is>
      </c>
      <c r="B63" s="6" t="inlineStr">
        <is>
          <t>Arif</t>
        </is>
      </c>
      <c r="C63" s="7" t="inlineStr">
        <is>
          <t>A - Agen</t>
        </is>
      </c>
      <c r="D63" s="1" t="inlineStr">
        <is>
          <t>OP00002</t>
        </is>
      </c>
      <c r="E63" s="8" t="n">
        <v>44758.12916666667</v>
      </c>
      <c r="F63" s="7" t="inlineStr">
        <is>
          <t>AGEN</t>
        </is>
      </c>
      <c r="G63" s="18" t="inlineStr">
        <is>
          <t>OP00299</t>
        </is>
      </c>
      <c r="H63" s="19">
        <f>UPPER(Table3[[#This Row],[Agen id]]&amp;"-"&amp;VLOOKUP(Table3[[#This Row],[Agen id]],A:B,2,0)&amp;"("&amp;Table3[[#This Row],[Short]]&amp;")")</f>
        <v/>
      </c>
      <c r="J63" s="7">
        <f>VLOOKUP(Table3[[#This Row],[Agen id]],Agen!A:C,3,0)</f>
        <v/>
      </c>
      <c r="K63" s="37">
        <f>TRIM(LEFT(Table3[[#This Row],[Group]],2))</f>
        <v/>
      </c>
      <c r="L63" s="3" t="inlineStr">
        <is>
          <t>NON SALES</t>
        </is>
      </c>
    </row>
    <row r="64">
      <c r="A64" s="5" t="inlineStr">
        <is>
          <t>OP00301</t>
        </is>
      </c>
      <c r="B64" s="6" t="inlineStr">
        <is>
          <t>Suryani</t>
        </is>
      </c>
      <c r="C64" s="7" t="inlineStr">
        <is>
          <t>A - Agen</t>
        </is>
      </c>
      <c r="D64" s="1" t="inlineStr">
        <is>
          <t>OP00002</t>
        </is>
      </c>
      <c r="E64" s="8" t="n">
        <v>44758.20416666667</v>
      </c>
      <c r="F64" s="7" t="inlineStr">
        <is>
          <t>AGEN</t>
        </is>
      </c>
      <c r="G64" s="18" t="inlineStr">
        <is>
          <t>OP00301</t>
        </is>
      </c>
      <c r="H64" s="19">
        <f>UPPER(Table3[[#This Row],[Agen id]]&amp;"-"&amp;VLOOKUP(Table3[[#This Row],[Agen id]],A:B,2,0)&amp;"("&amp;Table3[[#This Row],[Short]]&amp;")")</f>
        <v/>
      </c>
      <c r="J64" s="7">
        <f>VLOOKUP(Table3[[#This Row],[Agen id]],Agen!A:C,3,0)</f>
        <v/>
      </c>
      <c r="K64" s="37">
        <f>TRIM(LEFT(Table3[[#This Row],[Group]],2))</f>
        <v/>
      </c>
      <c r="L64" s="3" t="inlineStr">
        <is>
          <t>NON SALES</t>
        </is>
      </c>
    </row>
    <row r="65">
      <c r="A65" s="5" t="inlineStr">
        <is>
          <t>OP00304</t>
        </is>
      </c>
      <c r="B65" s="6" t="inlineStr">
        <is>
          <t>UD SEJAHTERA MANDIRI</t>
        </is>
      </c>
      <c r="C65" s="7" t="inlineStr">
        <is>
          <t>MK - Marketing</t>
        </is>
      </c>
      <c r="D65" s="1" t="inlineStr">
        <is>
          <t>OP00002</t>
        </is>
      </c>
      <c r="E65" s="8" t="n">
        <v>44758.32708333333</v>
      </c>
      <c r="F65" s="7" t="inlineStr">
        <is>
          <t>AGEN</t>
        </is>
      </c>
      <c r="G65" s="18" t="inlineStr">
        <is>
          <t>OP00304</t>
        </is>
      </c>
      <c r="H65" s="19">
        <f>UPPER(Table3[[#This Row],[Agen id]]&amp;"-"&amp;VLOOKUP(Table3[[#This Row],[Agen id]],A:B,2,0)&amp;"("&amp;Table3[[#This Row],[Short]]&amp;")")</f>
        <v/>
      </c>
      <c r="J65" s="7">
        <f>VLOOKUP(Table3[[#This Row],[Agen id]],Agen!A:C,3,0)</f>
        <v/>
      </c>
      <c r="K65" s="37">
        <f>TRIM(LEFT(Table3[[#This Row],[Group]],2))</f>
        <v/>
      </c>
      <c r="L65" s="3" t="inlineStr">
        <is>
          <t>NON SALES</t>
        </is>
      </c>
    </row>
    <row r="66">
      <c r="A66" s="5" t="inlineStr">
        <is>
          <t>OP00305</t>
        </is>
      </c>
      <c r="B66" s="6" t="inlineStr">
        <is>
          <t>Misbakhul Anam</t>
        </is>
      </c>
      <c r="C66" s="7" t="inlineStr">
        <is>
          <t>A - Agen</t>
        </is>
      </c>
      <c r="D66" s="1" t="inlineStr">
        <is>
          <t>OP00002</t>
        </is>
      </c>
      <c r="E66" s="8" t="n">
        <v>44758.36041666667</v>
      </c>
      <c r="F66" s="7" t="inlineStr">
        <is>
          <t>AGEN</t>
        </is>
      </c>
      <c r="G66" s="18" t="inlineStr">
        <is>
          <t>OP00305</t>
        </is>
      </c>
      <c r="H66" s="19">
        <f>UPPER(Table3[[#This Row],[Agen id]]&amp;"-"&amp;VLOOKUP(Table3[[#This Row],[Agen id]],A:B,2,0)&amp;"("&amp;Table3[[#This Row],[Short]]&amp;")")</f>
        <v/>
      </c>
      <c r="J66" s="7">
        <f>VLOOKUP(Table3[[#This Row],[Agen id]],Agen!A:C,3,0)</f>
        <v/>
      </c>
      <c r="K66" s="37">
        <f>TRIM(LEFT(Table3[[#This Row],[Group]],2))</f>
        <v/>
      </c>
      <c r="L66" s="3" t="inlineStr">
        <is>
          <t>NON SALES</t>
        </is>
      </c>
    </row>
    <row r="67">
      <c r="A67" s="5" t="inlineStr">
        <is>
          <t>OP00308</t>
        </is>
      </c>
      <c r="B67" s="6" t="inlineStr">
        <is>
          <t>Kiosnahpulsa</t>
        </is>
      </c>
      <c r="C67" s="7" t="inlineStr">
        <is>
          <t>AV - Agen Verified</t>
        </is>
      </c>
      <c r="D67" s="1" t="inlineStr">
        <is>
          <t>OP00002</t>
        </is>
      </c>
      <c r="E67" s="8" t="n">
        <v>44758.40138888889</v>
      </c>
      <c r="F67" s="7" t="inlineStr">
        <is>
          <t>AGEN</t>
        </is>
      </c>
      <c r="G67" s="18" t="inlineStr">
        <is>
          <t>OP00308</t>
        </is>
      </c>
      <c r="H67" s="19">
        <f>UPPER(Table3[[#This Row],[Agen id]]&amp;"-"&amp;VLOOKUP(Table3[[#This Row],[Agen id]],A:B,2,0)&amp;"("&amp;Table3[[#This Row],[Short]]&amp;")")</f>
        <v/>
      </c>
      <c r="J67" s="7">
        <f>VLOOKUP(Table3[[#This Row],[Agen id]],Agen!A:C,3,0)</f>
        <v/>
      </c>
      <c r="K67" s="37">
        <f>TRIM(LEFT(Table3[[#This Row],[Group]],2))</f>
        <v/>
      </c>
      <c r="L67" s="3" t="inlineStr">
        <is>
          <t>NON SALES</t>
        </is>
      </c>
    </row>
    <row r="68">
      <c r="A68" s="5" t="inlineStr">
        <is>
          <t>OP00311</t>
        </is>
      </c>
      <c r="B68" s="6" t="inlineStr">
        <is>
          <t>ANUGRAH CELLULAR</t>
        </is>
      </c>
      <c r="C68" s="7" t="inlineStr">
        <is>
          <t>AV - Agen Verified</t>
        </is>
      </c>
      <c r="D68" s="1" t="inlineStr">
        <is>
          <t>OP00002</t>
        </is>
      </c>
      <c r="E68" s="8" t="n">
        <v>44758.44166666667</v>
      </c>
      <c r="F68" s="7" t="inlineStr">
        <is>
          <t>AGEN</t>
        </is>
      </c>
      <c r="G68" s="18" t="inlineStr">
        <is>
          <t>OP00311</t>
        </is>
      </c>
      <c r="H68" s="19">
        <f>UPPER(Table3[[#This Row],[Agen id]]&amp;"-"&amp;VLOOKUP(Table3[[#This Row],[Agen id]],A:B,2,0)&amp;"("&amp;Table3[[#This Row],[Short]]&amp;")")</f>
        <v/>
      </c>
      <c r="J68" s="7">
        <f>VLOOKUP(Table3[[#This Row],[Agen id]],Agen!A:C,3,0)</f>
        <v/>
      </c>
      <c r="K68" s="37">
        <f>TRIM(LEFT(Table3[[#This Row],[Group]],2))</f>
        <v/>
      </c>
      <c r="L68" s="3" t="inlineStr">
        <is>
          <t>NON SALES</t>
        </is>
      </c>
    </row>
    <row r="69">
      <c r="A69" s="5" t="inlineStr">
        <is>
          <t>OP00314</t>
        </is>
      </c>
      <c r="B69" s="6" t="inlineStr">
        <is>
          <t>Sahrudin s</t>
        </is>
      </c>
      <c r="C69" s="7" t="inlineStr">
        <is>
          <t>A - Agen</t>
        </is>
      </c>
      <c r="D69" s="1" t="inlineStr">
        <is>
          <t>OP00002</t>
        </is>
      </c>
      <c r="E69" s="8" t="n">
        <v>44758.51111111111</v>
      </c>
      <c r="F69" s="7" t="inlineStr">
        <is>
          <t>AGEN</t>
        </is>
      </c>
      <c r="G69" s="18" t="inlineStr">
        <is>
          <t>OP00314</t>
        </is>
      </c>
      <c r="H69" s="19">
        <f>UPPER(Table3[[#This Row],[Agen id]]&amp;"-"&amp;VLOOKUP(Table3[[#This Row],[Agen id]],A:B,2,0)&amp;"("&amp;Table3[[#This Row],[Short]]&amp;")")</f>
        <v/>
      </c>
      <c r="J69" s="7">
        <f>VLOOKUP(Table3[[#This Row],[Agen id]],Agen!A:C,3,0)</f>
        <v/>
      </c>
      <c r="K69" s="37">
        <f>TRIM(LEFT(Table3[[#This Row],[Group]],2))</f>
        <v/>
      </c>
      <c r="L69" s="3" t="inlineStr">
        <is>
          <t>NON SALES</t>
        </is>
      </c>
    </row>
    <row r="70">
      <c r="A70" s="5" t="inlineStr">
        <is>
          <t>OP00325</t>
        </is>
      </c>
      <c r="B70" s="6" t="inlineStr">
        <is>
          <t>owrn</t>
        </is>
      </c>
      <c r="C70" s="7" t="inlineStr">
        <is>
          <t>A - Agen</t>
        </is>
      </c>
      <c r="D70" s="1" t="inlineStr">
        <is>
          <t>OP00002</t>
        </is>
      </c>
      <c r="E70" s="8" t="n">
        <v>44759.27430555555</v>
      </c>
      <c r="F70" s="7" t="inlineStr">
        <is>
          <t>AGEN</t>
        </is>
      </c>
      <c r="G70" s="18" t="inlineStr">
        <is>
          <t>OP00325</t>
        </is>
      </c>
      <c r="H70" s="19">
        <f>UPPER(Table3[[#This Row],[Agen id]]&amp;"-"&amp;VLOOKUP(Table3[[#This Row],[Agen id]],A:B,2,0)&amp;"("&amp;Table3[[#This Row],[Short]]&amp;")")</f>
        <v/>
      </c>
      <c r="J70" s="7">
        <f>VLOOKUP(Table3[[#This Row],[Agen id]],Agen!A:C,3,0)</f>
        <v/>
      </c>
      <c r="K70" s="37">
        <f>TRIM(LEFT(Table3[[#This Row],[Group]],2))</f>
        <v/>
      </c>
      <c r="L70" s="3" t="inlineStr">
        <is>
          <t>NON SALES</t>
        </is>
      </c>
    </row>
    <row r="71">
      <c r="A71" s="5" t="inlineStr">
        <is>
          <t>OP00327</t>
        </is>
      </c>
      <c r="B71" s="6" t="inlineStr">
        <is>
          <t>Irwanto</t>
        </is>
      </c>
      <c r="C71" s="7" t="inlineStr">
        <is>
          <t>A - Agen</t>
        </is>
      </c>
      <c r="D71" s="1" t="inlineStr">
        <is>
          <t>OP00002</t>
        </is>
      </c>
      <c r="E71" s="8" t="n">
        <v>44759.34097222222</v>
      </c>
      <c r="F71" s="7" t="inlineStr">
        <is>
          <t>AGEN</t>
        </is>
      </c>
      <c r="G71" s="18" t="inlineStr">
        <is>
          <t>OP00327</t>
        </is>
      </c>
      <c r="H71" s="19">
        <f>UPPER(Table3[[#This Row],[Agen id]]&amp;"-"&amp;VLOOKUP(Table3[[#This Row],[Agen id]],A:B,2,0)&amp;"("&amp;Table3[[#This Row],[Short]]&amp;")")</f>
        <v/>
      </c>
      <c r="J71" s="7">
        <f>VLOOKUP(Table3[[#This Row],[Agen id]],Agen!A:C,3,0)</f>
        <v/>
      </c>
      <c r="K71" s="37">
        <f>TRIM(LEFT(Table3[[#This Row],[Group]],2))</f>
        <v/>
      </c>
      <c r="L71" s="3" t="inlineStr">
        <is>
          <t>NON SALES</t>
        </is>
      </c>
    </row>
    <row r="72">
      <c r="A72" s="5" t="inlineStr">
        <is>
          <t>OP00335</t>
        </is>
      </c>
      <c r="B72" s="6" t="inlineStr">
        <is>
          <t>Nasrul</t>
        </is>
      </c>
      <c r="C72" s="7" t="inlineStr">
        <is>
          <t>A - Agen</t>
        </is>
      </c>
      <c r="D72" s="1" t="inlineStr">
        <is>
          <t>OP00002</t>
        </is>
      </c>
      <c r="E72" s="8" t="n">
        <v>44759.54027777778</v>
      </c>
      <c r="F72" s="7" t="inlineStr">
        <is>
          <t>AGEN</t>
        </is>
      </c>
      <c r="G72" s="18" t="inlineStr">
        <is>
          <t>OP00335</t>
        </is>
      </c>
      <c r="H72" s="19">
        <f>UPPER(Table3[[#This Row],[Agen id]]&amp;"-"&amp;VLOOKUP(Table3[[#This Row],[Agen id]],A:B,2,0)&amp;"("&amp;Table3[[#This Row],[Short]]&amp;")")</f>
        <v/>
      </c>
      <c r="J72" s="7">
        <f>VLOOKUP(Table3[[#This Row],[Agen id]],Agen!A:C,3,0)</f>
        <v/>
      </c>
      <c r="K72" s="37">
        <f>TRIM(LEFT(Table3[[#This Row],[Group]],2))</f>
        <v/>
      </c>
      <c r="L72" s="3" t="inlineStr">
        <is>
          <t>NON SALES</t>
        </is>
      </c>
    </row>
    <row r="73">
      <c r="A73" s="5" t="inlineStr">
        <is>
          <t>OP00336</t>
        </is>
      </c>
      <c r="B73" s="6" t="inlineStr">
        <is>
          <t>Santi</t>
        </is>
      </c>
      <c r="C73" s="7" t="inlineStr">
        <is>
          <t>A - Agen</t>
        </is>
      </c>
      <c r="D73" s="1" t="inlineStr">
        <is>
          <t>OP00335</t>
        </is>
      </c>
      <c r="E73" s="8" t="n">
        <v>44759.54236111111</v>
      </c>
      <c r="F73" s="7" t="inlineStr">
        <is>
          <t>DOWNLINE</t>
        </is>
      </c>
      <c r="G73" s="18" t="inlineStr">
        <is>
          <t>OP00335</t>
        </is>
      </c>
      <c r="H73" s="19">
        <f>UPPER(Table3[[#This Row],[Agen id]]&amp;"-"&amp;VLOOKUP(Table3[[#This Row],[Agen id]],A:B,2,0)&amp;"("&amp;Table3[[#This Row],[Short]]&amp;")")</f>
        <v/>
      </c>
      <c r="J73" s="7">
        <f>VLOOKUP(Table3[[#This Row],[Agen id]],Agen!A:C,3,0)</f>
        <v/>
      </c>
      <c r="K73" s="37">
        <f>TRIM(LEFT(Table3[[#This Row],[Group]],2))</f>
        <v/>
      </c>
      <c r="L73" s="3" t="inlineStr">
        <is>
          <t>NON SALES</t>
        </is>
      </c>
    </row>
    <row r="74">
      <c r="A74" s="5" t="inlineStr">
        <is>
          <t>OP00337</t>
        </is>
      </c>
      <c r="B74" s="6" t="inlineStr">
        <is>
          <t>Rika</t>
        </is>
      </c>
      <c r="C74" s="7" t="inlineStr">
        <is>
          <t>AV - Agen Verified</t>
        </is>
      </c>
      <c r="D74" s="1" t="inlineStr">
        <is>
          <t>OP00335</t>
        </is>
      </c>
      <c r="E74" s="8" t="n">
        <v>44759.56180555555</v>
      </c>
      <c r="F74" s="7" t="inlineStr">
        <is>
          <t>DOWNLINE</t>
        </is>
      </c>
      <c r="G74" s="18" t="inlineStr">
        <is>
          <t>OP00335</t>
        </is>
      </c>
      <c r="H74" s="19">
        <f>UPPER(Table3[[#This Row],[Agen id]]&amp;"-"&amp;VLOOKUP(Table3[[#This Row],[Agen id]],A:B,2,0)&amp;"("&amp;Table3[[#This Row],[Short]]&amp;")")</f>
        <v/>
      </c>
      <c r="J74" s="7">
        <f>VLOOKUP(Table3[[#This Row],[Agen id]],Agen!A:C,3,0)</f>
        <v/>
      </c>
      <c r="K74" s="37">
        <f>TRIM(LEFT(Table3[[#This Row],[Group]],2))</f>
        <v/>
      </c>
      <c r="L74" s="3" t="inlineStr">
        <is>
          <t>NON SALES</t>
        </is>
      </c>
    </row>
    <row r="75">
      <c r="A75" s="5" t="inlineStr">
        <is>
          <t>OP00339</t>
        </is>
      </c>
      <c r="B75" s="6" t="inlineStr">
        <is>
          <t>Gina</t>
        </is>
      </c>
      <c r="C75" s="7" t="inlineStr">
        <is>
          <t>A - Agen</t>
        </is>
      </c>
      <c r="D75" s="1" t="inlineStr">
        <is>
          <t>OP00335</t>
        </is>
      </c>
      <c r="E75" s="8" t="n">
        <v>44759.58263888889</v>
      </c>
      <c r="F75" s="7" t="inlineStr">
        <is>
          <t>DOWNLINE</t>
        </is>
      </c>
      <c r="G75" s="18" t="inlineStr">
        <is>
          <t>OP00335</t>
        </is>
      </c>
      <c r="H75" s="19">
        <f>UPPER(Table3[[#This Row],[Agen id]]&amp;"-"&amp;VLOOKUP(Table3[[#This Row],[Agen id]],A:B,2,0)&amp;"("&amp;Table3[[#This Row],[Short]]&amp;")")</f>
        <v/>
      </c>
      <c r="J75" s="7">
        <f>VLOOKUP(Table3[[#This Row],[Agen id]],Agen!A:C,3,0)</f>
        <v/>
      </c>
      <c r="K75" s="37">
        <f>TRIM(LEFT(Table3[[#This Row],[Group]],2))</f>
        <v/>
      </c>
      <c r="L75" s="3" t="inlineStr">
        <is>
          <t>NON SALES</t>
        </is>
      </c>
    </row>
    <row r="76">
      <c r="A76" s="5" t="inlineStr">
        <is>
          <t>OP00340</t>
        </is>
      </c>
      <c r="B76" s="6" t="inlineStr">
        <is>
          <t>Hesyadirohmat</t>
        </is>
      </c>
      <c r="C76" s="7" t="inlineStr">
        <is>
          <t>AV - Agen Verified</t>
        </is>
      </c>
      <c r="D76" s="1" t="inlineStr">
        <is>
          <t>OP00002</t>
        </is>
      </c>
      <c r="E76" s="8" t="n">
        <v>44759.6375</v>
      </c>
      <c r="F76" s="7" t="inlineStr">
        <is>
          <t>AGEN</t>
        </is>
      </c>
      <c r="G76" s="18" t="inlineStr">
        <is>
          <t>OP00340</t>
        </is>
      </c>
      <c r="H76" s="19">
        <f>UPPER(Table3[[#This Row],[Agen id]]&amp;"-"&amp;VLOOKUP(Table3[[#This Row],[Agen id]],A:B,2,0)&amp;"("&amp;Table3[[#This Row],[Short]]&amp;")")</f>
        <v/>
      </c>
      <c r="J76" s="7">
        <f>VLOOKUP(Table3[[#This Row],[Agen id]],Agen!A:C,3,0)</f>
        <v/>
      </c>
      <c r="K76" s="37">
        <f>TRIM(LEFT(Table3[[#This Row],[Group]],2))</f>
        <v/>
      </c>
      <c r="L76" s="3" t="inlineStr">
        <is>
          <t>NON SALES</t>
        </is>
      </c>
    </row>
    <row r="77">
      <c r="A77" s="5" t="inlineStr">
        <is>
          <t>OP00343</t>
        </is>
      </c>
      <c r="B77" s="6" t="inlineStr">
        <is>
          <t>DAFA</t>
        </is>
      </c>
      <c r="C77" s="7" t="inlineStr">
        <is>
          <t>AV - Agen Verified</t>
        </is>
      </c>
      <c r="D77" s="1" t="inlineStr">
        <is>
          <t>OP00002</t>
        </is>
      </c>
      <c r="E77" s="8" t="n">
        <v>44759.76944444444</v>
      </c>
      <c r="F77" s="7" t="inlineStr">
        <is>
          <t>AGEN</t>
        </is>
      </c>
      <c r="G77" s="18" t="inlineStr">
        <is>
          <t>OP00343</t>
        </is>
      </c>
      <c r="H77" s="19">
        <f>UPPER(Table3[[#This Row],[Agen id]]&amp;"-"&amp;VLOOKUP(Table3[[#This Row],[Agen id]],A:B,2,0)&amp;"("&amp;Table3[[#This Row],[Short]]&amp;")")</f>
        <v/>
      </c>
      <c r="J77" s="7">
        <f>VLOOKUP(Table3[[#This Row],[Agen id]],Agen!A:C,3,0)</f>
        <v/>
      </c>
      <c r="K77" s="37">
        <f>TRIM(LEFT(Table3[[#This Row],[Group]],2))</f>
        <v/>
      </c>
      <c r="L77" s="3" t="inlineStr">
        <is>
          <t>NON SALES</t>
        </is>
      </c>
    </row>
    <row r="78">
      <c r="A78" s="5" t="inlineStr">
        <is>
          <t>OP00345</t>
        </is>
      </c>
      <c r="B78" s="6" t="inlineStr">
        <is>
          <t>Satria</t>
        </is>
      </c>
      <c r="C78" s="7" t="inlineStr">
        <is>
          <t>AV - Agen Verified</t>
        </is>
      </c>
      <c r="D78" s="1" t="inlineStr">
        <is>
          <t>OP00002</t>
        </is>
      </c>
      <c r="E78" s="8" t="n">
        <v>44759.89513888889</v>
      </c>
      <c r="F78" s="7" t="inlineStr">
        <is>
          <t>AGEN</t>
        </is>
      </c>
      <c r="G78" s="18" t="inlineStr">
        <is>
          <t>OP00345</t>
        </is>
      </c>
      <c r="H78" s="19">
        <f>UPPER(Table3[[#This Row],[Agen id]]&amp;"-"&amp;VLOOKUP(Table3[[#This Row],[Agen id]],A:B,2,0)&amp;"("&amp;Table3[[#This Row],[Short]]&amp;")")</f>
        <v/>
      </c>
      <c r="J78" s="7">
        <f>VLOOKUP(Table3[[#This Row],[Agen id]],Agen!A:C,3,0)</f>
        <v/>
      </c>
      <c r="K78" s="37">
        <f>TRIM(LEFT(Table3[[#This Row],[Group]],2))</f>
        <v/>
      </c>
      <c r="L78" s="3" t="inlineStr">
        <is>
          <t>NON SALES</t>
        </is>
      </c>
    </row>
    <row r="79">
      <c r="A79" s="5" t="inlineStr">
        <is>
          <t>OP00351</t>
        </is>
      </c>
      <c r="B79" s="6" t="inlineStr">
        <is>
          <t>Hendro</t>
        </is>
      </c>
      <c r="C79" s="7" t="inlineStr">
        <is>
          <t>A - Agen</t>
        </is>
      </c>
      <c r="D79" s="1" t="inlineStr">
        <is>
          <t>OP00002</t>
        </is>
      </c>
      <c r="E79" s="8" t="n">
        <v>44760.12222222222</v>
      </c>
      <c r="F79" s="7" t="inlineStr">
        <is>
          <t>AGEN</t>
        </is>
      </c>
      <c r="G79" s="18" t="inlineStr">
        <is>
          <t>OP00351</t>
        </is>
      </c>
      <c r="H79" s="19">
        <f>UPPER(Table3[[#This Row],[Agen id]]&amp;"-"&amp;VLOOKUP(Table3[[#This Row],[Agen id]],A:B,2,0)&amp;"("&amp;Table3[[#This Row],[Short]]&amp;")")</f>
        <v/>
      </c>
      <c r="J79" s="7">
        <f>VLOOKUP(Table3[[#This Row],[Agen id]],Agen!A:C,3,0)</f>
        <v/>
      </c>
      <c r="K79" s="37">
        <f>TRIM(LEFT(Table3[[#This Row],[Group]],2))</f>
        <v/>
      </c>
      <c r="L79" s="3" t="inlineStr">
        <is>
          <t>NON SALES</t>
        </is>
      </c>
    </row>
    <row r="80">
      <c r="A80" s="5" t="inlineStr">
        <is>
          <t>OP00358</t>
        </is>
      </c>
      <c r="B80" s="6" t="inlineStr">
        <is>
          <t>Yulicell</t>
        </is>
      </c>
      <c r="C80" s="7" t="inlineStr">
        <is>
          <t>A - Agen</t>
        </is>
      </c>
      <c r="D80" s="1" t="inlineStr">
        <is>
          <t>OP00002</t>
        </is>
      </c>
      <c r="E80" s="8" t="n">
        <v>44760.41944444444</v>
      </c>
      <c r="F80" s="7" t="inlineStr">
        <is>
          <t>AGEN</t>
        </is>
      </c>
      <c r="G80" s="18" t="inlineStr">
        <is>
          <t>OP00358</t>
        </is>
      </c>
      <c r="H80" s="19">
        <f>UPPER(Table3[[#This Row],[Agen id]]&amp;"-"&amp;VLOOKUP(Table3[[#This Row],[Agen id]],A:B,2,0)&amp;"("&amp;Table3[[#This Row],[Short]]&amp;")")</f>
        <v/>
      </c>
      <c r="J80" s="7">
        <f>VLOOKUP(Table3[[#This Row],[Agen id]],Agen!A:C,3,0)</f>
        <v/>
      </c>
      <c r="K80" s="37">
        <f>TRIM(LEFT(Table3[[#This Row],[Group]],2))</f>
        <v/>
      </c>
      <c r="L80" s="3" t="inlineStr">
        <is>
          <t>NON SALES</t>
        </is>
      </c>
    </row>
    <row r="81">
      <c r="A81" s="5" t="inlineStr">
        <is>
          <t>OP00363</t>
        </is>
      </c>
      <c r="B81" s="6" t="inlineStr">
        <is>
          <t>Dewi</t>
        </is>
      </c>
      <c r="C81" s="7" t="inlineStr">
        <is>
          <t>A - Agen</t>
        </is>
      </c>
      <c r="D81" s="1" t="inlineStr">
        <is>
          <t>OP00335</t>
        </is>
      </c>
      <c r="E81" s="8" t="n">
        <v>44760.78541666667</v>
      </c>
      <c r="F81" s="7" t="inlineStr">
        <is>
          <t>DOWNLINE</t>
        </is>
      </c>
      <c r="G81" s="18" t="inlineStr">
        <is>
          <t>OP00335</t>
        </is>
      </c>
      <c r="H81" s="19">
        <f>UPPER(Table3[[#This Row],[Agen id]]&amp;"-"&amp;VLOOKUP(Table3[[#This Row],[Agen id]],A:B,2,0)&amp;"("&amp;Table3[[#This Row],[Short]]&amp;")")</f>
        <v/>
      </c>
      <c r="J81" s="7">
        <f>VLOOKUP(Table3[[#This Row],[Agen id]],Agen!A:C,3,0)</f>
        <v/>
      </c>
      <c r="K81" s="37">
        <f>TRIM(LEFT(Table3[[#This Row],[Group]],2))</f>
        <v/>
      </c>
      <c r="L81" s="3" t="inlineStr">
        <is>
          <t>NON SALES</t>
        </is>
      </c>
    </row>
    <row r="82">
      <c r="A82" s="5" t="inlineStr">
        <is>
          <t>OP00364</t>
        </is>
      </c>
      <c r="B82" s="6" t="inlineStr">
        <is>
          <t>Kartini</t>
        </is>
      </c>
      <c r="C82" s="7" t="inlineStr">
        <is>
          <t>AV - Agen Verified</t>
        </is>
      </c>
      <c r="D82" s="1" t="inlineStr">
        <is>
          <t>OP00335</t>
        </is>
      </c>
      <c r="E82" s="8" t="n">
        <v>44760.78958333333</v>
      </c>
      <c r="F82" s="7" t="inlineStr">
        <is>
          <t>DOWNLINE</t>
        </is>
      </c>
      <c r="G82" s="18" t="inlineStr">
        <is>
          <t>OP00335</t>
        </is>
      </c>
      <c r="H82" s="19">
        <f>UPPER(Table3[[#This Row],[Agen id]]&amp;"-"&amp;VLOOKUP(Table3[[#This Row],[Agen id]],A:B,2,0)&amp;"("&amp;Table3[[#This Row],[Short]]&amp;")")</f>
        <v/>
      </c>
      <c r="J82" s="7">
        <f>VLOOKUP(Table3[[#This Row],[Agen id]],Agen!A:C,3,0)</f>
        <v/>
      </c>
      <c r="K82" s="37">
        <f>TRIM(LEFT(Table3[[#This Row],[Group]],2))</f>
        <v/>
      </c>
      <c r="L82" s="3" t="inlineStr">
        <is>
          <t>NON SALES</t>
        </is>
      </c>
    </row>
    <row r="83">
      <c r="A83" s="5" t="inlineStr">
        <is>
          <t>OP00365</t>
        </is>
      </c>
      <c r="B83" s="6" t="inlineStr">
        <is>
          <t>Masyitoh</t>
        </is>
      </c>
      <c r="C83" s="7" t="inlineStr">
        <is>
          <t>A - Agen</t>
        </is>
      </c>
      <c r="D83" s="1" t="inlineStr">
        <is>
          <t>OP00335</t>
        </is>
      </c>
      <c r="E83" s="8" t="n">
        <v>44760.79166666666</v>
      </c>
      <c r="F83" s="7" t="inlineStr">
        <is>
          <t>DOWNLINE</t>
        </is>
      </c>
      <c r="G83" s="18" t="inlineStr">
        <is>
          <t>OP00335</t>
        </is>
      </c>
      <c r="H83" s="19">
        <f>UPPER(Table3[[#This Row],[Agen id]]&amp;"-"&amp;VLOOKUP(Table3[[#This Row],[Agen id]],A:B,2,0)&amp;"("&amp;Table3[[#This Row],[Short]]&amp;")")</f>
        <v/>
      </c>
      <c r="J83" s="7">
        <f>VLOOKUP(Table3[[#This Row],[Agen id]],Agen!A:C,3,0)</f>
        <v/>
      </c>
      <c r="K83" s="37">
        <f>TRIM(LEFT(Table3[[#This Row],[Group]],2))</f>
        <v/>
      </c>
      <c r="L83" s="3" t="inlineStr">
        <is>
          <t>NON SALES</t>
        </is>
      </c>
    </row>
    <row r="84">
      <c r="A84" s="5" t="inlineStr">
        <is>
          <t>OP00366</t>
        </is>
      </c>
      <c r="B84" s="6" t="inlineStr">
        <is>
          <t>Hikmah</t>
        </is>
      </c>
      <c r="C84" s="7" t="inlineStr">
        <is>
          <t>A - Agen</t>
        </is>
      </c>
      <c r="D84" s="1" t="inlineStr">
        <is>
          <t>OP00335</t>
        </is>
      </c>
      <c r="E84" s="8" t="n">
        <v>44760.79305555556</v>
      </c>
      <c r="F84" s="7" t="inlineStr">
        <is>
          <t>DOWNLINE</t>
        </is>
      </c>
      <c r="G84" s="18" t="inlineStr">
        <is>
          <t>OP00335</t>
        </is>
      </c>
      <c r="H84" s="19">
        <f>UPPER(Table3[[#This Row],[Agen id]]&amp;"-"&amp;VLOOKUP(Table3[[#This Row],[Agen id]],A:B,2,0)&amp;"("&amp;Table3[[#This Row],[Short]]&amp;")")</f>
        <v/>
      </c>
      <c r="J84" s="7">
        <f>VLOOKUP(Table3[[#This Row],[Agen id]],Agen!A:C,3,0)</f>
        <v/>
      </c>
      <c r="K84" s="37">
        <f>TRIM(LEFT(Table3[[#This Row],[Group]],2))</f>
        <v/>
      </c>
      <c r="L84" s="3" t="inlineStr">
        <is>
          <t>NON SALES</t>
        </is>
      </c>
    </row>
    <row r="85">
      <c r="A85" s="5" t="inlineStr">
        <is>
          <t>OP00367</t>
        </is>
      </c>
      <c r="B85" s="6" t="inlineStr">
        <is>
          <t>Restu</t>
        </is>
      </c>
      <c r="C85" s="7" t="inlineStr">
        <is>
          <t>A - Agen</t>
        </is>
      </c>
      <c r="D85" s="1" t="inlineStr">
        <is>
          <t>OP00335</t>
        </is>
      </c>
      <c r="E85" s="8" t="n">
        <v>44760.8</v>
      </c>
      <c r="F85" s="7" t="inlineStr">
        <is>
          <t>DOWNLINE</t>
        </is>
      </c>
      <c r="G85" s="18" t="inlineStr">
        <is>
          <t>OP00335</t>
        </is>
      </c>
      <c r="H85" s="19">
        <f>UPPER(Table3[[#This Row],[Agen id]]&amp;"-"&amp;VLOOKUP(Table3[[#This Row],[Agen id]],A:B,2,0)&amp;"("&amp;Table3[[#This Row],[Short]]&amp;")")</f>
        <v/>
      </c>
      <c r="J85" s="7">
        <f>VLOOKUP(Table3[[#This Row],[Agen id]],Agen!A:C,3,0)</f>
        <v/>
      </c>
      <c r="K85" s="37">
        <f>TRIM(LEFT(Table3[[#This Row],[Group]],2))</f>
        <v/>
      </c>
      <c r="L85" s="3" t="inlineStr">
        <is>
          <t>NON SALES</t>
        </is>
      </c>
    </row>
    <row r="86">
      <c r="A86" s="5" t="inlineStr">
        <is>
          <t>OP00368</t>
        </is>
      </c>
      <c r="B86" s="6" t="inlineStr">
        <is>
          <t>Ainun</t>
        </is>
      </c>
      <c r="C86" s="7" t="inlineStr">
        <is>
          <t>A - Agen</t>
        </is>
      </c>
      <c r="D86" s="1" t="inlineStr">
        <is>
          <t>OP00335</t>
        </is>
      </c>
      <c r="E86" s="8" t="n">
        <v>44760.80763888889</v>
      </c>
      <c r="F86" s="7" t="inlineStr">
        <is>
          <t>DOWNLINE</t>
        </is>
      </c>
      <c r="G86" s="18" t="inlineStr">
        <is>
          <t>OP00335</t>
        </is>
      </c>
      <c r="H86" s="19">
        <f>UPPER(Table3[[#This Row],[Agen id]]&amp;"-"&amp;VLOOKUP(Table3[[#This Row],[Agen id]],A:B,2,0)&amp;"("&amp;Table3[[#This Row],[Short]]&amp;")")</f>
        <v/>
      </c>
      <c r="J86" s="7">
        <f>VLOOKUP(Table3[[#This Row],[Agen id]],Agen!A:C,3,0)</f>
        <v/>
      </c>
      <c r="K86" s="37">
        <f>TRIM(LEFT(Table3[[#This Row],[Group]],2))</f>
        <v/>
      </c>
      <c r="L86" s="3" t="inlineStr">
        <is>
          <t>NON SALES</t>
        </is>
      </c>
    </row>
    <row r="87">
      <c r="A87" s="5" t="inlineStr">
        <is>
          <t>OP00370</t>
        </is>
      </c>
      <c r="B87" s="6" t="inlineStr">
        <is>
          <t>Syafa</t>
        </is>
      </c>
      <c r="C87" s="7" t="inlineStr">
        <is>
          <t>AV - Agen Verified</t>
        </is>
      </c>
      <c r="D87" s="1" t="inlineStr">
        <is>
          <t>OP00002</t>
        </is>
      </c>
      <c r="E87" s="8" t="n">
        <v>44761.32847222222</v>
      </c>
      <c r="F87" s="7" t="inlineStr">
        <is>
          <t>AGEN</t>
        </is>
      </c>
      <c r="G87" s="18" t="inlineStr">
        <is>
          <t>OP00370</t>
        </is>
      </c>
      <c r="H87" s="19">
        <f>UPPER(Table3[[#This Row],[Agen id]]&amp;"-"&amp;VLOOKUP(Table3[[#This Row],[Agen id]],A:B,2,0)&amp;"("&amp;Table3[[#This Row],[Short]]&amp;")")</f>
        <v/>
      </c>
      <c r="J87" s="7">
        <f>VLOOKUP(Table3[[#This Row],[Agen id]],Agen!A:C,3,0)</f>
        <v/>
      </c>
      <c r="K87" s="37">
        <f>TRIM(LEFT(Table3[[#This Row],[Group]],2))</f>
        <v/>
      </c>
      <c r="L87" s="3" t="inlineStr">
        <is>
          <t>NON SALES</t>
        </is>
      </c>
    </row>
    <row r="88">
      <c r="A88" s="5" t="inlineStr">
        <is>
          <t>OP00371</t>
        </is>
      </c>
      <c r="B88" s="6" t="inlineStr">
        <is>
          <t>Llisa17</t>
        </is>
      </c>
      <c r="C88" s="7" t="inlineStr">
        <is>
          <t>A - Agen</t>
        </is>
      </c>
      <c r="D88" s="1" t="inlineStr">
        <is>
          <t>OP00002</t>
        </is>
      </c>
      <c r="E88" s="8" t="n">
        <v>44761.35555555556</v>
      </c>
      <c r="F88" s="7" t="inlineStr">
        <is>
          <t>AGEN</t>
        </is>
      </c>
      <c r="G88" s="18" t="inlineStr">
        <is>
          <t>OP00371</t>
        </is>
      </c>
      <c r="H88" s="19">
        <f>UPPER(Table3[[#This Row],[Agen id]]&amp;"-"&amp;VLOOKUP(Table3[[#This Row],[Agen id]],A:B,2,0)&amp;"("&amp;Table3[[#This Row],[Short]]&amp;")")</f>
        <v/>
      </c>
      <c r="J88" s="7">
        <f>VLOOKUP(Table3[[#This Row],[Agen id]],Agen!A:C,3,0)</f>
        <v/>
      </c>
      <c r="K88" s="37">
        <f>TRIM(LEFT(Table3[[#This Row],[Group]],2))</f>
        <v/>
      </c>
      <c r="L88" s="3" t="inlineStr">
        <is>
          <t>NON SALES</t>
        </is>
      </c>
    </row>
    <row r="89">
      <c r="A89" s="5" t="inlineStr">
        <is>
          <t>OP00387</t>
        </is>
      </c>
      <c r="B89" s="6" t="inlineStr">
        <is>
          <t>Asse</t>
        </is>
      </c>
      <c r="C89" s="7" t="inlineStr">
        <is>
          <t>A - Agen</t>
        </is>
      </c>
      <c r="D89" s="1" t="inlineStr">
        <is>
          <t>OP00002</t>
        </is>
      </c>
      <c r="E89" s="8" t="n">
        <v>44761.75277777778</v>
      </c>
      <c r="F89" s="7" t="inlineStr">
        <is>
          <t>AGEN</t>
        </is>
      </c>
      <c r="G89" s="18" t="inlineStr">
        <is>
          <t>OP00387</t>
        </is>
      </c>
      <c r="H89" s="19">
        <f>UPPER(Table3[[#This Row],[Agen id]]&amp;"-"&amp;VLOOKUP(Table3[[#This Row],[Agen id]],A:B,2,0)&amp;"("&amp;Table3[[#This Row],[Short]]&amp;")")</f>
        <v/>
      </c>
      <c r="J89" s="7">
        <f>VLOOKUP(Table3[[#This Row],[Agen id]],Agen!A:C,3,0)</f>
        <v/>
      </c>
      <c r="K89" s="37">
        <f>TRIM(LEFT(Table3[[#This Row],[Group]],2))</f>
        <v/>
      </c>
      <c r="L89" s="3" t="inlineStr">
        <is>
          <t>NON SALES</t>
        </is>
      </c>
    </row>
    <row r="90">
      <c r="A90" s="5" t="inlineStr">
        <is>
          <t>OP00388</t>
        </is>
      </c>
      <c r="B90" s="6" t="inlineStr">
        <is>
          <t>hazwan</t>
        </is>
      </c>
      <c r="C90" s="7" t="inlineStr">
        <is>
          <t>AV - Agen Verified</t>
        </is>
      </c>
      <c r="D90" s="1" t="inlineStr">
        <is>
          <t>OP00002</t>
        </is>
      </c>
      <c r="E90" s="8" t="n">
        <v>44761.76111111111</v>
      </c>
      <c r="F90" s="7" t="inlineStr">
        <is>
          <t>AGEN</t>
        </is>
      </c>
      <c r="G90" s="18" t="inlineStr">
        <is>
          <t>OP00388</t>
        </is>
      </c>
      <c r="H90" s="19">
        <f>UPPER(Table3[[#This Row],[Agen id]]&amp;"-"&amp;VLOOKUP(Table3[[#This Row],[Agen id]],A:B,2,0)&amp;"("&amp;Table3[[#This Row],[Short]]&amp;")")</f>
        <v/>
      </c>
      <c r="J90" s="7">
        <f>VLOOKUP(Table3[[#This Row],[Agen id]],Agen!A:C,3,0)</f>
        <v/>
      </c>
      <c r="K90" s="37">
        <f>TRIM(LEFT(Table3[[#This Row],[Group]],2))</f>
        <v/>
      </c>
      <c r="L90" s="3" t="inlineStr">
        <is>
          <t>NON SALES</t>
        </is>
      </c>
    </row>
    <row r="91">
      <c r="A91" s="5" t="inlineStr">
        <is>
          <t>OP00392</t>
        </is>
      </c>
      <c r="B91" s="6" t="inlineStr">
        <is>
          <t>Muhammadsaleh</t>
        </is>
      </c>
      <c r="C91" s="7" t="inlineStr">
        <is>
          <t>A - Agen</t>
        </is>
      </c>
      <c r="D91" s="1" t="inlineStr">
        <is>
          <t>OP00002</t>
        </is>
      </c>
      <c r="E91" s="8" t="n">
        <v>44762.23472222222</v>
      </c>
      <c r="F91" s="7" t="inlineStr">
        <is>
          <t>AGEN</t>
        </is>
      </c>
      <c r="G91" s="18" t="inlineStr">
        <is>
          <t>OP00392</t>
        </is>
      </c>
      <c r="H91" s="19">
        <f>UPPER(Table3[[#This Row],[Agen id]]&amp;"-"&amp;VLOOKUP(Table3[[#This Row],[Agen id]],A:B,2,0)&amp;"("&amp;Table3[[#This Row],[Short]]&amp;")")</f>
        <v/>
      </c>
      <c r="J91" s="7">
        <f>VLOOKUP(Table3[[#This Row],[Agen id]],Agen!A:C,3,0)</f>
        <v/>
      </c>
      <c r="K91" s="37">
        <f>TRIM(LEFT(Table3[[#This Row],[Group]],2))</f>
        <v/>
      </c>
      <c r="L91" s="3" t="inlineStr">
        <is>
          <t>NON SALES</t>
        </is>
      </c>
    </row>
    <row r="92">
      <c r="A92" s="5" t="inlineStr">
        <is>
          <t>OP00401</t>
        </is>
      </c>
      <c r="B92" s="6" t="inlineStr">
        <is>
          <t>IDOLA.MJU</t>
        </is>
      </c>
      <c r="C92" s="7" t="inlineStr">
        <is>
          <t>A - Agen</t>
        </is>
      </c>
      <c r="D92" s="1" t="inlineStr">
        <is>
          <t>OP00002</t>
        </is>
      </c>
      <c r="E92" s="8" t="n">
        <v>44762.67569444444</v>
      </c>
      <c r="F92" s="7" t="inlineStr">
        <is>
          <t>AGEN</t>
        </is>
      </c>
      <c r="G92" s="18" t="inlineStr">
        <is>
          <t>OP00401</t>
        </is>
      </c>
      <c r="H92" s="19">
        <f>UPPER(Table3[[#This Row],[Agen id]]&amp;"-"&amp;VLOOKUP(Table3[[#This Row],[Agen id]],A:B,2,0)&amp;"("&amp;Table3[[#This Row],[Short]]&amp;")")</f>
        <v/>
      </c>
      <c r="J92" s="7">
        <f>VLOOKUP(Table3[[#This Row],[Agen id]],Agen!A:C,3,0)</f>
        <v/>
      </c>
      <c r="K92" s="37">
        <f>TRIM(LEFT(Table3[[#This Row],[Group]],2))</f>
        <v/>
      </c>
      <c r="L92" s="3" t="inlineStr">
        <is>
          <t>NON SALES</t>
        </is>
      </c>
    </row>
    <row r="93">
      <c r="A93" s="5" t="inlineStr">
        <is>
          <t>OP00402</t>
        </is>
      </c>
      <c r="B93" s="6" t="inlineStr">
        <is>
          <t>Relly pulsa</t>
        </is>
      </c>
      <c r="C93" s="7" t="inlineStr">
        <is>
          <t>A - Agen</t>
        </is>
      </c>
      <c r="D93" s="1" t="inlineStr">
        <is>
          <t>OP00002</t>
        </is>
      </c>
      <c r="E93" s="8" t="n">
        <v>44762.73125</v>
      </c>
      <c r="F93" s="7" t="inlineStr">
        <is>
          <t>AGEN</t>
        </is>
      </c>
      <c r="G93" s="18" t="inlineStr">
        <is>
          <t>OP00402</t>
        </is>
      </c>
      <c r="H93" s="19">
        <f>UPPER(Table3[[#This Row],[Agen id]]&amp;"-"&amp;VLOOKUP(Table3[[#This Row],[Agen id]],A:B,2,0)&amp;"("&amp;Table3[[#This Row],[Short]]&amp;")")</f>
        <v/>
      </c>
      <c r="J93" s="7">
        <f>VLOOKUP(Table3[[#This Row],[Agen id]],Agen!A:C,3,0)</f>
        <v/>
      </c>
      <c r="K93" s="37">
        <f>TRIM(LEFT(Table3[[#This Row],[Group]],2))</f>
        <v/>
      </c>
      <c r="L93" s="3" t="inlineStr">
        <is>
          <t>NON SALES</t>
        </is>
      </c>
    </row>
    <row r="94">
      <c r="A94" s="5" t="inlineStr">
        <is>
          <t>OP00412</t>
        </is>
      </c>
      <c r="B94" s="6" t="inlineStr">
        <is>
          <t>Shandorypulsa</t>
        </is>
      </c>
      <c r="C94" s="7" t="inlineStr">
        <is>
          <t>A - Agen</t>
        </is>
      </c>
      <c r="D94" s="1" t="inlineStr">
        <is>
          <t>OP00002</t>
        </is>
      </c>
      <c r="E94" s="8" t="n">
        <v>44762.85763888889</v>
      </c>
      <c r="F94" s="7" t="inlineStr">
        <is>
          <t>AGEN</t>
        </is>
      </c>
      <c r="G94" s="18" t="inlineStr">
        <is>
          <t>OP00412</t>
        </is>
      </c>
      <c r="H94" s="19">
        <f>UPPER(Table3[[#This Row],[Agen id]]&amp;"-"&amp;VLOOKUP(Table3[[#This Row],[Agen id]],A:B,2,0)&amp;"("&amp;Table3[[#This Row],[Short]]&amp;")")</f>
        <v/>
      </c>
      <c r="J94" s="7">
        <f>VLOOKUP(Table3[[#This Row],[Agen id]],Agen!A:C,3,0)</f>
        <v/>
      </c>
      <c r="K94" s="37">
        <f>TRIM(LEFT(Table3[[#This Row],[Group]],2))</f>
        <v/>
      </c>
      <c r="L94" s="3" t="inlineStr">
        <is>
          <t>NON SALES</t>
        </is>
      </c>
    </row>
    <row r="95">
      <c r="A95" s="5" t="inlineStr">
        <is>
          <t>OP00429</t>
        </is>
      </c>
      <c r="B95" s="6" t="inlineStr">
        <is>
          <t>TOKO ILHAM</t>
        </is>
      </c>
      <c r="C95" s="7" t="inlineStr">
        <is>
          <t>AV - Agen Verified</t>
        </is>
      </c>
      <c r="D95" s="1" t="inlineStr">
        <is>
          <t>OP00002</t>
        </is>
      </c>
      <c r="E95" s="8" t="n">
        <v>44763.53194444445</v>
      </c>
      <c r="F95" s="7" t="inlineStr">
        <is>
          <t>AGEN</t>
        </is>
      </c>
      <c r="G95" s="18" t="inlineStr">
        <is>
          <t>OP00429</t>
        </is>
      </c>
      <c r="H95" s="19">
        <f>UPPER(Table3[[#This Row],[Agen id]]&amp;"-"&amp;VLOOKUP(Table3[[#This Row],[Agen id]],A:B,2,0)&amp;"("&amp;Table3[[#This Row],[Short]]&amp;")")</f>
        <v/>
      </c>
      <c r="J95" s="7">
        <f>VLOOKUP(Table3[[#This Row],[Agen id]],Agen!A:C,3,0)</f>
        <v/>
      </c>
      <c r="K95" s="37">
        <f>TRIM(LEFT(Table3[[#This Row],[Group]],2))</f>
        <v/>
      </c>
      <c r="L95" s="3" t="inlineStr">
        <is>
          <t>NON SALES</t>
        </is>
      </c>
    </row>
    <row r="96">
      <c r="A96" s="5" t="inlineStr">
        <is>
          <t>OP00430</t>
        </is>
      </c>
      <c r="B96" s="6" t="inlineStr">
        <is>
          <t>Putrifaizah1312</t>
        </is>
      </c>
      <c r="C96" s="7" t="inlineStr">
        <is>
          <t>A - Agen</t>
        </is>
      </c>
      <c r="D96" s="1" t="inlineStr">
        <is>
          <t>OP00051</t>
        </is>
      </c>
      <c r="E96" s="8" t="n">
        <v>44763.56597222222</v>
      </c>
      <c r="F96" s="7" t="inlineStr">
        <is>
          <t>DOWNLINE</t>
        </is>
      </c>
      <c r="G96" s="18" t="inlineStr">
        <is>
          <t>OP00051</t>
        </is>
      </c>
      <c r="H96" s="19">
        <f>UPPER(Table3[[#This Row],[Agen id]]&amp;"-"&amp;VLOOKUP(Table3[[#This Row],[Agen id]],A:B,2,0)&amp;"("&amp;Table3[[#This Row],[Short]]&amp;")")</f>
        <v/>
      </c>
      <c r="J96" s="7">
        <f>VLOOKUP(Table3[[#This Row],[Agen id]],Agen!A:C,3,0)</f>
        <v/>
      </c>
      <c r="K96" s="37">
        <f>TRIM(LEFT(Table3[[#This Row],[Group]],2))</f>
        <v/>
      </c>
      <c r="L96" s="3" t="inlineStr">
        <is>
          <t>NON SALES</t>
        </is>
      </c>
    </row>
    <row r="97">
      <c r="A97" s="5" t="inlineStr">
        <is>
          <t>OP00431</t>
        </is>
      </c>
      <c r="B97" s="6" t="inlineStr">
        <is>
          <t>Isnia</t>
        </is>
      </c>
      <c r="C97" s="7" t="inlineStr">
        <is>
          <t>AV - Agen Verified</t>
        </is>
      </c>
      <c r="D97" s="1" t="inlineStr">
        <is>
          <t>OP00002</t>
        </is>
      </c>
      <c r="E97" s="8" t="n">
        <v>44763.76388888889</v>
      </c>
      <c r="F97" s="7" t="inlineStr">
        <is>
          <t>AGEN</t>
        </is>
      </c>
      <c r="G97" s="18" t="inlineStr">
        <is>
          <t>OP00431</t>
        </is>
      </c>
      <c r="H97" s="19">
        <f>UPPER(Table3[[#This Row],[Agen id]]&amp;"-"&amp;VLOOKUP(Table3[[#This Row],[Agen id]],A:B,2,0)&amp;"("&amp;Table3[[#This Row],[Short]]&amp;")")</f>
        <v/>
      </c>
      <c r="J97" s="7">
        <f>VLOOKUP(Table3[[#This Row],[Agen id]],Agen!A:C,3,0)</f>
        <v/>
      </c>
      <c r="K97" s="37">
        <f>TRIM(LEFT(Table3[[#This Row],[Group]],2))</f>
        <v/>
      </c>
      <c r="L97" s="3" t="inlineStr">
        <is>
          <t>NON SALES</t>
        </is>
      </c>
    </row>
    <row r="98">
      <c r="A98" s="5" t="inlineStr">
        <is>
          <t>OP00432</t>
        </is>
      </c>
      <c r="B98" s="6" t="inlineStr">
        <is>
          <t>BEATUS DIGITAL</t>
        </is>
      </c>
      <c r="C98" s="7" t="inlineStr">
        <is>
          <t>AV - Agen Verified</t>
        </is>
      </c>
      <c r="D98" s="1" t="inlineStr">
        <is>
          <t>OP00002</t>
        </is>
      </c>
      <c r="E98" s="8" t="n">
        <v>44763.80902777778</v>
      </c>
      <c r="F98" s="7" t="inlineStr">
        <is>
          <t>AGEN</t>
        </is>
      </c>
      <c r="G98" s="18" t="inlineStr">
        <is>
          <t>OP00432</t>
        </is>
      </c>
      <c r="H98" s="19">
        <f>UPPER(Table3[[#This Row],[Agen id]]&amp;"-"&amp;VLOOKUP(Table3[[#This Row],[Agen id]],A:B,2,0)&amp;"("&amp;Table3[[#This Row],[Short]]&amp;")")</f>
        <v/>
      </c>
      <c r="J98" s="7">
        <f>VLOOKUP(Table3[[#This Row],[Agen id]],Agen!A:C,3,0)</f>
        <v/>
      </c>
      <c r="K98" s="37">
        <f>TRIM(LEFT(Table3[[#This Row],[Group]],2))</f>
        <v/>
      </c>
      <c r="L98" s="3" t="inlineStr">
        <is>
          <t>NON SALES</t>
        </is>
      </c>
    </row>
    <row r="99">
      <c r="A99" s="5" t="inlineStr">
        <is>
          <t>OP00433</t>
        </is>
      </c>
      <c r="B99" s="6" t="inlineStr">
        <is>
          <t>Vildha</t>
        </is>
      </c>
      <c r="C99" s="7" t="inlineStr">
        <is>
          <t>A - Agen</t>
        </is>
      </c>
      <c r="D99" s="1" t="inlineStr">
        <is>
          <t>OP00002</t>
        </is>
      </c>
      <c r="E99" s="8" t="n">
        <v>44763.83125</v>
      </c>
      <c r="F99" s="7" t="inlineStr">
        <is>
          <t>AGEN</t>
        </is>
      </c>
      <c r="G99" s="18" t="inlineStr">
        <is>
          <t>OP00433</t>
        </is>
      </c>
      <c r="H99" s="19">
        <f>UPPER(Table3[[#This Row],[Agen id]]&amp;"-"&amp;VLOOKUP(Table3[[#This Row],[Agen id]],A:B,2,0)&amp;"("&amp;Table3[[#This Row],[Short]]&amp;")")</f>
        <v/>
      </c>
      <c r="J99" s="7">
        <f>VLOOKUP(Table3[[#This Row],[Agen id]],Agen!A:C,3,0)</f>
        <v/>
      </c>
      <c r="K99" s="37">
        <f>TRIM(LEFT(Table3[[#This Row],[Group]],2))</f>
        <v/>
      </c>
      <c r="L99" s="3" t="inlineStr">
        <is>
          <t>NON SALES</t>
        </is>
      </c>
    </row>
    <row r="100">
      <c r="A100" s="5" t="inlineStr">
        <is>
          <t>OP00444</t>
        </is>
      </c>
      <c r="B100" s="6" t="inlineStr">
        <is>
          <t>MAJU.BERKAH</t>
        </is>
      </c>
      <c r="C100" s="7" t="inlineStr">
        <is>
          <t>A - Agen</t>
        </is>
      </c>
      <c r="D100" s="1" t="inlineStr">
        <is>
          <t>OP00401</t>
        </is>
      </c>
      <c r="E100" s="8" t="n">
        <v>44764.3375</v>
      </c>
      <c r="F100" s="7" t="inlineStr">
        <is>
          <t>DOWNLINE</t>
        </is>
      </c>
      <c r="G100" s="18" t="inlineStr">
        <is>
          <t>OP00401</t>
        </is>
      </c>
      <c r="H100" s="19">
        <f>UPPER(Table3[[#This Row],[Agen id]]&amp;"-"&amp;VLOOKUP(Table3[[#This Row],[Agen id]],A:B,2,0)&amp;"("&amp;Table3[[#This Row],[Short]]&amp;")")</f>
        <v/>
      </c>
      <c r="J100" s="7">
        <f>VLOOKUP(Table3[[#This Row],[Agen id]],Agen!A:C,3,0)</f>
        <v/>
      </c>
      <c r="K100" s="37">
        <f>TRIM(LEFT(Table3[[#This Row],[Group]],2))</f>
        <v/>
      </c>
      <c r="L100" s="3" t="inlineStr">
        <is>
          <t>NON SALES</t>
        </is>
      </c>
    </row>
    <row r="101">
      <c r="A101" s="5" t="inlineStr">
        <is>
          <t>OP00448</t>
        </is>
      </c>
      <c r="B101" s="6" t="inlineStr">
        <is>
          <t>Vinda</t>
        </is>
      </c>
      <c r="C101" s="7" t="inlineStr">
        <is>
          <t>AV - Agen Verified</t>
        </is>
      </c>
      <c r="D101" s="1" t="inlineStr">
        <is>
          <t>OP00002</t>
        </is>
      </c>
      <c r="E101" s="8" t="n">
        <v>44764.56944444445</v>
      </c>
      <c r="F101" s="7" t="inlineStr">
        <is>
          <t>AGEN</t>
        </is>
      </c>
      <c r="G101" s="18" t="inlineStr">
        <is>
          <t>OP00448</t>
        </is>
      </c>
      <c r="H101" s="19">
        <f>UPPER(Table3[[#This Row],[Agen id]]&amp;"-"&amp;VLOOKUP(Table3[[#This Row],[Agen id]],A:B,2,0)&amp;"("&amp;Table3[[#This Row],[Short]]&amp;")")</f>
        <v/>
      </c>
      <c r="J101" s="7">
        <f>VLOOKUP(Table3[[#This Row],[Agen id]],Agen!A:C,3,0)</f>
        <v/>
      </c>
      <c r="K101" s="37">
        <f>TRIM(LEFT(Table3[[#This Row],[Group]],2))</f>
        <v/>
      </c>
      <c r="L101" s="3" t="inlineStr">
        <is>
          <t>NON SALES</t>
        </is>
      </c>
    </row>
    <row r="102">
      <c r="A102" s="5" t="inlineStr">
        <is>
          <t>OP00463</t>
        </is>
      </c>
      <c r="B102" s="6" t="inlineStr">
        <is>
          <t>Andriana</t>
        </is>
      </c>
      <c r="C102" s="7" t="inlineStr">
        <is>
          <t>A - Agen</t>
        </is>
      </c>
      <c r="D102" s="1" t="inlineStr">
        <is>
          <t>OP00002</t>
        </is>
      </c>
      <c r="E102" s="8" t="n">
        <v>44765.48125</v>
      </c>
      <c r="F102" s="7" t="inlineStr">
        <is>
          <t>AGEN</t>
        </is>
      </c>
      <c r="G102" s="18" t="inlineStr">
        <is>
          <t>OP00463</t>
        </is>
      </c>
      <c r="H102" s="19">
        <f>UPPER(Table3[[#This Row],[Agen id]]&amp;"-"&amp;VLOOKUP(Table3[[#This Row],[Agen id]],A:B,2,0)&amp;"("&amp;Table3[[#This Row],[Short]]&amp;")")</f>
        <v/>
      </c>
      <c r="J102" s="7">
        <f>VLOOKUP(Table3[[#This Row],[Agen id]],Agen!A:C,3,0)</f>
        <v/>
      </c>
      <c r="K102" s="37">
        <f>TRIM(LEFT(Table3[[#This Row],[Group]],2))</f>
        <v/>
      </c>
      <c r="L102" s="3" t="inlineStr">
        <is>
          <t>NON SALES</t>
        </is>
      </c>
    </row>
    <row r="103">
      <c r="A103" s="5" t="inlineStr">
        <is>
          <t>OP00478</t>
        </is>
      </c>
      <c r="B103" s="6" t="inlineStr">
        <is>
          <t>Alesha</t>
        </is>
      </c>
      <c r="C103" s="7" t="inlineStr">
        <is>
          <t>AV - Agen Verified</t>
        </is>
      </c>
      <c r="D103" s="1" t="inlineStr">
        <is>
          <t>OP00002</t>
        </is>
      </c>
      <c r="E103" s="8" t="n">
        <v>44765.90208333333</v>
      </c>
      <c r="F103" s="7" t="inlineStr">
        <is>
          <t>AGEN</t>
        </is>
      </c>
      <c r="G103" s="18" t="inlineStr">
        <is>
          <t>OP00478</t>
        </is>
      </c>
      <c r="H103" s="19">
        <f>UPPER(Table3[[#This Row],[Agen id]]&amp;"-"&amp;VLOOKUP(Table3[[#This Row],[Agen id]],A:B,2,0)&amp;"("&amp;Table3[[#This Row],[Short]]&amp;")")</f>
        <v/>
      </c>
      <c r="J103" s="7">
        <f>VLOOKUP(Table3[[#This Row],[Agen id]],Agen!A:C,3,0)</f>
        <v/>
      </c>
      <c r="K103" s="37">
        <f>TRIM(LEFT(Table3[[#This Row],[Group]],2))</f>
        <v/>
      </c>
      <c r="L103" s="3" t="inlineStr">
        <is>
          <t>NON SALES</t>
        </is>
      </c>
    </row>
    <row r="104">
      <c r="A104" s="13" t="inlineStr">
        <is>
          <t>OP00480</t>
        </is>
      </c>
      <c r="B104" s="6" t="inlineStr">
        <is>
          <t>Gerai Pulsa</t>
        </is>
      </c>
      <c r="C104" s="7" t="inlineStr">
        <is>
          <t>A - Agen</t>
        </is>
      </c>
      <c r="D104" s="1" t="inlineStr">
        <is>
          <t>OP00002</t>
        </is>
      </c>
      <c r="E104" s="8" t="n">
        <v>44765.93402777778</v>
      </c>
      <c r="F104" s="7" t="inlineStr">
        <is>
          <t>AGEN</t>
        </is>
      </c>
      <c r="G104" s="18" t="inlineStr">
        <is>
          <t>OP00480</t>
        </is>
      </c>
      <c r="H104" s="19">
        <f>UPPER(Table3[[#This Row],[Agen id]]&amp;"-"&amp;VLOOKUP(Table3[[#This Row],[Agen id]],A:B,2,0)&amp;"("&amp;Table3[[#This Row],[Short]]&amp;")")</f>
        <v/>
      </c>
      <c r="J104" s="7">
        <f>VLOOKUP(Table3[[#This Row],[Agen id]],Agen!A:C,3,0)</f>
        <v/>
      </c>
      <c r="K104" s="37">
        <f>TRIM(LEFT(Table3[[#This Row],[Group]],2))</f>
        <v/>
      </c>
      <c r="L104" s="3" t="inlineStr">
        <is>
          <t>NON SALES</t>
        </is>
      </c>
    </row>
    <row r="105">
      <c r="A105" s="5" t="inlineStr">
        <is>
          <t>OP00485</t>
        </is>
      </c>
      <c r="B105" s="6" t="inlineStr">
        <is>
          <t>Abdul Halim nasution</t>
        </is>
      </c>
      <c r="C105" s="7" t="inlineStr">
        <is>
          <t>A - Agen</t>
        </is>
      </c>
      <c r="D105" s="1" t="inlineStr">
        <is>
          <t>OP00002</t>
        </is>
      </c>
      <c r="E105" s="8" t="n">
        <v>44766.34166666667</v>
      </c>
      <c r="F105" s="7" t="inlineStr">
        <is>
          <t>AGEN</t>
        </is>
      </c>
      <c r="G105" s="18" t="inlineStr">
        <is>
          <t>OP00485</t>
        </is>
      </c>
      <c r="H105" s="19">
        <f>UPPER(Table3[[#This Row],[Agen id]]&amp;"-"&amp;VLOOKUP(Table3[[#This Row],[Agen id]],A:B,2,0)&amp;"("&amp;Table3[[#This Row],[Short]]&amp;")")</f>
        <v/>
      </c>
      <c r="J105" s="7">
        <f>VLOOKUP(Table3[[#This Row],[Agen id]],Agen!A:C,3,0)</f>
        <v/>
      </c>
      <c r="K105" s="37">
        <f>TRIM(LEFT(Table3[[#This Row],[Group]],2))</f>
        <v/>
      </c>
      <c r="L105" s="3" t="inlineStr">
        <is>
          <t>NON SALES</t>
        </is>
      </c>
    </row>
    <row r="106">
      <c r="A106" s="5" t="inlineStr">
        <is>
          <t>OP00511</t>
        </is>
      </c>
      <c r="B106" s="6" t="inlineStr">
        <is>
          <t>AHER PULSA</t>
        </is>
      </c>
      <c r="C106" s="7" t="inlineStr">
        <is>
          <t>A - Agen</t>
        </is>
      </c>
      <c r="D106" s="1" t="inlineStr">
        <is>
          <t>OP00002</t>
        </is>
      </c>
      <c r="E106" s="8" t="n">
        <v>44767.45625</v>
      </c>
      <c r="F106" s="7" t="inlineStr">
        <is>
          <t>AGEN</t>
        </is>
      </c>
      <c r="G106" s="18" t="inlineStr">
        <is>
          <t>OP00511</t>
        </is>
      </c>
      <c r="H106" s="19">
        <f>UPPER(Table3[[#This Row],[Agen id]]&amp;"-"&amp;VLOOKUP(Table3[[#This Row],[Agen id]],A:B,2,0)&amp;"("&amp;Table3[[#This Row],[Short]]&amp;")")</f>
        <v/>
      </c>
      <c r="J106" s="7">
        <f>VLOOKUP(Table3[[#This Row],[Agen id]],Agen!A:C,3,0)</f>
        <v/>
      </c>
      <c r="K106" s="37">
        <f>TRIM(LEFT(Table3[[#This Row],[Group]],2))</f>
        <v/>
      </c>
      <c r="L106" s="3" t="inlineStr">
        <is>
          <t>NON SALES</t>
        </is>
      </c>
    </row>
    <row r="107">
      <c r="A107" s="5" t="inlineStr">
        <is>
          <t>OP00520</t>
        </is>
      </c>
      <c r="B107" s="6" t="inlineStr">
        <is>
          <t>SARI INDAH agen BNI46</t>
        </is>
      </c>
      <c r="C107" s="7" t="inlineStr">
        <is>
          <t>A - Agen</t>
        </is>
      </c>
      <c r="D107" s="1" t="inlineStr">
        <is>
          <t>OP00002</t>
        </is>
      </c>
      <c r="E107" s="8" t="n">
        <v>44767.77152777778</v>
      </c>
      <c r="F107" s="7" t="inlineStr">
        <is>
          <t>AGEN</t>
        </is>
      </c>
      <c r="G107" s="18" t="inlineStr">
        <is>
          <t>OP00520</t>
        </is>
      </c>
      <c r="H107" s="19">
        <f>UPPER(Table3[[#This Row],[Agen id]]&amp;"-"&amp;VLOOKUP(Table3[[#This Row],[Agen id]],A:B,2,0)&amp;"("&amp;Table3[[#This Row],[Short]]&amp;")")</f>
        <v/>
      </c>
      <c r="J107" s="7">
        <f>VLOOKUP(Table3[[#This Row],[Agen id]],Agen!A:C,3,0)</f>
        <v/>
      </c>
      <c r="K107" s="37">
        <f>TRIM(LEFT(Table3[[#This Row],[Group]],2))</f>
        <v/>
      </c>
      <c r="L107" s="3" t="inlineStr">
        <is>
          <t>NON SALES</t>
        </is>
      </c>
    </row>
    <row r="108">
      <c r="A108" s="5" t="inlineStr">
        <is>
          <t>OP00527</t>
        </is>
      </c>
      <c r="B108" s="6" t="inlineStr">
        <is>
          <t>OCIN CELL</t>
        </is>
      </c>
      <c r="C108" s="7" t="inlineStr">
        <is>
          <t>AV - Agen Verified</t>
        </is>
      </c>
      <c r="D108" s="1" t="inlineStr">
        <is>
          <t>OP00002</t>
        </is>
      </c>
      <c r="E108" s="8" t="n">
        <v>44768.35347222222</v>
      </c>
      <c r="F108" s="7" t="inlineStr">
        <is>
          <t>AGEN</t>
        </is>
      </c>
      <c r="G108" s="18" t="inlineStr">
        <is>
          <t>OP00527</t>
        </is>
      </c>
      <c r="H108" s="19">
        <f>UPPER(Table3[[#This Row],[Agen id]]&amp;"-"&amp;VLOOKUP(Table3[[#This Row],[Agen id]],A:B,2,0)&amp;"("&amp;Table3[[#This Row],[Short]]&amp;")")</f>
        <v/>
      </c>
      <c r="J108" s="7">
        <f>VLOOKUP(Table3[[#This Row],[Agen id]],Agen!A:C,3,0)</f>
        <v/>
      </c>
      <c r="K108" s="37">
        <f>TRIM(LEFT(Table3[[#This Row],[Group]],2))</f>
        <v/>
      </c>
      <c r="L108" s="3" t="inlineStr">
        <is>
          <t>NON SALES</t>
        </is>
      </c>
    </row>
    <row r="109">
      <c r="A109" s="5" t="inlineStr">
        <is>
          <t>OP00533</t>
        </is>
      </c>
      <c r="B109" s="6" t="inlineStr">
        <is>
          <t>Winalestari</t>
        </is>
      </c>
      <c r="C109" s="7" t="inlineStr">
        <is>
          <t>A - Agen</t>
        </is>
      </c>
      <c r="D109" s="1" t="inlineStr">
        <is>
          <t>OP00002</t>
        </is>
      </c>
      <c r="E109" s="8" t="n">
        <v>44768.45069444444</v>
      </c>
      <c r="F109" s="7" t="inlineStr">
        <is>
          <t>AGEN</t>
        </is>
      </c>
      <c r="G109" s="18" t="inlineStr">
        <is>
          <t>OP00533</t>
        </is>
      </c>
      <c r="H109" s="19">
        <f>UPPER(Table3[[#This Row],[Agen id]]&amp;"-"&amp;VLOOKUP(Table3[[#This Row],[Agen id]],A:B,2,0)&amp;"("&amp;Table3[[#This Row],[Short]]&amp;")")</f>
        <v/>
      </c>
      <c r="J109" s="7">
        <f>VLOOKUP(Table3[[#This Row],[Agen id]],Agen!A:C,3,0)</f>
        <v/>
      </c>
      <c r="K109" s="37">
        <f>TRIM(LEFT(Table3[[#This Row],[Group]],2))</f>
        <v/>
      </c>
      <c r="L109" s="3" t="inlineStr">
        <is>
          <t>NON SALES</t>
        </is>
      </c>
    </row>
    <row r="110">
      <c r="A110" s="5" t="inlineStr">
        <is>
          <t>OP00535</t>
        </is>
      </c>
      <c r="B110" s="6" t="inlineStr">
        <is>
          <t>NandiFrewijaya</t>
        </is>
      </c>
      <c r="C110" s="7" t="inlineStr">
        <is>
          <t>A - Agen</t>
        </is>
      </c>
      <c r="D110" s="1" t="inlineStr">
        <is>
          <t>OP00002</t>
        </is>
      </c>
      <c r="E110" s="8" t="n">
        <v>44768.46388888889</v>
      </c>
      <c r="F110" s="7" t="inlineStr">
        <is>
          <t>AGEN</t>
        </is>
      </c>
      <c r="G110" s="18" t="inlineStr">
        <is>
          <t>OP00535</t>
        </is>
      </c>
      <c r="H110" s="19">
        <f>UPPER(Table3[[#This Row],[Agen id]]&amp;"-"&amp;VLOOKUP(Table3[[#This Row],[Agen id]],A:B,2,0)&amp;"("&amp;Table3[[#This Row],[Short]]&amp;")")</f>
        <v/>
      </c>
      <c r="J110" s="7">
        <f>VLOOKUP(Table3[[#This Row],[Agen id]],Agen!A:C,3,0)</f>
        <v/>
      </c>
      <c r="K110" s="37">
        <f>TRIM(LEFT(Table3[[#This Row],[Group]],2))</f>
        <v/>
      </c>
      <c r="L110" s="3" t="inlineStr">
        <is>
          <t>NON SALES</t>
        </is>
      </c>
    </row>
    <row r="111">
      <c r="A111" s="5" t="inlineStr">
        <is>
          <t>OP00548</t>
        </is>
      </c>
      <c r="B111" s="6" t="inlineStr">
        <is>
          <t>Samsuar</t>
        </is>
      </c>
      <c r="C111" s="7" t="inlineStr">
        <is>
          <t>A - Agen</t>
        </is>
      </c>
      <c r="D111" s="1" t="inlineStr">
        <is>
          <t>OP00002</t>
        </is>
      </c>
      <c r="E111" s="8" t="n">
        <v>44768.70347222222</v>
      </c>
      <c r="F111" s="7" t="inlineStr">
        <is>
          <t>AGEN</t>
        </is>
      </c>
      <c r="G111" s="18" t="inlineStr">
        <is>
          <t>OP00548</t>
        </is>
      </c>
      <c r="H111" s="19">
        <f>UPPER(Table3[[#This Row],[Agen id]]&amp;"-"&amp;VLOOKUP(Table3[[#This Row],[Agen id]],A:B,2,0)&amp;"("&amp;Table3[[#This Row],[Short]]&amp;")")</f>
        <v/>
      </c>
      <c r="J111" s="7">
        <f>VLOOKUP(Table3[[#This Row],[Agen id]],Agen!A:C,3,0)</f>
        <v/>
      </c>
      <c r="K111" s="37">
        <f>TRIM(LEFT(Table3[[#This Row],[Group]],2))</f>
        <v/>
      </c>
      <c r="L111" s="3" t="inlineStr">
        <is>
          <t>NON SALES</t>
        </is>
      </c>
    </row>
    <row r="112">
      <c r="A112" s="5" t="inlineStr">
        <is>
          <t>OP00550</t>
        </is>
      </c>
      <c r="B112" s="6" t="inlineStr">
        <is>
          <t>Fahirul</t>
        </is>
      </c>
      <c r="C112" s="7" t="inlineStr">
        <is>
          <t>A - Agen</t>
        </is>
      </c>
      <c r="D112" s="1" t="inlineStr">
        <is>
          <t>OP00002</t>
        </is>
      </c>
      <c r="E112" s="8" t="n">
        <v>44768.72152777778</v>
      </c>
      <c r="F112" s="7" t="inlineStr">
        <is>
          <t>AGEN</t>
        </is>
      </c>
      <c r="G112" s="18" t="inlineStr">
        <is>
          <t>OP00550</t>
        </is>
      </c>
      <c r="H112" s="19">
        <f>UPPER(Table3[[#This Row],[Agen id]]&amp;"-"&amp;VLOOKUP(Table3[[#This Row],[Agen id]],A:B,2,0)&amp;"("&amp;Table3[[#This Row],[Short]]&amp;")")</f>
        <v/>
      </c>
      <c r="J112" s="7">
        <f>VLOOKUP(Table3[[#This Row],[Agen id]],Agen!A:C,3,0)</f>
        <v/>
      </c>
      <c r="K112" s="37">
        <f>TRIM(LEFT(Table3[[#This Row],[Group]],2))</f>
        <v/>
      </c>
      <c r="L112" s="3" t="inlineStr">
        <is>
          <t>NON SALES</t>
        </is>
      </c>
    </row>
    <row r="113">
      <c r="A113" s="5" t="inlineStr">
        <is>
          <t>OP00577</t>
        </is>
      </c>
      <c r="B113" s="6" t="inlineStr">
        <is>
          <t>YANTI TINGKUE</t>
        </is>
      </c>
      <c r="C113" s="7" t="inlineStr">
        <is>
          <t>A - Agen</t>
        </is>
      </c>
      <c r="D113" s="1" t="inlineStr">
        <is>
          <t>OP00002</t>
        </is>
      </c>
      <c r="E113" s="8" t="n">
        <v>44769.99652777778</v>
      </c>
      <c r="F113" s="7" t="inlineStr">
        <is>
          <t>AGEN</t>
        </is>
      </c>
      <c r="G113" s="18" t="inlineStr">
        <is>
          <t>OP00577</t>
        </is>
      </c>
      <c r="H113" s="19">
        <f>UPPER(Table3[[#This Row],[Agen id]]&amp;"-"&amp;VLOOKUP(Table3[[#This Row],[Agen id]],A:B,2,0)&amp;"("&amp;Table3[[#This Row],[Short]]&amp;")")</f>
        <v/>
      </c>
      <c r="J113" s="7">
        <f>VLOOKUP(Table3[[#This Row],[Agen id]],Agen!A:C,3,0)</f>
        <v/>
      </c>
      <c r="K113" s="37">
        <f>TRIM(LEFT(Table3[[#This Row],[Group]],2))</f>
        <v/>
      </c>
      <c r="L113" s="3" t="inlineStr">
        <is>
          <t>NON SALES</t>
        </is>
      </c>
    </row>
    <row r="114">
      <c r="A114" s="5" t="inlineStr">
        <is>
          <t>OP00582</t>
        </is>
      </c>
      <c r="B114" s="6" t="inlineStr">
        <is>
          <t>BLIPUTUSHOP</t>
        </is>
      </c>
      <c r="C114" s="7" t="inlineStr">
        <is>
          <t>A - Agen</t>
        </is>
      </c>
      <c r="D114" s="1" t="inlineStr">
        <is>
          <t>OP00002</t>
        </is>
      </c>
      <c r="E114" s="8" t="n">
        <v>44770.10347222222</v>
      </c>
      <c r="F114" s="7" t="inlineStr">
        <is>
          <t>AGEN</t>
        </is>
      </c>
      <c r="G114" s="18" t="inlineStr">
        <is>
          <t>OP00582</t>
        </is>
      </c>
      <c r="H114" s="19">
        <f>UPPER(Table3[[#This Row],[Agen id]]&amp;"-"&amp;VLOOKUP(Table3[[#This Row],[Agen id]],A:B,2,0)&amp;"("&amp;Table3[[#This Row],[Short]]&amp;")")</f>
        <v/>
      </c>
      <c r="J114" s="7">
        <f>VLOOKUP(Table3[[#This Row],[Agen id]],Agen!A:C,3,0)</f>
        <v/>
      </c>
      <c r="K114" s="37">
        <f>TRIM(LEFT(Table3[[#This Row],[Group]],2))</f>
        <v/>
      </c>
      <c r="L114" s="3" t="inlineStr">
        <is>
          <t>NON SALES</t>
        </is>
      </c>
    </row>
    <row r="115">
      <c r="A115" s="5" t="inlineStr">
        <is>
          <t>OP00586</t>
        </is>
      </c>
      <c r="B115" s="6" t="inlineStr">
        <is>
          <t>Radencellshop</t>
        </is>
      </c>
      <c r="C115" s="7" t="inlineStr">
        <is>
          <t>AV - Agen Verified</t>
        </is>
      </c>
      <c r="D115" s="1" t="inlineStr">
        <is>
          <t>OP00002</t>
        </is>
      </c>
      <c r="E115" s="8" t="n">
        <v>44770.37708333333</v>
      </c>
      <c r="F115" s="7" t="inlineStr">
        <is>
          <t>AGEN</t>
        </is>
      </c>
      <c r="G115" s="18" t="inlineStr">
        <is>
          <t>OP00586</t>
        </is>
      </c>
      <c r="H115" s="19">
        <f>UPPER(Table3[[#This Row],[Agen id]]&amp;"-"&amp;VLOOKUP(Table3[[#This Row],[Agen id]],A:B,2,0)&amp;"("&amp;Table3[[#This Row],[Short]]&amp;")")</f>
        <v/>
      </c>
      <c r="J115" s="7">
        <f>VLOOKUP(Table3[[#This Row],[Agen id]],Agen!A:C,3,0)</f>
        <v/>
      </c>
      <c r="K115" s="37">
        <f>TRIM(LEFT(Table3[[#This Row],[Group]],2))</f>
        <v/>
      </c>
      <c r="L115" s="3" t="inlineStr">
        <is>
          <t>NON SALES</t>
        </is>
      </c>
    </row>
    <row r="116">
      <c r="A116" s="5" t="inlineStr">
        <is>
          <t>OP00594</t>
        </is>
      </c>
      <c r="B116" s="6" t="inlineStr">
        <is>
          <t>Indah</t>
        </is>
      </c>
      <c r="C116" s="7" t="inlineStr">
        <is>
          <t>AV - Agen Verified</t>
        </is>
      </c>
      <c r="D116" s="1" t="inlineStr">
        <is>
          <t>OP00284</t>
        </is>
      </c>
      <c r="E116" s="8" t="n">
        <v>44771.00416666667</v>
      </c>
      <c r="F116" s="7" t="inlineStr">
        <is>
          <t>DOWNLINE</t>
        </is>
      </c>
      <c r="G116" s="18" t="inlineStr">
        <is>
          <t>OP00014</t>
        </is>
      </c>
      <c r="H116" s="19">
        <f>UPPER(Table3[[#This Row],[Agen id]]&amp;"-"&amp;VLOOKUP(Table3[[#This Row],[Agen id]],A:B,2,0)&amp;"("&amp;Table3[[#This Row],[Short]]&amp;")")</f>
        <v/>
      </c>
      <c r="J116" s="7">
        <f>VLOOKUP(Table3[[#This Row],[Agen id]],Agen!A:C,3,0)</f>
        <v/>
      </c>
      <c r="K116" s="37">
        <f>TRIM(LEFT(Table3[[#This Row],[Group]],2))</f>
        <v/>
      </c>
      <c r="L116" s="3" t="inlineStr">
        <is>
          <t>NON SALES</t>
        </is>
      </c>
    </row>
    <row r="117">
      <c r="A117" s="5" t="inlineStr">
        <is>
          <t>OP00609</t>
        </is>
      </c>
      <c r="B117" s="6" t="inlineStr">
        <is>
          <t>Srini</t>
        </is>
      </c>
      <c r="C117" s="7" t="inlineStr">
        <is>
          <t>A - Agen</t>
        </is>
      </c>
      <c r="D117" s="1" t="inlineStr">
        <is>
          <t>OP00335</t>
        </is>
      </c>
      <c r="E117" s="8" t="n">
        <v>44771.35972222222</v>
      </c>
      <c r="F117" s="7" t="inlineStr">
        <is>
          <t>DOWNLINE</t>
        </is>
      </c>
      <c r="G117" s="18" t="inlineStr">
        <is>
          <t>OP00335</t>
        </is>
      </c>
      <c r="H117" s="19">
        <f>UPPER(Table3[[#This Row],[Agen id]]&amp;"-"&amp;VLOOKUP(Table3[[#This Row],[Agen id]],A:B,2,0)&amp;"("&amp;Table3[[#This Row],[Short]]&amp;")")</f>
        <v/>
      </c>
      <c r="J117" s="7">
        <f>VLOOKUP(Table3[[#This Row],[Agen id]],Agen!A:C,3,0)</f>
        <v/>
      </c>
      <c r="K117" s="37">
        <f>TRIM(LEFT(Table3[[#This Row],[Group]],2))</f>
        <v/>
      </c>
      <c r="L117" s="3" t="inlineStr">
        <is>
          <t>NON SALES</t>
        </is>
      </c>
    </row>
    <row r="118">
      <c r="A118" s="5" t="inlineStr">
        <is>
          <t>OP00613</t>
        </is>
      </c>
      <c r="B118" s="6" t="inlineStr">
        <is>
          <t>M.YUSUF</t>
        </is>
      </c>
      <c r="C118" s="7" t="inlineStr">
        <is>
          <t>A - Agen</t>
        </is>
      </c>
      <c r="D118" s="1" t="inlineStr">
        <is>
          <t>OP00335</t>
        </is>
      </c>
      <c r="E118" s="8" t="n">
        <v>44771.71666666667</v>
      </c>
      <c r="F118" s="7" t="inlineStr">
        <is>
          <t>DOWNLINE</t>
        </is>
      </c>
      <c r="G118" s="18" t="inlineStr">
        <is>
          <t>OP00335</t>
        </is>
      </c>
      <c r="H118" s="19">
        <f>UPPER(Table3[[#This Row],[Agen id]]&amp;"-"&amp;VLOOKUP(Table3[[#This Row],[Agen id]],A:B,2,0)&amp;"("&amp;Table3[[#This Row],[Short]]&amp;")")</f>
        <v/>
      </c>
      <c r="J118" s="7">
        <f>VLOOKUP(Table3[[#This Row],[Agen id]],Agen!A:C,3,0)</f>
        <v/>
      </c>
      <c r="K118" s="37">
        <f>TRIM(LEFT(Table3[[#This Row],[Group]],2))</f>
        <v/>
      </c>
      <c r="L118" s="3" t="inlineStr">
        <is>
          <t>NON SALES</t>
        </is>
      </c>
    </row>
    <row r="119">
      <c r="A119" s="5" t="inlineStr">
        <is>
          <t>OP00615</t>
        </is>
      </c>
      <c r="B119" s="6" t="inlineStr">
        <is>
          <t>Ita Cell</t>
        </is>
      </c>
      <c r="C119" s="7" t="inlineStr">
        <is>
          <t>A - Agen</t>
        </is>
      </c>
      <c r="D119" s="1" t="inlineStr">
        <is>
          <t>OP00002</t>
        </is>
      </c>
      <c r="E119" s="8" t="n">
        <v>44771.85625</v>
      </c>
      <c r="F119" s="7" t="inlineStr">
        <is>
          <t>DOWNLINE</t>
        </is>
      </c>
      <c r="G119" s="18" t="inlineStr">
        <is>
          <t>OP00049</t>
        </is>
      </c>
      <c r="H119" s="19">
        <f>UPPER(Table3[[#This Row],[Agen id]]&amp;"-"&amp;VLOOKUP(Table3[[#This Row],[Agen id]],A:B,2,0)&amp;"("&amp;Table3[[#This Row],[Short]]&amp;")")</f>
        <v/>
      </c>
      <c r="J119" s="7">
        <f>VLOOKUP(Table3[[#This Row],[Agen id]],Agen!A:C,3,0)</f>
        <v/>
      </c>
      <c r="K119" s="37">
        <f>TRIM(LEFT(Table3[[#This Row],[Group]],2))</f>
        <v/>
      </c>
      <c r="L119" s="3" t="inlineStr">
        <is>
          <t>NON SALES</t>
        </is>
      </c>
    </row>
    <row r="120">
      <c r="A120" s="5" t="inlineStr">
        <is>
          <t>OP00618</t>
        </is>
      </c>
      <c r="B120" s="6" t="inlineStr">
        <is>
          <t>DUPLANI</t>
        </is>
      </c>
      <c r="C120" s="7" t="inlineStr">
        <is>
          <t>A - Agen</t>
        </is>
      </c>
      <c r="D120" s="1" t="inlineStr">
        <is>
          <t>OP00002</t>
        </is>
      </c>
      <c r="E120" s="8" t="n">
        <v>44772.17430555556</v>
      </c>
      <c r="F120" s="7" t="inlineStr">
        <is>
          <t>AGEN</t>
        </is>
      </c>
      <c r="G120" s="18" t="inlineStr">
        <is>
          <t>OP00618</t>
        </is>
      </c>
      <c r="H120" s="19">
        <f>UPPER(Table3[[#This Row],[Agen id]]&amp;"-"&amp;VLOOKUP(Table3[[#This Row],[Agen id]],A:B,2,0)&amp;"("&amp;Table3[[#This Row],[Short]]&amp;")")</f>
        <v/>
      </c>
      <c r="J120" s="7">
        <f>VLOOKUP(Table3[[#This Row],[Agen id]],Agen!A:C,3,0)</f>
        <v/>
      </c>
      <c r="K120" s="37">
        <f>TRIM(LEFT(Table3[[#This Row],[Group]],2))</f>
        <v/>
      </c>
      <c r="L120" s="3" t="inlineStr">
        <is>
          <t>NON SALES</t>
        </is>
      </c>
    </row>
    <row r="121">
      <c r="A121" s="5" t="inlineStr">
        <is>
          <t>OP00621</t>
        </is>
      </c>
      <c r="B121" s="6" t="inlineStr">
        <is>
          <t>Dewi cell</t>
        </is>
      </c>
      <c r="C121" s="7" t="inlineStr">
        <is>
          <t>A - Agen</t>
        </is>
      </c>
      <c r="D121" s="1" t="inlineStr">
        <is>
          <t>OP00002</t>
        </is>
      </c>
      <c r="E121" s="8" t="n">
        <v>44772.32986111111</v>
      </c>
      <c r="F121" s="7" t="inlineStr">
        <is>
          <t>AGEN</t>
        </is>
      </c>
      <c r="G121" s="18" t="inlineStr">
        <is>
          <t>OP00621</t>
        </is>
      </c>
      <c r="H121" s="19">
        <f>UPPER(Table3[[#This Row],[Agen id]]&amp;"-"&amp;VLOOKUP(Table3[[#This Row],[Agen id]],A:B,2,0)&amp;"("&amp;Table3[[#This Row],[Short]]&amp;")")</f>
        <v/>
      </c>
      <c r="J121" s="7">
        <f>VLOOKUP(Table3[[#This Row],[Agen id]],Agen!A:C,3,0)</f>
        <v/>
      </c>
      <c r="K121" s="37">
        <f>TRIM(LEFT(Table3[[#This Row],[Group]],2))</f>
        <v/>
      </c>
      <c r="L121" s="3" t="inlineStr">
        <is>
          <t>NON SALES</t>
        </is>
      </c>
    </row>
    <row r="122">
      <c r="A122" s="5" t="inlineStr">
        <is>
          <t>OP00630</t>
        </is>
      </c>
      <c r="B122" s="6" t="inlineStr">
        <is>
          <t>Widada</t>
        </is>
      </c>
      <c r="C122" s="7" t="inlineStr">
        <is>
          <t>A - Agen</t>
        </is>
      </c>
      <c r="D122" s="1" t="inlineStr">
        <is>
          <t>OP00002</t>
        </is>
      </c>
      <c r="E122" s="8" t="n">
        <v>44773.19930555556</v>
      </c>
      <c r="F122" s="7" t="inlineStr">
        <is>
          <t>AGEN</t>
        </is>
      </c>
      <c r="G122" s="18" t="inlineStr">
        <is>
          <t>OP00630</t>
        </is>
      </c>
      <c r="H122" s="19">
        <f>UPPER(Table3[[#This Row],[Agen id]]&amp;"-"&amp;VLOOKUP(Table3[[#This Row],[Agen id]],A:B,2,0)&amp;"("&amp;Table3[[#This Row],[Short]]&amp;")")</f>
        <v/>
      </c>
      <c r="J122" s="7">
        <f>VLOOKUP(Table3[[#This Row],[Agen id]],Agen!A:C,3,0)</f>
        <v/>
      </c>
      <c r="K122" s="37">
        <f>TRIM(LEFT(Table3[[#This Row],[Group]],2))</f>
        <v/>
      </c>
      <c r="L122" s="3" t="inlineStr">
        <is>
          <t>NON SALES</t>
        </is>
      </c>
    </row>
    <row r="123">
      <c r="A123" s="5" t="inlineStr">
        <is>
          <t>OP00637</t>
        </is>
      </c>
      <c r="B123" s="6" t="inlineStr">
        <is>
          <t>BEJO 54</t>
        </is>
      </c>
      <c r="C123" s="7" t="inlineStr">
        <is>
          <t>A - Agen</t>
        </is>
      </c>
      <c r="D123" s="1" t="inlineStr">
        <is>
          <t>OP00002</t>
        </is>
      </c>
      <c r="E123" s="8" t="n">
        <v>44773.75972222222</v>
      </c>
      <c r="F123" s="7" t="inlineStr">
        <is>
          <t>AGEN</t>
        </is>
      </c>
      <c r="G123" s="18" t="inlineStr">
        <is>
          <t>OP00637</t>
        </is>
      </c>
      <c r="H123" s="19">
        <f>UPPER(Table3[[#This Row],[Agen id]]&amp;"-"&amp;VLOOKUP(Table3[[#This Row],[Agen id]],A:B,2,0)&amp;"("&amp;Table3[[#This Row],[Short]]&amp;")")</f>
        <v/>
      </c>
      <c r="J123" s="7">
        <f>VLOOKUP(Table3[[#This Row],[Agen id]],Agen!A:C,3,0)</f>
        <v/>
      </c>
      <c r="K123" s="37">
        <f>TRIM(LEFT(Table3[[#This Row],[Group]],2))</f>
        <v/>
      </c>
      <c r="L123" s="3" t="inlineStr">
        <is>
          <t>NON SALES</t>
        </is>
      </c>
    </row>
    <row r="124">
      <c r="A124" s="5" t="inlineStr">
        <is>
          <t>OP00655</t>
        </is>
      </c>
      <c r="B124" s="6" t="inlineStr">
        <is>
          <t>Purnama Cell</t>
        </is>
      </c>
      <c r="C124" s="7" t="inlineStr">
        <is>
          <t>A - Agen</t>
        </is>
      </c>
      <c r="D124" s="1" t="inlineStr">
        <is>
          <t>OP00049</t>
        </is>
      </c>
      <c r="E124" s="8" t="n">
        <v>44776.34722222222</v>
      </c>
      <c r="F124" s="7" t="inlineStr">
        <is>
          <t>DOWNLINE</t>
        </is>
      </c>
      <c r="G124" s="18" t="inlineStr">
        <is>
          <t>OP00049</t>
        </is>
      </c>
      <c r="H124" s="19">
        <f>UPPER(Table3[[#This Row],[Agen id]]&amp;"-"&amp;VLOOKUP(Table3[[#This Row],[Agen id]],A:B,2,0)&amp;"("&amp;Table3[[#This Row],[Short]]&amp;")")</f>
        <v/>
      </c>
      <c r="J124" s="7">
        <f>VLOOKUP(Table3[[#This Row],[Agen id]],Agen!A:C,3,0)</f>
        <v/>
      </c>
      <c r="K124" s="37">
        <f>TRIM(LEFT(Table3[[#This Row],[Group]],2))</f>
        <v/>
      </c>
      <c r="L124" s="3" t="inlineStr">
        <is>
          <t>NON SALES</t>
        </is>
      </c>
    </row>
    <row r="125">
      <c r="A125" s="5" t="inlineStr">
        <is>
          <t>OP00662</t>
        </is>
      </c>
      <c r="B125" s="6" t="inlineStr">
        <is>
          <t>Ahmad</t>
        </is>
      </c>
      <c r="C125" s="7" t="inlineStr">
        <is>
          <t>A - Agen</t>
        </is>
      </c>
      <c r="D125" s="1" t="inlineStr">
        <is>
          <t>OP00238</t>
        </is>
      </c>
      <c r="E125" s="8" t="n">
        <v>44777.90555555555</v>
      </c>
      <c r="F125" s="7" t="inlineStr">
        <is>
          <t>DOWNLINE</t>
        </is>
      </c>
      <c r="G125" s="18" t="inlineStr">
        <is>
          <t>OP00238</t>
        </is>
      </c>
      <c r="H125" s="19">
        <f>UPPER(Table3[[#This Row],[Agen id]]&amp;"-"&amp;VLOOKUP(Table3[[#This Row],[Agen id]],A:B,2,0)&amp;"("&amp;Table3[[#This Row],[Short]]&amp;")")</f>
        <v/>
      </c>
      <c r="J125" s="7">
        <f>VLOOKUP(Table3[[#This Row],[Agen id]],Agen!A:C,3,0)</f>
        <v/>
      </c>
      <c r="K125" s="37">
        <f>TRIM(LEFT(Table3[[#This Row],[Group]],2))</f>
        <v/>
      </c>
      <c r="L125" s="3" t="inlineStr">
        <is>
          <t>NON SALES</t>
        </is>
      </c>
    </row>
    <row r="126">
      <c r="A126" s="5" t="inlineStr">
        <is>
          <t>OP00665</t>
        </is>
      </c>
      <c r="B126" s="6" t="inlineStr">
        <is>
          <t>Sutan</t>
        </is>
      </c>
      <c r="C126" s="7" t="inlineStr">
        <is>
          <t>A - Agen</t>
        </is>
      </c>
      <c r="D126" s="1" t="inlineStr">
        <is>
          <t>OP00002</t>
        </is>
      </c>
      <c r="E126" s="8" t="n">
        <v>44779.22083333333</v>
      </c>
      <c r="F126" s="7" t="inlineStr">
        <is>
          <t>AGEN</t>
        </is>
      </c>
      <c r="G126" s="18" t="inlineStr">
        <is>
          <t>OP00665</t>
        </is>
      </c>
      <c r="H126" s="19">
        <f>UPPER(Table3[[#This Row],[Agen id]]&amp;"-"&amp;VLOOKUP(Table3[[#This Row],[Agen id]],A:B,2,0)&amp;"("&amp;Table3[[#This Row],[Short]]&amp;")")</f>
        <v/>
      </c>
      <c r="J126" s="7">
        <f>VLOOKUP(Table3[[#This Row],[Agen id]],Agen!A:C,3,0)</f>
        <v/>
      </c>
      <c r="K126" s="37">
        <f>TRIM(LEFT(Table3[[#This Row],[Group]],2))</f>
        <v/>
      </c>
      <c r="L126" s="3" t="inlineStr">
        <is>
          <t>NON SALES</t>
        </is>
      </c>
    </row>
    <row r="127">
      <c r="A127" s="5" t="inlineStr">
        <is>
          <t>OP00667</t>
        </is>
      </c>
      <c r="B127" s="6" t="inlineStr">
        <is>
          <t>Ismawidya</t>
        </is>
      </c>
      <c r="C127" s="7" t="inlineStr">
        <is>
          <t>A - Agen</t>
        </is>
      </c>
      <c r="D127" s="1" t="inlineStr">
        <is>
          <t>OP00002</t>
        </is>
      </c>
      <c r="E127" s="8" t="n">
        <v>44779.70138888889</v>
      </c>
      <c r="F127" s="7" t="inlineStr">
        <is>
          <t>AGEN</t>
        </is>
      </c>
      <c r="G127" s="18" t="inlineStr">
        <is>
          <t>OP00667</t>
        </is>
      </c>
      <c r="H127" s="19">
        <f>UPPER(Table3[[#This Row],[Agen id]]&amp;"-"&amp;VLOOKUP(Table3[[#This Row],[Agen id]],A:B,2,0)&amp;"("&amp;Table3[[#This Row],[Short]]&amp;")")</f>
        <v/>
      </c>
      <c r="J127" s="7">
        <f>VLOOKUP(Table3[[#This Row],[Agen id]],Agen!A:C,3,0)</f>
        <v/>
      </c>
      <c r="K127" s="37">
        <f>TRIM(LEFT(Table3[[#This Row],[Group]],2))</f>
        <v/>
      </c>
      <c r="L127" s="3" t="inlineStr">
        <is>
          <t>NON SALES</t>
        </is>
      </c>
    </row>
    <row r="128">
      <c r="A128" s="5" t="inlineStr">
        <is>
          <t>OP00670</t>
        </is>
      </c>
      <c r="B128" s="6" t="inlineStr">
        <is>
          <t>Rubia</t>
        </is>
      </c>
      <c r="C128" s="7" t="inlineStr">
        <is>
          <t>A - Agen</t>
        </is>
      </c>
      <c r="D128" s="1" t="inlineStr">
        <is>
          <t>OP00431</t>
        </is>
      </c>
      <c r="E128" s="8" t="n">
        <v>44780.29027777778</v>
      </c>
      <c r="F128" s="7" t="inlineStr">
        <is>
          <t>DOWNLINE</t>
        </is>
      </c>
      <c r="G128" s="18" t="inlineStr">
        <is>
          <t>OP00431</t>
        </is>
      </c>
      <c r="H128" s="19">
        <f>UPPER(Table3[[#This Row],[Agen id]]&amp;"-"&amp;VLOOKUP(Table3[[#This Row],[Agen id]],A:B,2,0)&amp;"("&amp;Table3[[#This Row],[Short]]&amp;")")</f>
        <v/>
      </c>
      <c r="J128" s="7">
        <f>VLOOKUP(Table3[[#This Row],[Agen id]],Agen!A:C,3,0)</f>
        <v/>
      </c>
      <c r="K128" s="37">
        <f>TRIM(LEFT(Table3[[#This Row],[Group]],2))</f>
        <v/>
      </c>
      <c r="L128" s="3" t="inlineStr">
        <is>
          <t>NON SALES</t>
        </is>
      </c>
    </row>
    <row r="129">
      <c r="A129" s="5" t="inlineStr">
        <is>
          <t>OP00671</t>
        </is>
      </c>
      <c r="B129" s="6" t="inlineStr">
        <is>
          <t>Quin Cell</t>
        </is>
      </c>
      <c r="C129" s="7" t="inlineStr">
        <is>
          <t>A - Agen</t>
        </is>
      </c>
      <c r="D129" s="1" t="inlineStr">
        <is>
          <t>OP00180</t>
        </is>
      </c>
      <c r="E129" s="8" t="n">
        <v>44781.41319444445</v>
      </c>
      <c r="F129" s="7" t="inlineStr">
        <is>
          <t>DOWNLINE</t>
        </is>
      </c>
      <c r="G129" s="18" t="inlineStr">
        <is>
          <t>OP00180</t>
        </is>
      </c>
      <c r="H129" s="19">
        <f>UPPER(Table3[[#This Row],[Agen id]]&amp;"-"&amp;VLOOKUP(Table3[[#This Row],[Agen id]],A:B,2,0)&amp;"("&amp;Table3[[#This Row],[Short]]&amp;")")</f>
        <v/>
      </c>
      <c r="J129" s="7">
        <f>VLOOKUP(Table3[[#This Row],[Agen id]],Agen!A:C,3,0)</f>
        <v/>
      </c>
      <c r="K129" s="37">
        <f>TRIM(LEFT(Table3[[#This Row],[Group]],2))</f>
        <v/>
      </c>
      <c r="L129" s="3" t="inlineStr">
        <is>
          <t>NON SALES</t>
        </is>
      </c>
    </row>
    <row r="130">
      <c r="A130" s="5" t="inlineStr">
        <is>
          <t>OP00680</t>
        </is>
      </c>
      <c r="B130" s="6" t="inlineStr">
        <is>
          <t>Oasis</t>
        </is>
      </c>
      <c r="C130" s="7" t="inlineStr">
        <is>
          <t>A - Agen</t>
        </is>
      </c>
      <c r="D130" s="1" t="inlineStr">
        <is>
          <t>OP00002</t>
        </is>
      </c>
      <c r="E130" s="8" t="n">
        <v>44781.87430555555</v>
      </c>
      <c r="F130" s="7" t="inlineStr">
        <is>
          <t>AGEN</t>
        </is>
      </c>
      <c r="G130" s="18" t="inlineStr">
        <is>
          <t>OP00680</t>
        </is>
      </c>
      <c r="H130" s="19">
        <f>UPPER(Table3[[#This Row],[Agen id]]&amp;"-"&amp;VLOOKUP(Table3[[#This Row],[Agen id]],A:B,2,0)&amp;"("&amp;Table3[[#This Row],[Short]]&amp;")")</f>
        <v/>
      </c>
      <c r="J130" s="7">
        <f>VLOOKUP(Table3[[#This Row],[Agen id]],Agen!A:C,3,0)</f>
        <v/>
      </c>
      <c r="K130" s="37">
        <f>TRIM(LEFT(Table3[[#This Row],[Group]],2))</f>
        <v/>
      </c>
      <c r="L130" s="3" t="inlineStr">
        <is>
          <t>NON SALES</t>
        </is>
      </c>
    </row>
    <row r="131">
      <c r="A131" s="5" t="inlineStr">
        <is>
          <t>OP00682</t>
        </is>
      </c>
      <c r="B131" s="6" t="inlineStr">
        <is>
          <t>thina</t>
        </is>
      </c>
      <c r="C131" s="7" t="inlineStr">
        <is>
          <t>A - Agen</t>
        </is>
      </c>
      <c r="D131" s="1" t="inlineStr">
        <is>
          <t>OP00002</t>
        </is>
      </c>
      <c r="E131" s="8" t="n">
        <v>44781.92569444444</v>
      </c>
      <c r="F131" s="7" t="inlineStr">
        <is>
          <t>AGEN</t>
        </is>
      </c>
      <c r="G131" s="18" t="inlineStr">
        <is>
          <t>OP00682</t>
        </is>
      </c>
      <c r="H131" s="19">
        <f>UPPER(Table3[[#This Row],[Agen id]]&amp;"-"&amp;VLOOKUP(Table3[[#This Row],[Agen id]],A:B,2,0)&amp;"("&amp;Table3[[#This Row],[Short]]&amp;")")</f>
        <v/>
      </c>
      <c r="J131" s="7">
        <f>VLOOKUP(Table3[[#This Row],[Agen id]],Agen!A:C,3,0)</f>
        <v/>
      </c>
      <c r="K131" s="37">
        <f>TRIM(LEFT(Table3[[#This Row],[Group]],2))</f>
        <v/>
      </c>
      <c r="L131" s="3" t="inlineStr">
        <is>
          <t>NON SALES</t>
        </is>
      </c>
    </row>
    <row r="132">
      <c r="A132" s="5" t="inlineStr">
        <is>
          <t>OP00684</t>
        </is>
      </c>
      <c r="B132" s="6" t="inlineStr">
        <is>
          <t>Fransiskus Meo</t>
        </is>
      </c>
      <c r="C132" s="7" t="inlineStr">
        <is>
          <t>MK - Marketing</t>
        </is>
      </c>
      <c r="D132" s="1" t="inlineStr">
        <is>
          <t>OP00002</t>
        </is>
      </c>
      <c r="E132" s="8" t="n">
        <v>44782.25416666667</v>
      </c>
      <c r="F132" s="7" t="inlineStr">
        <is>
          <t>AGEN</t>
        </is>
      </c>
      <c r="G132" s="18" t="inlineStr">
        <is>
          <t>OP00684</t>
        </is>
      </c>
      <c r="H132" s="19">
        <f>UPPER(Table3[[#This Row],[Agen id]]&amp;"-"&amp;VLOOKUP(Table3[[#This Row],[Agen id]],A:B,2,0)&amp;"("&amp;Table3[[#This Row],[Short]]&amp;")")</f>
        <v/>
      </c>
      <c r="J132" s="7">
        <f>VLOOKUP(Table3[[#This Row],[Agen id]],Agen!A:C,3,0)</f>
        <v/>
      </c>
      <c r="K132" s="37">
        <f>TRIM(LEFT(Table3[[#This Row],[Group]],2))</f>
        <v/>
      </c>
      <c r="L132" s="3" t="inlineStr">
        <is>
          <t>NON SALES</t>
        </is>
      </c>
    </row>
    <row r="133">
      <c r="A133" s="5" t="inlineStr">
        <is>
          <t>OP00685</t>
        </is>
      </c>
      <c r="B133" s="6" t="inlineStr">
        <is>
          <t>IRFANCELL3000</t>
        </is>
      </c>
      <c r="C133" s="7" t="inlineStr">
        <is>
          <t>AV - Agen Verified</t>
        </is>
      </c>
      <c r="D133" s="1" t="inlineStr">
        <is>
          <t>OP00064</t>
        </is>
      </c>
      <c r="E133" s="8" t="n">
        <v>44782.30208333334</v>
      </c>
      <c r="F133" s="7" t="inlineStr">
        <is>
          <t>DOWNLINE</t>
        </is>
      </c>
      <c r="G133" s="18" t="inlineStr">
        <is>
          <t>OP00049</t>
        </is>
      </c>
      <c r="H133" s="19">
        <f>UPPER(Table3[[#This Row],[Agen id]]&amp;"-"&amp;VLOOKUP(Table3[[#This Row],[Agen id]],A:B,2,0)&amp;"("&amp;Table3[[#This Row],[Short]]&amp;")")</f>
        <v/>
      </c>
      <c r="J133" s="7">
        <f>VLOOKUP(Table3[[#This Row],[Agen id]],Agen!A:C,3,0)</f>
        <v/>
      </c>
      <c r="K133" s="37">
        <f>TRIM(LEFT(Table3[[#This Row],[Group]],2))</f>
        <v/>
      </c>
      <c r="L133" s="3" t="inlineStr">
        <is>
          <t>NON SALES</t>
        </is>
      </c>
    </row>
    <row r="134">
      <c r="A134" s="5" t="inlineStr">
        <is>
          <t>OP00688</t>
        </is>
      </c>
      <c r="B134" s="6" t="inlineStr">
        <is>
          <t>YAHYA CELL</t>
        </is>
      </c>
      <c r="C134" s="7" t="inlineStr">
        <is>
          <t>AV - Agen Verified</t>
        </is>
      </c>
      <c r="D134" s="1" t="inlineStr">
        <is>
          <t>OP00002</t>
        </is>
      </c>
      <c r="E134" s="8" t="n">
        <v>44782.34652777778</v>
      </c>
      <c r="F134" s="7" t="inlineStr">
        <is>
          <t>AGEN</t>
        </is>
      </c>
      <c r="G134" s="18" t="inlineStr">
        <is>
          <t>OP00688</t>
        </is>
      </c>
      <c r="H134" s="19">
        <f>UPPER(Table3[[#This Row],[Agen id]]&amp;"-"&amp;VLOOKUP(Table3[[#This Row],[Agen id]],A:B,2,0)&amp;"("&amp;Table3[[#This Row],[Short]]&amp;")")</f>
        <v/>
      </c>
      <c r="J134" s="7">
        <f>VLOOKUP(Table3[[#This Row],[Agen id]],Agen!A:C,3,0)</f>
        <v/>
      </c>
      <c r="K134" s="37">
        <f>TRIM(LEFT(Table3[[#This Row],[Group]],2))</f>
        <v/>
      </c>
      <c r="L134" s="3" t="inlineStr">
        <is>
          <t>NON SALES</t>
        </is>
      </c>
    </row>
    <row r="135">
      <c r="A135" s="5" t="inlineStr">
        <is>
          <t>OP00700</t>
        </is>
      </c>
      <c r="B135" s="6" t="inlineStr">
        <is>
          <t>Raden1</t>
        </is>
      </c>
      <c r="C135" s="7" t="inlineStr">
        <is>
          <t>A - Agen</t>
        </is>
      </c>
      <c r="D135" s="1" t="inlineStr">
        <is>
          <t>OP00586</t>
        </is>
      </c>
      <c r="E135" s="8" t="n">
        <v>44782.51111111111</v>
      </c>
      <c r="F135" s="7" t="inlineStr">
        <is>
          <t>DOWNLINE</t>
        </is>
      </c>
      <c r="G135" s="18" t="inlineStr">
        <is>
          <t>OP00586</t>
        </is>
      </c>
      <c r="H135" s="19">
        <f>UPPER(Table3[[#This Row],[Agen id]]&amp;"-"&amp;VLOOKUP(Table3[[#This Row],[Agen id]],A:B,2,0)&amp;"("&amp;Table3[[#This Row],[Short]]&amp;")")</f>
        <v/>
      </c>
      <c r="J135" s="7">
        <f>VLOOKUP(Table3[[#This Row],[Agen id]],Agen!A:C,3,0)</f>
        <v/>
      </c>
      <c r="K135" s="37">
        <f>TRIM(LEFT(Table3[[#This Row],[Group]],2))</f>
        <v/>
      </c>
      <c r="L135" s="3" t="inlineStr">
        <is>
          <t>NON SALES</t>
        </is>
      </c>
    </row>
    <row r="136">
      <c r="A136" s="5" t="inlineStr">
        <is>
          <t>OP00707</t>
        </is>
      </c>
      <c r="B136" s="6" t="inlineStr">
        <is>
          <t>Kikhy</t>
        </is>
      </c>
      <c r="C136" s="7" t="inlineStr">
        <is>
          <t>AV - Agen Verified</t>
        </is>
      </c>
      <c r="D136" s="1" t="inlineStr">
        <is>
          <t>OP00002</t>
        </is>
      </c>
      <c r="E136" s="8" t="n">
        <v>44782.79791666667</v>
      </c>
      <c r="F136" s="7" t="inlineStr">
        <is>
          <t>AGEN</t>
        </is>
      </c>
      <c r="G136" s="18" t="inlineStr">
        <is>
          <t>OP00707</t>
        </is>
      </c>
      <c r="H136" s="19">
        <f>UPPER(Table3[[#This Row],[Agen id]]&amp;"-"&amp;VLOOKUP(Table3[[#This Row],[Agen id]],A:B,2,0)&amp;"("&amp;Table3[[#This Row],[Short]]&amp;")")</f>
        <v/>
      </c>
      <c r="J136" s="7">
        <f>VLOOKUP(Table3[[#This Row],[Agen id]],Agen!A:C,3,0)</f>
        <v/>
      </c>
      <c r="K136" s="37">
        <f>TRIM(LEFT(Table3[[#This Row],[Group]],2))</f>
        <v/>
      </c>
      <c r="L136" s="3" t="inlineStr">
        <is>
          <t>NON SALES</t>
        </is>
      </c>
    </row>
    <row r="137">
      <c r="A137" s="5" t="inlineStr">
        <is>
          <t>OP00713</t>
        </is>
      </c>
      <c r="B137" s="6" t="inlineStr">
        <is>
          <t>Erasdi Cell</t>
        </is>
      </c>
      <c r="C137" s="7" t="inlineStr">
        <is>
          <t>A - Agen</t>
        </is>
      </c>
      <c r="D137" s="1" t="inlineStr">
        <is>
          <t>OP00002</t>
        </is>
      </c>
      <c r="E137" s="8" t="n">
        <v>44783.01319444444</v>
      </c>
      <c r="F137" s="7" t="inlineStr">
        <is>
          <t>AGEN</t>
        </is>
      </c>
      <c r="G137" s="18" t="inlineStr">
        <is>
          <t>OP00713</t>
        </is>
      </c>
      <c r="H137" s="19">
        <f>UPPER(Table3[[#This Row],[Agen id]]&amp;"-"&amp;VLOOKUP(Table3[[#This Row],[Agen id]],A:B,2,0)&amp;"("&amp;Table3[[#This Row],[Short]]&amp;")")</f>
        <v/>
      </c>
      <c r="J137" s="7">
        <f>VLOOKUP(Table3[[#This Row],[Agen id]],Agen!A:C,3,0)</f>
        <v/>
      </c>
      <c r="K137" s="37">
        <f>TRIM(LEFT(Table3[[#This Row],[Group]],2))</f>
        <v/>
      </c>
      <c r="L137" s="3" t="inlineStr">
        <is>
          <t>NON SALES</t>
        </is>
      </c>
    </row>
    <row r="138">
      <c r="A138" s="5" t="inlineStr">
        <is>
          <t>OP00726</t>
        </is>
      </c>
      <c r="B138" s="6" t="inlineStr">
        <is>
          <t>Asty</t>
        </is>
      </c>
      <c r="C138" s="7" t="inlineStr">
        <is>
          <t>AV - Agen Verified</t>
        </is>
      </c>
      <c r="D138" s="1" t="inlineStr">
        <is>
          <t>OP00002</t>
        </is>
      </c>
      <c r="E138" s="8" t="n">
        <v>44783.15277777778</v>
      </c>
      <c r="F138" s="7" t="inlineStr">
        <is>
          <t>AGEN</t>
        </is>
      </c>
      <c r="G138" s="18" t="inlineStr">
        <is>
          <t>OP00726</t>
        </is>
      </c>
      <c r="H138" s="19">
        <f>UPPER(Table3[[#This Row],[Agen id]]&amp;"-"&amp;VLOOKUP(Table3[[#This Row],[Agen id]],A:B,2,0)&amp;"("&amp;Table3[[#This Row],[Short]]&amp;")")</f>
        <v/>
      </c>
      <c r="J138" s="7">
        <f>VLOOKUP(Table3[[#This Row],[Agen id]],Agen!A:C,3,0)</f>
        <v/>
      </c>
      <c r="K138" s="37">
        <f>TRIM(LEFT(Table3[[#This Row],[Group]],2))</f>
        <v/>
      </c>
      <c r="L138" s="3" t="inlineStr">
        <is>
          <t>NON SALES</t>
        </is>
      </c>
    </row>
    <row r="139">
      <c r="A139" s="5" t="inlineStr">
        <is>
          <t>OP00729</t>
        </is>
      </c>
      <c r="B139" s="6" t="inlineStr">
        <is>
          <t>Pulsa</t>
        </is>
      </c>
      <c r="C139" s="7" t="inlineStr">
        <is>
          <t>AV - Agen Verified</t>
        </is>
      </c>
      <c r="D139" s="1" t="inlineStr">
        <is>
          <t>OP00002</t>
        </is>
      </c>
      <c r="E139" s="8" t="n">
        <v>44783.24861111111</v>
      </c>
      <c r="F139" s="7" t="inlineStr">
        <is>
          <t>AGEN</t>
        </is>
      </c>
      <c r="G139" s="18" t="inlineStr">
        <is>
          <t>OP00729</t>
        </is>
      </c>
      <c r="H139" s="19">
        <f>UPPER(Table3[[#This Row],[Agen id]]&amp;"-"&amp;VLOOKUP(Table3[[#This Row],[Agen id]],A:B,2,0)&amp;"("&amp;Table3[[#This Row],[Short]]&amp;")")</f>
        <v/>
      </c>
      <c r="J139" s="7">
        <f>VLOOKUP(Table3[[#This Row],[Agen id]],Agen!A:C,3,0)</f>
        <v/>
      </c>
      <c r="K139" s="37">
        <f>TRIM(LEFT(Table3[[#This Row],[Group]],2))</f>
        <v/>
      </c>
      <c r="L139" s="3" t="inlineStr">
        <is>
          <t>NON SALES</t>
        </is>
      </c>
    </row>
    <row r="140">
      <c r="A140" s="5" t="inlineStr">
        <is>
          <t>OP00733</t>
        </is>
      </c>
      <c r="B140" s="6" t="inlineStr">
        <is>
          <t>Ade kusman</t>
        </is>
      </c>
      <c r="C140" s="7" t="inlineStr">
        <is>
          <t>A - Agen</t>
        </is>
      </c>
      <c r="D140" s="1" t="inlineStr">
        <is>
          <t>OP00002</t>
        </is>
      </c>
      <c r="E140" s="8" t="n">
        <v>44783.43055555555</v>
      </c>
      <c r="F140" s="7" t="inlineStr">
        <is>
          <t>AGEN</t>
        </is>
      </c>
      <c r="G140" s="18" t="inlineStr">
        <is>
          <t>OP00733</t>
        </is>
      </c>
      <c r="H140" s="19">
        <f>UPPER(Table3[[#This Row],[Agen id]]&amp;"-"&amp;VLOOKUP(Table3[[#This Row],[Agen id]],A:B,2,0)&amp;"("&amp;Table3[[#This Row],[Short]]&amp;")")</f>
        <v/>
      </c>
      <c r="J140" s="7">
        <f>VLOOKUP(Table3[[#This Row],[Agen id]],Agen!A:C,3,0)</f>
        <v/>
      </c>
      <c r="K140" s="37">
        <f>TRIM(LEFT(Table3[[#This Row],[Group]],2))</f>
        <v/>
      </c>
      <c r="L140" s="3" t="inlineStr">
        <is>
          <t>NON SALES</t>
        </is>
      </c>
    </row>
    <row r="141">
      <c r="A141" s="5" t="inlineStr">
        <is>
          <t>OP00761</t>
        </is>
      </c>
      <c r="B141" s="6" t="inlineStr">
        <is>
          <t>RR cell</t>
        </is>
      </c>
      <c r="C141" s="7" t="inlineStr">
        <is>
          <t>MK - Marketing</t>
        </is>
      </c>
      <c r="D141" s="1" t="inlineStr">
        <is>
          <t>OP00002</t>
        </is>
      </c>
      <c r="E141" s="8" t="n">
        <v>44784.0375</v>
      </c>
      <c r="F141" s="7" t="inlineStr">
        <is>
          <t>AGEN</t>
        </is>
      </c>
      <c r="G141" s="18" t="inlineStr">
        <is>
          <t>OP00761</t>
        </is>
      </c>
      <c r="H141" s="19">
        <f>UPPER(Table3[[#This Row],[Agen id]]&amp;"-"&amp;VLOOKUP(Table3[[#This Row],[Agen id]],A:B,2,0)&amp;"("&amp;Table3[[#This Row],[Short]]&amp;")")</f>
        <v/>
      </c>
      <c r="J141" s="7">
        <f>VLOOKUP(Table3[[#This Row],[Agen id]],Agen!A:C,3,0)</f>
        <v/>
      </c>
      <c r="K141" s="37">
        <f>TRIM(LEFT(Table3[[#This Row],[Group]],2))</f>
        <v/>
      </c>
      <c r="L141" s="3" t="inlineStr">
        <is>
          <t>NON SALES</t>
        </is>
      </c>
    </row>
    <row r="142">
      <c r="A142" s="5" t="inlineStr">
        <is>
          <t>OP00771</t>
        </is>
      </c>
      <c r="B142" s="6" t="inlineStr">
        <is>
          <t>ADI RAHMAT NUGRAHA</t>
        </is>
      </c>
      <c r="C142" s="7" t="inlineStr">
        <is>
          <t>A - Agen</t>
        </is>
      </c>
      <c r="D142" s="1" t="inlineStr">
        <is>
          <t>OP00002</t>
        </is>
      </c>
      <c r="E142" s="8" t="n">
        <v>44784.28263888889</v>
      </c>
      <c r="F142" s="7" t="inlineStr">
        <is>
          <t>AGEN</t>
        </is>
      </c>
      <c r="G142" s="18" t="inlineStr">
        <is>
          <t>OP00771</t>
        </is>
      </c>
      <c r="H142" s="19">
        <f>UPPER(Table3[[#This Row],[Agen id]]&amp;"-"&amp;VLOOKUP(Table3[[#This Row],[Agen id]],A:B,2,0)&amp;"("&amp;Table3[[#This Row],[Short]]&amp;")")</f>
        <v/>
      </c>
      <c r="J142" s="7">
        <f>VLOOKUP(Table3[[#This Row],[Agen id]],Agen!A:C,3,0)</f>
        <v/>
      </c>
      <c r="K142" s="37">
        <f>TRIM(LEFT(Table3[[#This Row],[Group]],2))</f>
        <v/>
      </c>
      <c r="L142" s="3" t="inlineStr">
        <is>
          <t>NON SALES</t>
        </is>
      </c>
    </row>
    <row r="143">
      <c r="A143" s="5" t="inlineStr">
        <is>
          <t>OP00776</t>
        </is>
      </c>
      <c r="B143" s="6" t="inlineStr">
        <is>
          <t>Asis Kaledupa</t>
        </is>
      </c>
      <c r="C143" s="7" t="inlineStr">
        <is>
          <t>A - Agen</t>
        </is>
      </c>
      <c r="D143" s="1" t="inlineStr">
        <is>
          <t>OP00002</t>
        </is>
      </c>
      <c r="E143" s="8" t="n">
        <v>44784.36597222222</v>
      </c>
      <c r="F143" s="7" t="inlineStr">
        <is>
          <t>AGEN</t>
        </is>
      </c>
      <c r="G143" s="18" t="inlineStr">
        <is>
          <t>OP00776</t>
        </is>
      </c>
      <c r="H143" s="19">
        <f>UPPER(Table3[[#This Row],[Agen id]]&amp;"-"&amp;VLOOKUP(Table3[[#This Row],[Agen id]],A:B,2,0)&amp;"("&amp;Table3[[#This Row],[Short]]&amp;")")</f>
        <v/>
      </c>
      <c r="J143" s="7">
        <f>VLOOKUP(Table3[[#This Row],[Agen id]],Agen!A:C,3,0)</f>
        <v/>
      </c>
      <c r="K143" s="37">
        <f>TRIM(LEFT(Table3[[#This Row],[Group]],2))</f>
        <v/>
      </c>
      <c r="L143" s="3" t="inlineStr">
        <is>
          <t>NON SALES</t>
        </is>
      </c>
    </row>
    <row r="144">
      <c r="A144" s="5" t="inlineStr">
        <is>
          <t>OP00783</t>
        </is>
      </c>
      <c r="B144" s="6" t="inlineStr">
        <is>
          <t>Host Cell</t>
        </is>
      </c>
      <c r="C144" s="7" t="inlineStr">
        <is>
          <t>AV - Agen Verified</t>
        </is>
      </c>
      <c r="D144" s="1" t="inlineStr">
        <is>
          <t>OP00002</t>
        </is>
      </c>
      <c r="E144" s="8" t="n">
        <v>44784.48055555556</v>
      </c>
      <c r="F144" s="7" t="inlineStr">
        <is>
          <t>AGEN</t>
        </is>
      </c>
      <c r="G144" s="18" t="inlineStr">
        <is>
          <t>OP00783</t>
        </is>
      </c>
      <c r="H144" s="19">
        <f>UPPER(Table3[[#This Row],[Agen id]]&amp;"-"&amp;VLOOKUP(Table3[[#This Row],[Agen id]],A:B,2,0)&amp;"("&amp;Table3[[#This Row],[Short]]&amp;")")</f>
        <v/>
      </c>
      <c r="J144" s="7">
        <f>VLOOKUP(Table3[[#This Row],[Agen id]],Agen!A:C,3,0)</f>
        <v/>
      </c>
      <c r="K144" s="37">
        <f>TRIM(LEFT(Table3[[#This Row],[Group]],2))</f>
        <v/>
      </c>
      <c r="L144" s="3" t="inlineStr">
        <is>
          <t>NON SALES</t>
        </is>
      </c>
    </row>
    <row r="145">
      <c r="A145" s="5" t="inlineStr">
        <is>
          <t>OP00788</t>
        </is>
      </c>
      <c r="B145" s="6" t="inlineStr">
        <is>
          <t>FAYEQ</t>
        </is>
      </c>
      <c r="C145" s="7" t="inlineStr">
        <is>
          <t>A - Agen</t>
        </is>
      </c>
      <c r="D145" s="1" t="inlineStr">
        <is>
          <t>OP00431</t>
        </is>
      </c>
      <c r="E145" s="8" t="n">
        <v>44784.56527777778</v>
      </c>
      <c r="F145" s="7" t="inlineStr">
        <is>
          <t>DOWNLINE</t>
        </is>
      </c>
      <c r="G145" s="18" t="inlineStr">
        <is>
          <t>OP00431</t>
        </is>
      </c>
      <c r="H145" s="19">
        <f>UPPER(Table3[[#This Row],[Agen id]]&amp;"-"&amp;VLOOKUP(Table3[[#This Row],[Agen id]],A:B,2,0)&amp;"("&amp;Table3[[#This Row],[Short]]&amp;")")</f>
        <v/>
      </c>
      <c r="J145" s="7">
        <f>VLOOKUP(Table3[[#This Row],[Agen id]],Agen!A:C,3,0)</f>
        <v/>
      </c>
      <c r="K145" s="37">
        <f>TRIM(LEFT(Table3[[#This Row],[Group]],2))</f>
        <v/>
      </c>
      <c r="L145" s="3" t="inlineStr">
        <is>
          <t>NON SALES</t>
        </is>
      </c>
    </row>
    <row r="146">
      <c r="A146" s="5" t="inlineStr">
        <is>
          <t>OP00790</t>
        </is>
      </c>
      <c r="B146" s="6" t="inlineStr">
        <is>
          <t>Slamet aryanto</t>
        </is>
      </c>
      <c r="C146" s="7" t="inlineStr">
        <is>
          <t>A - Agen</t>
        </is>
      </c>
      <c r="D146" s="1" t="inlineStr">
        <is>
          <t>OP00002</t>
        </is>
      </c>
      <c r="E146" s="8" t="n">
        <v>44784.59166666667</v>
      </c>
      <c r="F146" s="7" t="inlineStr">
        <is>
          <t>AGEN</t>
        </is>
      </c>
      <c r="G146" s="18" t="inlineStr">
        <is>
          <t>OP00790</t>
        </is>
      </c>
      <c r="H146" s="19">
        <f>UPPER(Table3[[#This Row],[Agen id]]&amp;"-"&amp;VLOOKUP(Table3[[#This Row],[Agen id]],A:B,2,0)&amp;"("&amp;Table3[[#This Row],[Short]]&amp;")")</f>
        <v/>
      </c>
      <c r="J146" s="7">
        <f>VLOOKUP(Table3[[#This Row],[Agen id]],Agen!A:C,3,0)</f>
        <v/>
      </c>
      <c r="K146" s="37">
        <f>TRIM(LEFT(Table3[[#This Row],[Group]],2))</f>
        <v/>
      </c>
      <c r="L146" s="3" t="inlineStr">
        <is>
          <t>NON SALES</t>
        </is>
      </c>
    </row>
    <row r="147">
      <c r="A147" s="5" t="inlineStr">
        <is>
          <t>OP00791</t>
        </is>
      </c>
      <c r="B147" s="6" t="inlineStr">
        <is>
          <t>Aris</t>
        </is>
      </c>
      <c r="C147" s="7" t="inlineStr">
        <is>
          <t>A - Agen</t>
        </is>
      </c>
      <c r="D147" s="1" t="inlineStr">
        <is>
          <t>OP00002</t>
        </is>
      </c>
      <c r="E147" s="8" t="n">
        <v>44784.59236111111</v>
      </c>
      <c r="F147" s="7" t="inlineStr">
        <is>
          <t>AGEN</t>
        </is>
      </c>
      <c r="G147" s="18" t="inlineStr">
        <is>
          <t>OP00791</t>
        </is>
      </c>
      <c r="H147" s="19">
        <f>UPPER(Table3[[#This Row],[Agen id]]&amp;"-"&amp;VLOOKUP(Table3[[#This Row],[Agen id]],A:B,2,0)&amp;"("&amp;Table3[[#This Row],[Short]]&amp;")")</f>
        <v/>
      </c>
      <c r="J147" s="7">
        <f>VLOOKUP(Table3[[#This Row],[Agen id]],Agen!A:C,3,0)</f>
        <v/>
      </c>
      <c r="K147" s="37">
        <f>TRIM(LEFT(Table3[[#This Row],[Group]],2))</f>
        <v/>
      </c>
      <c r="L147" s="3" t="inlineStr">
        <is>
          <t>NON SALES</t>
        </is>
      </c>
    </row>
    <row r="148">
      <c r="A148" s="5" t="inlineStr">
        <is>
          <t>OP00800</t>
        </is>
      </c>
      <c r="B148" s="6" t="inlineStr">
        <is>
          <t>WAODE RAHAYU</t>
        </is>
      </c>
      <c r="C148" s="7" t="inlineStr">
        <is>
          <t>A - Agen</t>
        </is>
      </c>
      <c r="D148" s="1" t="inlineStr">
        <is>
          <t>OP00431</t>
        </is>
      </c>
      <c r="E148" s="8" t="n">
        <v>44784.67430555556</v>
      </c>
      <c r="F148" s="7" t="inlineStr">
        <is>
          <t>DOWNLINE</t>
        </is>
      </c>
      <c r="G148" s="18" t="inlineStr">
        <is>
          <t>OP00431</t>
        </is>
      </c>
      <c r="H148" s="19">
        <f>UPPER(Table3[[#This Row],[Agen id]]&amp;"-"&amp;VLOOKUP(Table3[[#This Row],[Agen id]],A:B,2,0)&amp;"("&amp;Table3[[#This Row],[Short]]&amp;")")</f>
        <v/>
      </c>
      <c r="J148" s="7">
        <f>VLOOKUP(Table3[[#This Row],[Agen id]],Agen!A:C,3,0)</f>
        <v/>
      </c>
      <c r="K148" s="37">
        <f>TRIM(LEFT(Table3[[#This Row],[Group]],2))</f>
        <v/>
      </c>
      <c r="L148" s="3" t="inlineStr">
        <is>
          <t>NON SALES</t>
        </is>
      </c>
    </row>
    <row r="149">
      <c r="A149" s="5" t="inlineStr">
        <is>
          <t>OP00801</t>
        </is>
      </c>
      <c r="B149" s="6" t="inlineStr">
        <is>
          <t>Ujang didi</t>
        </is>
      </c>
      <c r="C149" s="7" t="inlineStr">
        <is>
          <t>AV - Agen Verified</t>
        </is>
      </c>
      <c r="D149" s="1" t="inlineStr">
        <is>
          <t>OP00238</t>
        </is>
      </c>
      <c r="E149" s="8" t="n">
        <v>44784.69236111111</v>
      </c>
      <c r="F149" s="7" t="inlineStr">
        <is>
          <t>DOWNLINE</t>
        </is>
      </c>
      <c r="G149" s="18" t="inlineStr">
        <is>
          <t>OP00238</t>
        </is>
      </c>
      <c r="H149" s="19">
        <f>UPPER(Table3[[#This Row],[Agen id]]&amp;"-"&amp;VLOOKUP(Table3[[#This Row],[Agen id]],A:B,2,0)&amp;"("&amp;Table3[[#This Row],[Short]]&amp;")")</f>
        <v/>
      </c>
      <c r="J149" s="7">
        <f>VLOOKUP(Table3[[#This Row],[Agen id]],Agen!A:C,3,0)</f>
        <v/>
      </c>
      <c r="K149" s="37">
        <f>TRIM(LEFT(Table3[[#This Row],[Group]],2))</f>
        <v/>
      </c>
      <c r="L149" s="3" t="inlineStr">
        <is>
          <t>NON SALES</t>
        </is>
      </c>
    </row>
    <row r="150">
      <c r="A150" s="5" t="inlineStr">
        <is>
          <t>OP00820</t>
        </is>
      </c>
      <c r="B150" s="6" t="inlineStr">
        <is>
          <t>Bambangwijoyo</t>
        </is>
      </c>
      <c r="C150" s="7" t="inlineStr">
        <is>
          <t>AV - Agen Verified</t>
        </is>
      </c>
      <c r="D150" s="1" t="inlineStr">
        <is>
          <t>OP00002</t>
        </is>
      </c>
      <c r="E150" s="8" t="n">
        <v>44785.25625</v>
      </c>
      <c r="F150" s="7" t="inlineStr">
        <is>
          <t>AGEN</t>
        </is>
      </c>
      <c r="G150" s="18" t="inlineStr">
        <is>
          <t>OP00820</t>
        </is>
      </c>
      <c r="H150" s="19">
        <f>UPPER(Table3[[#This Row],[Agen id]]&amp;"-"&amp;VLOOKUP(Table3[[#This Row],[Agen id]],A:B,2,0)&amp;"("&amp;Table3[[#This Row],[Short]]&amp;")")</f>
        <v/>
      </c>
      <c r="J150" s="7">
        <f>VLOOKUP(Table3[[#This Row],[Agen id]],Agen!A:C,3,0)</f>
        <v/>
      </c>
      <c r="K150" s="37">
        <f>TRIM(LEFT(Table3[[#This Row],[Group]],2))</f>
        <v/>
      </c>
      <c r="L150" s="3" t="inlineStr">
        <is>
          <t>NON SALES</t>
        </is>
      </c>
    </row>
    <row r="151">
      <c r="A151" s="5" t="inlineStr">
        <is>
          <t>OP00825</t>
        </is>
      </c>
      <c r="B151" s="6" t="inlineStr">
        <is>
          <t>Suryadi</t>
        </is>
      </c>
      <c r="C151" s="7" t="inlineStr">
        <is>
          <t>AV - Agen Verified</t>
        </is>
      </c>
      <c r="D151" s="1" t="inlineStr">
        <is>
          <t>OP00284</t>
        </is>
      </c>
      <c r="E151" s="8" t="n">
        <v>44785.29166666666</v>
      </c>
      <c r="F151" s="7" t="inlineStr">
        <is>
          <t>DOWNLINE</t>
        </is>
      </c>
      <c r="G151" s="18" t="inlineStr">
        <is>
          <t>OP00014</t>
        </is>
      </c>
      <c r="H151" s="19">
        <f>UPPER(Table3[[#This Row],[Agen id]]&amp;"-"&amp;VLOOKUP(Table3[[#This Row],[Agen id]],A:B,2,0)&amp;"("&amp;Table3[[#This Row],[Short]]&amp;")")</f>
        <v/>
      </c>
      <c r="J151" s="7">
        <f>VLOOKUP(Table3[[#This Row],[Agen id]],Agen!A:C,3,0)</f>
        <v/>
      </c>
      <c r="K151" s="37">
        <f>TRIM(LEFT(Table3[[#This Row],[Group]],2))</f>
        <v/>
      </c>
      <c r="L151" s="3" t="inlineStr">
        <is>
          <t>NON SALES</t>
        </is>
      </c>
    </row>
    <row r="152">
      <c r="A152" s="5" t="inlineStr">
        <is>
          <t>OP00829</t>
        </is>
      </c>
      <c r="B152" s="6" t="inlineStr">
        <is>
          <t>lina</t>
        </is>
      </c>
      <c r="C152" s="7" t="inlineStr">
        <is>
          <t>A - Agen</t>
        </is>
      </c>
      <c r="D152" s="1" t="inlineStr">
        <is>
          <t>OP00002</t>
        </is>
      </c>
      <c r="E152" s="8" t="n">
        <v>44785.32847222222</v>
      </c>
      <c r="F152" s="7" t="inlineStr">
        <is>
          <t>AGEN</t>
        </is>
      </c>
      <c r="G152" s="18" t="inlineStr">
        <is>
          <t>OP00829</t>
        </is>
      </c>
      <c r="H152" s="19">
        <f>UPPER(Table3[[#This Row],[Agen id]]&amp;"-"&amp;VLOOKUP(Table3[[#This Row],[Agen id]],A:B,2,0)&amp;"("&amp;Table3[[#This Row],[Short]]&amp;")")</f>
        <v/>
      </c>
      <c r="J152" s="7">
        <f>VLOOKUP(Table3[[#This Row],[Agen id]],Agen!A:C,3,0)</f>
        <v/>
      </c>
      <c r="K152" s="37">
        <f>TRIM(LEFT(Table3[[#This Row],[Group]],2))</f>
        <v/>
      </c>
      <c r="L152" s="3" t="inlineStr">
        <is>
          <t>NON SALES</t>
        </is>
      </c>
    </row>
    <row r="153">
      <c r="A153" s="5" t="inlineStr">
        <is>
          <t>OP00832</t>
        </is>
      </c>
      <c r="B153" s="6" t="inlineStr">
        <is>
          <t>Hery samboh</t>
        </is>
      </c>
      <c r="C153" s="7" t="inlineStr">
        <is>
          <t>A - Agen</t>
        </is>
      </c>
      <c r="D153" s="1" t="inlineStr">
        <is>
          <t>OP00002</t>
        </is>
      </c>
      <c r="E153" s="8" t="n">
        <v>44785.38958333333</v>
      </c>
      <c r="F153" s="7" t="inlineStr">
        <is>
          <t>AGEN</t>
        </is>
      </c>
      <c r="G153" s="18" t="inlineStr">
        <is>
          <t>OP00832</t>
        </is>
      </c>
      <c r="H153" s="19">
        <f>UPPER(Table3[[#This Row],[Agen id]]&amp;"-"&amp;VLOOKUP(Table3[[#This Row],[Agen id]],A:B,2,0)&amp;"("&amp;Table3[[#This Row],[Short]]&amp;")")</f>
        <v/>
      </c>
      <c r="J153" s="7">
        <f>VLOOKUP(Table3[[#This Row],[Agen id]],Agen!A:C,3,0)</f>
        <v/>
      </c>
      <c r="K153" s="37">
        <f>TRIM(LEFT(Table3[[#This Row],[Group]],2))</f>
        <v/>
      </c>
      <c r="L153" s="3" t="inlineStr">
        <is>
          <t>NON SALES</t>
        </is>
      </c>
    </row>
    <row r="154">
      <c r="A154" s="5" t="inlineStr">
        <is>
          <t>OP00842</t>
        </is>
      </c>
      <c r="B154" s="6" t="inlineStr">
        <is>
          <t>Umar Dani</t>
        </is>
      </c>
      <c r="C154" s="7" t="inlineStr">
        <is>
          <t>AV - Agen Verified</t>
        </is>
      </c>
      <c r="D154" s="1" t="inlineStr">
        <is>
          <t>OP00002</t>
        </is>
      </c>
      <c r="E154" s="8" t="n">
        <v>44785.48541666667</v>
      </c>
      <c r="F154" s="7" t="inlineStr">
        <is>
          <t>AGEN</t>
        </is>
      </c>
      <c r="G154" s="18" t="inlineStr">
        <is>
          <t>OP00842</t>
        </is>
      </c>
      <c r="H154" s="19">
        <f>UPPER(Table3[[#This Row],[Agen id]]&amp;"-"&amp;VLOOKUP(Table3[[#This Row],[Agen id]],A:B,2,0)&amp;"("&amp;Table3[[#This Row],[Short]]&amp;")")</f>
        <v/>
      </c>
      <c r="J154" s="7">
        <f>VLOOKUP(Table3[[#This Row],[Agen id]],Agen!A:C,3,0)</f>
        <v/>
      </c>
      <c r="K154" s="37">
        <f>TRIM(LEFT(Table3[[#This Row],[Group]],2))</f>
        <v/>
      </c>
      <c r="L154" s="3" t="inlineStr">
        <is>
          <t>NON SALES</t>
        </is>
      </c>
    </row>
    <row r="155">
      <c r="A155" s="5" t="inlineStr">
        <is>
          <t>OP00847</t>
        </is>
      </c>
      <c r="B155" s="6" t="inlineStr">
        <is>
          <t>Rifandi</t>
        </is>
      </c>
      <c r="C155" s="7" t="inlineStr">
        <is>
          <t>AV - Agen Verified</t>
        </is>
      </c>
      <c r="D155" s="1" t="inlineStr">
        <is>
          <t>OP00002</t>
        </is>
      </c>
      <c r="E155" s="8" t="n">
        <v>44785.56041666667</v>
      </c>
      <c r="F155" s="7" t="inlineStr">
        <is>
          <t>AGEN</t>
        </is>
      </c>
      <c r="G155" s="18" t="inlineStr">
        <is>
          <t>OP00847</t>
        </is>
      </c>
      <c r="H155" s="19">
        <f>UPPER(Table3[[#This Row],[Agen id]]&amp;"-"&amp;VLOOKUP(Table3[[#This Row],[Agen id]],A:B,2,0)&amp;"("&amp;Table3[[#This Row],[Short]]&amp;")")</f>
        <v/>
      </c>
      <c r="J155" s="7">
        <f>VLOOKUP(Table3[[#This Row],[Agen id]],Agen!A:C,3,0)</f>
        <v/>
      </c>
      <c r="K155" s="37">
        <f>TRIM(LEFT(Table3[[#This Row],[Group]],2))</f>
        <v/>
      </c>
      <c r="L155" s="3" t="inlineStr">
        <is>
          <t>NON SALES</t>
        </is>
      </c>
    </row>
    <row r="156">
      <c r="A156" s="5" t="inlineStr">
        <is>
          <t>OP00848</t>
        </is>
      </c>
      <c r="B156" s="6" t="inlineStr">
        <is>
          <t>ANDI SOPYAN</t>
        </is>
      </c>
      <c r="C156" s="7" t="inlineStr">
        <is>
          <t>MK - Marketing</t>
        </is>
      </c>
      <c r="D156" s="1" t="inlineStr">
        <is>
          <t>OP00002</t>
        </is>
      </c>
      <c r="E156" s="8" t="n">
        <v>44785.58680555555</v>
      </c>
      <c r="F156" s="7" t="inlineStr">
        <is>
          <t>AGEN</t>
        </is>
      </c>
      <c r="G156" s="18" t="inlineStr">
        <is>
          <t>OP00848</t>
        </is>
      </c>
      <c r="H156" s="19">
        <f>UPPER(Table3[[#This Row],[Agen id]]&amp;"-"&amp;VLOOKUP(Table3[[#This Row],[Agen id]],A:B,2,0)&amp;"("&amp;Table3[[#This Row],[Short]]&amp;")")</f>
        <v/>
      </c>
      <c r="J156" s="7">
        <f>VLOOKUP(Table3[[#This Row],[Agen id]],Agen!A:C,3,0)</f>
        <v/>
      </c>
      <c r="K156" s="37">
        <f>TRIM(LEFT(Table3[[#This Row],[Group]],2))</f>
        <v/>
      </c>
      <c r="L156" s="3" t="inlineStr">
        <is>
          <t>NON SALES</t>
        </is>
      </c>
    </row>
    <row r="157">
      <c r="A157" s="5" t="inlineStr">
        <is>
          <t>OP00851</t>
        </is>
      </c>
      <c r="B157" s="6" t="inlineStr">
        <is>
          <t>FADILAH</t>
        </is>
      </c>
      <c r="C157" s="7" t="inlineStr">
        <is>
          <t>AV - Agen Verified</t>
        </is>
      </c>
      <c r="D157" s="1" t="inlineStr">
        <is>
          <t>OP00002</t>
        </is>
      </c>
      <c r="E157" s="8" t="n">
        <v>44785.62222222222</v>
      </c>
      <c r="F157" s="7" t="inlineStr">
        <is>
          <t>AGEN</t>
        </is>
      </c>
      <c r="G157" s="18" t="inlineStr">
        <is>
          <t>OP00851</t>
        </is>
      </c>
      <c r="H157" s="19">
        <f>UPPER(Table3[[#This Row],[Agen id]]&amp;"-"&amp;VLOOKUP(Table3[[#This Row],[Agen id]],A:B,2,0)&amp;"("&amp;Table3[[#This Row],[Short]]&amp;")")</f>
        <v/>
      </c>
      <c r="J157" s="7">
        <f>VLOOKUP(Table3[[#This Row],[Agen id]],Agen!A:C,3,0)</f>
        <v/>
      </c>
      <c r="K157" s="37">
        <f>TRIM(LEFT(Table3[[#This Row],[Group]],2))</f>
        <v/>
      </c>
      <c r="L157" s="3" t="inlineStr">
        <is>
          <t>NON SALES</t>
        </is>
      </c>
    </row>
    <row r="158">
      <c r="A158" s="5" t="inlineStr">
        <is>
          <t>OP00853</t>
        </is>
      </c>
      <c r="B158" s="6" t="inlineStr">
        <is>
          <t>Rendy018</t>
        </is>
      </c>
      <c r="C158" s="7" t="inlineStr">
        <is>
          <t>A - Agen</t>
        </is>
      </c>
      <c r="D158" s="1" t="inlineStr">
        <is>
          <t>OP00002</t>
        </is>
      </c>
      <c r="E158" s="8" t="n">
        <v>44785.64444444444</v>
      </c>
      <c r="F158" s="7" t="inlineStr">
        <is>
          <t>AGEN</t>
        </is>
      </c>
      <c r="G158" s="18" t="inlineStr">
        <is>
          <t>OP00853</t>
        </is>
      </c>
      <c r="H158" s="19">
        <f>UPPER(Table3[[#This Row],[Agen id]]&amp;"-"&amp;VLOOKUP(Table3[[#This Row],[Agen id]],A:B,2,0)&amp;"("&amp;Table3[[#This Row],[Short]]&amp;")")</f>
        <v/>
      </c>
      <c r="J158" s="7">
        <f>VLOOKUP(Table3[[#This Row],[Agen id]],Agen!A:C,3,0)</f>
        <v/>
      </c>
      <c r="K158" s="37">
        <f>TRIM(LEFT(Table3[[#This Row],[Group]],2))</f>
        <v/>
      </c>
      <c r="L158" s="3" t="inlineStr">
        <is>
          <t>NON SALES</t>
        </is>
      </c>
    </row>
    <row r="159">
      <c r="A159" s="5" t="inlineStr">
        <is>
          <t>OP00858</t>
        </is>
      </c>
      <c r="B159" s="6" t="inlineStr">
        <is>
          <t>BERKAH MANDIRI</t>
        </is>
      </c>
      <c r="C159" s="7" t="inlineStr">
        <is>
          <t>A - Agen</t>
        </is>
      </c>
      <c r="D159" s="1" t="inlineStr">
        <is>
          <t>OP00002</t>
        </is>
      </c>
      <c r="E159" s="8" t="n">
        <v>44785.76458333333</v>
      </c>
      <c r="F159" s="7" t="inlineStr">
        <is>
          <t>AGEN</t>
        </is>
      </c>
      <c r="G159" s="18" t="inlineStr">
        <is>
          <t>OP00858</t>
        </is>
      </c>
      <c r="H159" s="19">
        <f>UPPER(Table3[[#This Row],[Agen id]]&amp;"-"&amp;VLOOKUP(Table3[[#This Row],[Agen id]],A:B,2,0)&amp;"("&amp;Table3[[#This Row],[Short]]&amp;")")</f>
        <v/>
      </c>
      <c r="J159" s="7">
        <f>VLOOKUP(Table3[[#This Row],[Agen id]],Agen!A:C,3,0)</f>
        <v/>
      </c>
      <c r="K159" s="37">
        <f>TRIM(LEFT(Table3[[#This Row],[Group]],2))</f>
        <v/>
      </c>
      <c r="L159" s="3" t="inlineStr">
        <is>
          <t>NON SALES</t>
        </is>
      </c>
    </row>
    <row r="160">
      <c r="A160" s="5" t="inlineStr">
        <is>
          <t>OP00891</t>
        </is>
      </c>
      <c r="B160" s="6" t="inlineStr">
        <is>
          <t>Bosku</t>
        </is>
      </c>
      <c r="C160" s="7" t="inlineStr">
        <is>
          <t>A - Agen</t>
        </is>
      </c>
      <c r="D160" s="1" t="inlineStr">
        <is>
          <t>OP00002</t>
        </is>
      </c>
      <c r="E160" s="8" t="n">
        <v>44786.23819444444</v>
      </c>
      <c r="F160" s="7" t="inlineStr">
        <is>
          <t>AGEN</t>
        </is>
      </c>
      <c r="G160" s="18" t="inlineStr">
        <is>
          <t>OP00891</t>
        </is>
      </c>
      <c r="H160" s="19">
        <f>UPPER(Table3[[#This Row],[Agen id]]&amp;"-"&amp;VLOOKUP(Table3[[#This Row],[Agen id]],A:B,2,0)&amp;"("&amp;Table3[[#This Row],[Short]]&amp;")")</f>
        <v/>
      </c>
      <c r="J160" s="7">
        <f>VLOOKUP(Table3[[#This Row],[Agen id]],Agen!A:C,3,0)</f>
        <v/>
      </c>
      <c r="K160" s="37">
        <f>TRIM(LEFT(Table3[[#This Row],[Group]],2))</f>
        <v/>
      </c>
      <c r="L160" s="3" t="inlineStr">
        <is>
          <t>NON SALES</t>
        </is>
      </c>
    </row>
    <row r="161">
      <c r="A161" s="5" t="inlineStr">
        <is>
          <t>OP00895</t>
        </is>
      </c>
      <c r="B161" s="6" t="inlineStr">
        <is>
          <t>kahfi</t>
        </is>
      </c>
      <c r="C161" s="7" t="inlineStr">
        <is>
          <t>A - Agen</t>
        </is>
      </c>
      <c r="D161" s="1" t="inlineStr">
        <is>
          <t>OP00002</t>
        </is>
      </c>
      <c r="E161" s="8" t="n">
        <v>44786.24791666667</v>
      </c>
      <c r="F161" s="7" t="inlineStr">
        <is>
          <t>AGEN</t>
        </is>
      </c>
      <c r="G161" s="18" t="inlineStr">
        <is>
          <t>OP00895</t>
        </is>
      </c>
      <c r="H161" s="19">
        <f>UPPER(Table3[[#This Row],[Agen id]]&amp;"-"&amp;VLOOKUP(Table3[[#This Row],[Agen id]],A:B,2,0)&amp;"("&amp;Table3[[#This Row],[Short]]&amp;")")</f>
        <v/>
      </c>
      <c r="J161" s="7">
        <f>VLOOKUP(Table3[[#This Row],[Agen id]],Agen!A:C,3,0)</f>
        <v/>
      </c>
      <c r="K161" s="37">
        <f>TRIM(LEFT(Table3[[#This Row],[Group]],2))</f>
        <v/>
      </c>
      <c r="L161" s="3" t="inlineStr">
        <is>
          <t>NON SALES</t>
        </is>
      </c>
    </row>
    <row r="162">
      <c r="A162" s="13" t="inlineStr">
        <is>
          <t>OP00906</t>
        </is>
      </c>
      <c r="B162" s="6" t="inlineStr">
        <is>
          <t>Nn cell</t>
        </is>
      </c>
      <c r="C162" s="7" t="inlineStr">
        <is>
          <t>A - Agen</t>
        </is>
      </c>
      <c r="D162" s="1" t="inlineStr">
        <is>
          <t>OP00002</t>
        </is>
      </c>
      <c r="E162" s="8" t="n">
        <v>44786.38125</v>
      </c>
      <c r="F162" s="7" t="inlineStr">
        <is>
          <t>AGEN</t>
        </is>
      </c>
      <c r="G162" s="18" t="inlineStr">
        <is>
          <t>OP00906</t>
        </is>
      </c>
      <c r="H162" s="19">
        <f>UPPER(Table3[[#This Row],[Agen id]]&amp;"-"&amp;VLOOKUP(Table3[[#This Row],[Agen id]],A:B,2,0)&amp;"("&amp;Table3[[#This Row],[Short]]&amp;")")</f>
        <v/>
      </c>
      <c r="J162" s="7">
        <f>VLOOKUP(Table3[[#This Row],[Agen id]],Agen!A:C,3,0)</f>
        <v/>
      </c>
      <c r="K162" s="37">
        <f>TRIM(LEFT(Table3[[#This Row],[Group]],2))</f>
        <v/>
      </c>
      <c r="L162" s="3" t="inlineStr">
        <is>
          <t>NON SALES</t>
        </is>
      </c>
    </row>
    <row r="163">
      <c r="A163" s="5" t="inlineStr">
        <is>
          <t>OP00909</t>
        </is>
      </c>
      <c r="B163" s="6" t="inlineStr">
        <is>
          <t>UJANG CELL</t>
        </is>
      </c>
      <c r="C163" s="7" t="inlineStr">
        <is>
          <t>AV - Agen Verified</t>
        </is>
      </c>
      <c r="D163" s="1" t="inlineStr">
        <is>
          <t>OP00002</t>
        </is>
      </c>
      <c r="E163" s="8" t="n">
        <v>44786.40138888889</v>
      </c>
      <c r="F163" s="7" t="inlineStr">
        <is>
          <t>AGEN</t>
        </is>
      </c>
      <c r="G163" s="18" t="inlineStr">
        <is>
          <t>OP00909</t>
        </is>
      </c>
      <c r="H163" s="19">
        <f>UPPER(Table3[[#This Row],[Agen id]]&amp;"-"&amp;VLOOKUP(Table3[[#This Row],[Agen id]],A:B,2,0)&amp;"("&amp;Table3[[#This Row],[Short]]&amp;")")</f>
        <v/>
      </c>
      <c r="J163" s="7">
        <f>VLOOKUP(Table3[[#This Row],[Agen id]],Agen!A:C,3,0)</f>
        <v/>
      </c>
      <c r="K163" s="37">
        <f>TRIM(LEFT(Table3[[#This Row],[Group]],2))</f>
        <v/>
      </c>
      <c r="L163" s="3" t="inlineStr">
        <is>
          <t>NON SALES</t>
        </is>
      </c>
    </row>
    <row r="164">
      <c r="A164" s="5" t="inlineStr">
        <is>
          <t>OP00914</t>
        </is>
      </c>
      <c r="B164" s="6" t="inlineStr">
        <is>
          <t>Dzikri Akbar Cell</t>
        </is>
      </c>
      <c r="C164" s="7" t="inlineStr">
        <is>
          <t>AV - Agen Verified</t>
        </is>
      </c>
      <c r="D164" s="1" t="inlineStr">
        <is>
          <t>OP00002</t>
        </is>
      </c>
      <c r="E164" s="8" t="n">
        <v>44786.44097222222</v>
      </c>
      <c r="F164" s="7" t="inlineStr">
        <is>
          <t>AGEN</t>
        </is>
      </c>
      <c r="G164" s="18" t="inlineStr">
        <is>
          <t>OP00914</t>
        </is>
      </c>
      <c r="H164" s="19">
        <f>UPPER(Table3[[#This Row],[Agen id]]&amp;"-"&amp;VLOOKUP(Table3[[#This Row],[Agen id]],A:B,2,0)&amp;"("&amp;Table3[[#This Row],[Short]]&amp;")")</f>
        <v/>
      </c>
      <c r="J164" s="7">
        <f>VLOOKUP(Table3[[#This Row],[Agen id]],Agen!A:C,3,0)</f>
        <v/>
      </c>
      <c r="K164" s="37">
        <f>TRIM(LEFT(Table3[[#This Row],[Group]],2))</f>
        <v/>
      </c>
      <c r="L164" s="3" t="inlineStr">
        <is>
          <t>NON SALES</t>
        </is>
      </c>
    </row>
    <row r="165">
      <c r="A165" s="5" t="inlineStr">
        <is>
          <t>OP00916</t>
        </is>
      </c>
      <c r="B165" s="6" t="inlineStr">
        <is>
          <t>Kyle-Ivan0805</t>
        </is>
      </c>
      <c r="C165" s="7" t="inlineStr">
        <is>
          <t>A - Agen</t>
        </is>
      </c>
      <c r="D165" s="1" t="inlineStr">
        <is>
          <t>OP00002</t>
        </is>
      </c>
      <c r="E165" s="8" t="n">
        <v>44786.45</v>
      </c>
      <c r="F165" s="7" t="inlineStr">
        <is>
          <t>AGEN</t>
        </is>
      </c>
      <c r="G165" s="18" t="inlineStr">
        <is>
          <t>OP00916</t>
        </is>
      </c>
      <c r="H165" s="19">
        <f>UPPER(Table3[[#This Row],[Agen id]]&amp;"-"&amp;VLOOKUP(Table3[[#This Row],[Agen id]],A:B,2,0)&amp;"("&amp;Table3[[#This Row],[Short]]&amp;")")</f>
        <v/>
      </c>
      <c r="J165" s="7">
        <f>VLOOKUP(Table3[[#This Row],[Agen id]],Agen!A:C,3,0)</f>
        <v/>
      </c>
      <c r="K165" s="37">
        <f>TRIM(LEFT(Table3[[#This Row],[Group]],2))</f>
        <v/>
      </c>
      <c r="L165" s="3" t="inlineStr">
        <is>
          <t>NON SALES</t>
        </is>
      </c>
    </row>
    <row r="166">
      <c r="A166" s="5" t="inlineStr">
        <is>
          <t>OP00926</t>
        </is>
      </c>
      <c r="B166" s="6" t="inlineStr">
        <is>
          <t>Fery Priatna</t>
        </is>
      </c>
      <c r="C166" s="7" t="inlineStr">
        <is>
          <t>AV - Agen Verified</t>
        </is>
      </c>
      <c r="D166" s="1" t="inlineStr">
        <is>
          <t>OP00002</t>
        </is>
      </c>
      <c r="E166" s="8" t="n">
        <v>44786.56319444445</v>
      </c>
      <c r="F166" s="7" t="inlineStr">
        <is>
          <t>AGEN</t>
        </is>
      </c>
      <c r="G166" s="18" t="inlineStr">
        <is>
          <t>OP00926</t>
        </is>
      </c>
      <c r="H166" s="19">
        <f>UPPER(Table3[[#This Row],[Agen id]]&amp;"-"&amp;VLOOKUP(Table3[[#This Row],[Agen id]],A:B,2,0)&amp;"("&amp;Table3[[#This Row],[Short]]&amp;")")</f>
        <v/>
      </c>
      <c r="J166" s="7">
        <f>VLOOKUP(Table3[[#This Row],[Agen id]],Agen!A:C,3,0)</f>
        <v/>
      </c>
      <c r="K166" s="37">
        <f>TRIM(LEFT(Table3[[#This Row],[Group]],2))</f>
        <v/>
      </c>
      <c r="L166" s="3" t="inlineStr">
        <is>
          <t>NON SALES</t>
        </is>
      </c>
    </row>
    <row r="167">
      <c r="A167" s="5" t="inlineStr">
        <is>
          <t>OP00929</t>
        </is>
      </c>
      <c r="B167" s="6" t="inlineStr">
        <is>
          <t>B addi wm</t>
        </is>
      </c>
      <c r="C167" s="7" t="inlineStr">
        <is>
          <t>A - Agen</t>
        </is>
      </c>
      <c r="D167" s="1" t="inlineStr">
        <is>
          <t>OP00002</t>
        </is>
      </c>
      <c r="E167" s="8" t="n">
        <v>44786.63055555556</v>
      </c>
      <c r="F167" s="7" t="inlineStr">
        <is>
          <t>AGEN</t>
        </is>
      </c>
      <c r="G167" s="18" t="inlineStr">
        <is>
          <t>OP00929</t>
        </is>
      </c>
      <c r="H167" s="19">
        <f>UPPER(Table3[[#This Row],[Agen id]]&amp;"-"&amp;VLOOKUP(Table3[[#This Row],[Agen id]],A:B,2,0)&amp;"("&amp;Table3[[#This Row],[Short]]&amp;")")</f>
        <v/>
      </c>
      <c r="J167" s="7">
        <f>VLOOKUP(Table3[[#This Row],[Agen id]],Agen!A:C,3,0)</f>
        <v/>
      </c>
      <c r="K167" s="37">
        <f>TRIM(LEFT(Table3[[#This Row],[Group]],2))</f>
        <v/>
      </c>
      <c r="L167" s="3" t="inlineStr">
        <is>
          <t>NON SALES</t>
        </is>
      </c>
    </row>
    <row r="168">
      <c r="A168" s="5" t="inlineStr">
        <is>
          <t>OP00931</t>
        </is>
      </c>
      <c r="B168" s="6" t="inlineStr">
        <is>
          <t>Ana</t>
        </is>
      </c>
      <c r="C168" s="7" t="inlineStr">
        <is>
          <t>A - Agen</t>
        </is>
      </c>
      <c r="D168" s="1" t="inlineStr">
        <is>
          <t>OP00002</t>
        </is>
      </c>
      <c r="E168" s="8" t="n">
        <v>44786.67916666667</v>
      </c>
      <c r="F168" s="7" t="inlineStr">
        <is>
          <t>AGEN</t>
        </is>
      </c>
      <c r="G168" s="18" t="inlineStr">
        <is>
          <t>OP00931</t>
        </is>
      </c>
      <c r="H168" s="19">
        <f>UPPER(Table3[[#This Row],[Agen id]]&amp;"-"&amp;VLOOKUP(Table3[[#This Row],[Agen id]],A:B,2,0)&amp;"("&amp;Table3[[#This Row],[Short]]&amp;")")</f>
        <v/>
      </c>
      <c r="J168" s="7">
        <f>VLOOKUP(Table3[[#This Row],[Agen id]],Agen!A:C,3,0)</f>
        <v/>
      </c>
      <c r="K168" s="37">
        <f>TRIM(LEFT(Table3[[#This Row],[Group]],2))</f>
        <v/>
      </c>
      <c r="L168" s="3" t="inlineStr">
        <is>
          <t>NON SALES</t>
        </is>
      </c>
    </row>
    <row r="169">
      <c r="A169" s="5" t="inlineStr">
        <is>
          <t>OP00944</t>
        </is>
      </c>
      <c r="B169" s="6" t="inlineStr">
        <is>
          <t>Emi</t>
        </is>
      </c>
      <c r="C169" s="7" t="inlineStr">
        <is>
          <t>A - Agen</t>
        </is>
      </c>
      <c r="D169" s="1" t="inlineStr">
        <is>
          <t>OP00121</t>
        </is>
      </c>
      <c r="E169" s="8" t="n">
        <v>44786.76875</v>
      </c>
      <c r="F169" s="7" t="inlineStr">
        <is>
          <t>DOWNLINE</t>
        </is>
      </c>
      <c r="G169" s="18" t="inlineStr">
        <is>
          <t>OP00121</t>
        </is>
      </c>
      <c r="H169" s="19">
        <f>UPPER(Table3[[#This Row],[Agen id]]&amp;"-"&amp;VLOOKUP(Table3[[#This Row],[Agen id]],A:B,2,0)&amp;"("&amp;Table3[[#This Row],[Short]]&amp;")")</f>
        <v/>
      </c>
      <c r="J169" s="7">
        <f>VLOOKUP(Table3[[#This Row],[Agen id]],Agen!A:C,3,0)</f>
        <v/>
      </c>
      <c r="K169" s="37">
        <f>TRIM(LEFT(Table3[[#This Row],[Group]],2))</f>
        <v/>
      </c>
      <c r="L169" s="3" t="inlineStr">
        <is>
          <t>NON SALES</t>
        </is>
      </c>
    </row>
    <row r="170">
      <c r="A170" s="5" t="inlineStr">
        <is>
          <t>OP00945</t>
        </is>
      </c>
      <c r="B170" s="6" t="inlineStr">
        <is>
          <t>Masterking</t>
        </is>
      </c>
      <c r="C170" s="7" t="inlineStr">
        <is>
          <t>A - Agen</t>
        </is>
      </c>
      <c r="D170" s="1" t="inlineStr">
        <is>
          <t>OP00002</t>
        </is>
      </c>
      <c r="E170" s="8" t="n">
        <v>44786.79861111111</v>
      </c>
      <c r="F170" s="7" t="inlineStr">
        <is>
          <t>AGEN</t>
        </is>
      </c>
      <c r="G170" s="18" t="inlineStr">
        <is>
          <t>OP00945</t>
        </is>
      </c>
      <c r="H170" s="19">
        <f>UPPER(Table3[[#This Row],[Agen id]]&amp;"-"&amp;VLOOKUP(Table3[[#This Row],[Agen id]],A:B,2,0)&amp;"("&amp;Table3[[#This Row],[Short]]&amp;")")</f>
        <v/>
      </c>
      <c r="J170" s="7">
        <f>VLOOKUP(Table3[[#This Row],[Agen id]],Agen!A:C,3,0)</f>
        <v/>
      </c>
      <c r="K170" s="37">
        <f>TRIM(LEFT(Table3[[#This Row],[Group]],2))</f>
        <v/>
      </c>
      <c r="L170" s="3" t="inlineStr">
        <is>
          <t>NON SALES</t>
        </is>
      </c>
    </row>
    <row r="171">
      <c r="A171" s="5" t="inlineStr">
        <is>
          <t>OP00949</t>
        </is>
      </c>
      <c r="B171" s="6" t="inlineStr">
        <is>
          <t>CENDEKIA BANTEN PAYMENT</t>
        </is>
      </c>
      <c r="C171" s="7" t="inlineStr">
        <is>
          <t>AV - Agen Verified</t>
        </is>
      </c>
      <c r="D171" s="1" t="inlineStr">
        <is>
          <t>OP00002</t>
        </is>
      </c>
      <c r="E171" s="8" t="n">
        <v>44786.82569444444</v>
      </c>
      <c r="F171" s="7" t="inlineStr">
        <is>
          <t>AGEN</t>
        </is>
      </c>
      <c r="G171" s="18" t="inlineStr">
        <is>
          <t>OP00949</t>
        </is>
      </c>
      <c r="H171" s="19">
        <f>UPPER(Table3[[#This Row],[Agen id]]&amp;"-"&amp;VLOOKUP(Table3[[#This Row],[Agen id]],A:B,2,0)&amp;"("&amp;Table3[[#This Row],[Short]]&amp;")")</f>
        <v/>
      </c>
      <c r="J171" s="7">
        <f>VLOOKUP(Table3[[#This Row],[Agen id]],Agen!A:C,3,0)</f>
        <v/>
      </c>
      <c r="K171" s="37">
        <f>TRIM(LEFT(Table3[[#This Row],[Group]],2))</f>
        <v/>
      </c>
      <c r="L171" s="3" t="inlineStr">
        <is>
          <t>NON SALES</t>
        </is>
      </c>
    </row>
    <row r="172">
      <c r="A172" s="5" t="inlineStr">
        <is>
          <t>OP00950</t>
        </is>
      </c>
      <c r="B172" s="6" t="inlineStr">
        <is>
          <t>Dewi purwati</t>
        </is>
      </c>
      <c r="C172" s="7" t="inlineStr">
        <is>
          <t>A - Agen</t>
        </is>
      </c>
      <c r="D172" s="1" t="inlineStr">
        <is>
          <t>OP00002</t>
        </is>
      </c>
      <c r="E172" s="8" t="n">
        <v>44786.83611111111</v>
      </c>
      <c r="F172" s="7" t="inlineStr">
        <is>
          <t>AGEN</t>
        </is>
      </c>
      <c r="G172" s="18" t="inlineStr">
        <is>
          <t>OP00950</t>
        </is>
      </c>
      <c r="H172" s="19">
        <f>UPPER(Table3[[#This Row],[Agen id]]&amp;"-"&amp;VLOOKUP(Table3[[#This Row],[Agen id]],A:B,2,0)&amp;"("&amp;Table3[[#This Row],[Short]]&amp;")")</f>
        <v/>
      </c>
      <c r="J172" s="7">
        <f>VLOOKUP(Table3[[#This Row],[Agen id]],Agen!A:C,3,0)</f>
        <v/>
      </c>
      <c r="K172" s="37">
        <f>TRIM(LEFT(Table3[[#This Row],[Group]],2))</f>
        <v/>
      </c>
      <c r="L172" s="3" t="inlineStr">
        <is>
          <t>NON SALES</t>
        </is>
      </c>
    </row>
    <row r="173">
      <c r="A173" s="5" t="inlineStr">
        <is>
          <t>OP00952</t>
        </is>
      </c>
      <c r="B173" s="6" t="inlineStr">
        <is>
          <t>AZRIL PAYMENT</t>
        </is>
      </c>
      <c r="C173" s="7" t="inlineStr">
        <is>
          <t>AV - Agen Verified</t>
        </is>
      </c>
      <c r="D173" s="1" t="inlineStr">
        <is>
          <t>OP00949</t>
        </is>
      </c>
      <c r="E173" s="8" t="n">
        <v>44786.89097222222</v>
      </c>
      <c r="F173" s="7" t="inlineStr">
        <is>
          <t>DOWNLINE</t>
        </is>
      </c>
      <c r="G173" s="18" t="inlineStr">
        <is>
          <t>OP00949</t>
        </is>
      </c>
      <c r="H173" s="19">
        <f>UPPER(Table3[[#This Row],[Agen id]]&amp;"-"&amp;VLOOKUP(Table3[[#This Row],[Agen id]],A:B,2,0)&amp;"("&amp;Table3[[#This Row],[Short]]&amp;")")</f>
        <v/>
      </c>
      <c r="J173" s="7">
        <f>VLOOKUP(Table3[[#This Row],[Agen id]],Agen!A:C,3,0)</f>
        <v/>
      </c>
      <c r="K173" s="37">
        <f>TRIM(LEFT(Table3[[#This Row],[Group]],2))</f>
        <v/>
      </c>
      <c r="L173" s="3" t="inlineStr">
        <is>
          <t>NON SALES</t>
        </is>
      </c>
    </row>
    <row r="174">
      <c r="A174" s="5" t="inlineStr">
        <is>
          <t>OP00983</t>
        </is>
      </c>
      <c r="B174" s="6" t="inlineStr">
        <is>
          <t>Via Cell</t>
        </is>
      </c>
      <c r="C174" s="7" t="inlineStr">
        <is>
          <t>AV - Agen Verified</t>
        </is>
      </c>
      <c r="D174" s="1" t="inlineStr">
        <is>
          <t>OP00914</t>
        </is>
      </c>
      <c r="E174" s="8" t="n">
        <v>44787.37847222222</v>
      </c>
      <c r="F174" s="7" t="inlineStr">
        <is>
          <t>DOWNLINE</t>
        </is>
      </c>
      <c r="G174" s="18" t="inlineStr">
        <is>
          <t>OP00914</t>
        </is>
      </c>
      <c r="H174" s="19">
        <f>UPPER(Table3[[#This Row],[Agen id]]&amp;"-"&amp;VLOOKUP(Table3[[#This Row],[Agen id]],A:B,2,0)&amp;"("&amp;Table3[[#This Row],[Short]]&amp;")")</f>
        <v/>
      </c>
      <c r="J174" s="7">
        <f>VLOOKUP(Table3[[#This Row],[Agen id]],Agen!A:C,3,0)</f>
        <v/>
      </c>
      <c r="K174" s="37">
        <f>TRIM(LEFT(Table3[[#This Row],[Group]],2))</f>
        <v/>
      </c>
      <c r="L174" s="3" t="inlineStr">
        <is>
          <t>NON SALES</t>
        </is>
      </c>
    </row>
    <row r="175">
      <c r="A175" s="5" t="inlineStr">
        <is>
          <t>OP00984</t>
        </is>
      </c>
      <c r="B175" s="6" t="inlineStr">
        <is>
          <t>Adi widiarto</t>
        </is>
      </c>
      <c r="C175" s="7" t="inlineStr">
        <is>
          <t>A - Agen</t>
        </is>
      </c>
      <c r="D175" s="1" t="inlineStr">
        <is>
          <t>OP00002</t>
        </is>
      </c>
      <c r="E175" s="8" t="n">
        <v>44787.38888888889</v>
      </c>
      <c r="F175" s="7" t="inlineStr">
        <is>
          <t>AGEN</t>
        </is>
      </c>
      <c r="G175" s="18" t="inlineStr">
        <is>
          <t>OP00984</t>
        </is>
      </c>
      <c r="H175" s="19">
        <f>UPPER(Table3[[#This Row],[Agen id]]&amp;"-"&amp;VLOOKUP(Table3[[#This Row],[Agen id]],A:B,2,0)&amp;"("&amp;Table3[[#This Row],[Short]]&amp;")")</f>
        <v/>
      </c>
      <c r="J175" s="7">
        <f>VLOOKUP(Table3[[#This Row],[Agen id]],Agen!A:C,3,0)</f>
        <v/>
      </c>
      <c r="K175" s="37">
        <f>TRIM(LEFT(Table3[[#This Row],[Group]],2))</f>
        <v/>
      </c>
      <c r="L175" s="3" t="inlineStr">
        <is>
          <t>NON SALES</t>
        </is>
      </c>
    </row>
    <row r="176">
      <c r="A176" s="5" t="inlineStr">
        <is>
          <t>OP00985</t>
        </is>
      </c>
      <c r="B176" s="6" t="inlineStr">
        <is>
          <t>ikhsan cell</t>
        </is>
      </c>
      <c r="C176" s="7" t="inlineStr">
        <is>
          <t>AV - Agen Verified</t>
        </is>
      </c>
      <c r="D176" s="1" t="inlineStr">
        <is>
          <t>OP00914</t>
        </is>
      </c>
      <c r="E176" s="8" t="n">
        <v>44787.39027777778</v>
      </c>
      <c r="F176" s="7" t="inlineStr">
        <is>
          <t>DOWNLINE</t>
        </is>
      </c>
      <c r="G176" s="18" t="inlineStr">
        <is>
          <t>OP00914</t>
        </is>
      </c>
      <c r="H176" s="19">
        <f>UPPER(Table3[[#This Row],[Agen id]]&amp;"-"&amp;VLOOKUP(Table3[[#This Row],[Agen id]],A:B,2,0)&amp;"("&amp;Table3[[#This Row],[Short]]&amp;")")</f>
        <v/>
      </c>
      <c r="J176" s="7">
        <f>VLOOKUP(Table3[[#This Row],[Agen id]],Agen!A:C,3,0)</f>
        <v/>
      </c>
      <c r="K176" s="37">
        <f>TRIM(LEFT(Table3[[#This Row],[Group]],2))</f>
        <v/>
      </c>
      <c r="L176" s="3" t="inlineStr">
        <is>
          <t>NON SALES</t>
        </is>
      </c>
    </row>
    <row r="177">
      <c r="A177" s="5" t="inlineStr">
        <is>
          <t>OP00996</t>
        </is>
      </c>
      <c r="B177" s="6" t="inlineStr">
        <is>
          <t>Aulia cell</t>
        </is>
      </c>
      <c r="C177" s="7" t="inlineStr">
        <is>
          <t>MK - Marketing</t>
        </is>
      </c>
      <c r="D177" s="1" t="inlineStr">
        <is>
          <t>OP00002</t>
        </is>
      </c>
      <c r="E177" s="8" t="n">
        <v>44787.47916666666</v>
      </c>
      <c r="F177" s="7" t="inlineStr">
        <is>
          <t>AGEN</t>
        </is>
      </c>
      <c r="G177" s="18" t="inlineStr">
        <is>
          <t>OP00996</t>
        </is>
      </c>
      <c r="H177" s="19">
        <f>UPPER(Table3[[#This Row],[Agen id]]&amp;"-"&amp;VLOOKUP(Table3[[#This Row],[Agen id]],A:B,2,0)&amp;"("&amp;Table3[[#This Row],[Short]]&amp;")")</f>
        <v/>
      </c>
      <c r="J177" s="7">
        <f>VLOOKUP(Table3[[#This Row],[Agen id]],Agen!A:C,3,0)</f>
        <v/>
      </c>
      <c r="K177" s="37">
        <f>TRIM(LEFT(Table3[[#This Row],[Group]],2))</f>
        <v/>
      </c>
      <c r="L177" s="3" t="inlineStr">
        <is>
          <t>NON SALES</t>
        </is>
      </c>
    </row>
    <row r="178">
      <c r="A178" s="5" t="inlineStr">
        <is>
          <t>OP00997</t>
        </is>
      </c>
      <c r="B178" s="6" t="inlineStr">
        <is>
          <t>Vio Cell</t>
        </is>
      </c>
      <c r="C178" s="7" t="inlineStr">
        <is>
          <t>A - Agen</t>
        </is>
      </c>
      <c r="D178" s="1" t="inlineStr">
        <is>
          <t>OP00996</t>
        </is>
      </c>
      <c r="E178" s="8" t="n">
        <v>44787.48472222222</v>
      </c>
      <c r="F178" s="7" t="inlineStr">
        <is>
          <t>DOWNLINE</t>
        </is>
      </c>
      <c r="G178" s="18" t="inlineStr">
        <is>
          <t>OP00996</t>
        </is>
      </c>
      <c r="H178" s="19">
        <f>UPPER(Table3[[#This Row],[Agen id]]&amp;"-"&amp;VLOOKUP(Table3[[#This Row],[Agen id]],A:B,2,0)&amp;"("&amp;Table3[[#This Row],[Short]]&amp;")")</f>
        <v/>
      </c>
      <c r="J178" s="7">
        <f>VLOOKUP(Table3[[#This Row],[Agen id]],Agen!A:C,3,0)</f>
        <v/>
      </c>
      <c r="K178" s="37">
        <f>TRIM(LEFT(Table3[[#This Row],[Group]],2))</f>
        <v/>
      </c>
      <c r="L178" s="3" t="inlineStr">
        <is>
          <t>NON SALES</t>
        </is>
      </c>
    </row>
    <row r="179">
      <c r="A179" s="5" t="inlineStr">
        <is>
          <t>OP00999</t>
        </is>
      </c>
      <c r="B179" s="6" t="inlineStr">
        <is>
          <t>Encumcell</t>
        </is>
      </c>
      <c r="C179" s="7" t="inlineStr">
        <is>
          <t>AV - Agen Verified</t>
        </is>
      </c>
      <c r="D179" s="1" t="inlineStr">
        <is>
          <t>OP00002</t>
        </is>
      </c>
      <c r="E179" s="8" t="n">
        <v>44787.53263888889</v>
      </c>
      <c r="F179" s="7" t="inlineStr">
        <is>
          <t>AGEN</t>
        </is>
      </c>
      <c r="G179" s="18" t="inlineStr">
        <is>
          <t>OP00999</t>
        </is>
      </c>
      <c r="H179" s="19">
        <f>UPPER(Table3[[#This Row],[Agen id]]&amp;"-"&amp;VLOOKUP(Table3[[#This Row],[Agen id]],A:B,2,0)&amp;"("&amp;Table3[[#This Row],[Short]]&amp;")")</f>
        <v/>
      </c>
      <c r="J179" s="7">
        <f>VLOOKUP(Table3[[#This Row],[Agen id]],Agen!A:C,3,0)</f>
        <v/>
      </c>
      <c r="K179" s="37">
        <f>TRIM(LEFT(Table3[[#This Row],[Group]],2))</f>
        <v/>
      </c>
      <c r="L179" s="3" t="inlineStr">
        <is>
          <t>NON SALES</t>
        </is>
      </c>
    </row>
    <row r="180">
      <c r="A180" s="5" t="inlineStr">
        <is>
          <t>OP01002</t>
        </is>
      </c>
      <c r="B180" s="6" t="inlineStr">
        <is>
          <t>Arkaan cell</t>
        </is>
      </c>
      <c r="C180" s="7" t="inlineStr">
        <is>
          <t>A - Agen</t>
        </is>
      </c>
      <c r="D180" s="1" t="inlineStr">
        <is>
          <t>OP00002</t>
        </is>
      </c>
      <c r="E180" s="8" t="n">
        <v>44787.59375</v>
      </c>
      <c r="F180" s="7" t="inlineStr">
        <is>
          <t>AGEN</t>
        </is>
      </c>
      <c r="G180" s="18" t="inlineStr">
        <is>
          <t>OP01002</t>
        </is>
      </c>
      <c r="H180" s="19">
        <f>UPPER(Table3[[#This Row],[Agen id]]&amp;"-"&amp;VLOOKUP(Table3[[#This Row],[Agen id]],A:B,2,0)&amp;"("&amp;Table3[[#This Row],[Short]]&amp;")")</f>
        <v/>
      </c>
      <c r="J180" s="7">
        <f>VLOOKUP(Table3[[#This Row],[Agen id]],Agen!A:C,3,0)</f>
        <v/>
      </c>
      <c r="K180" s="37">
        <f>TRIM(LEFT(Table3[[#This Row],[Group]],2))</f>
        <v/>
      </c>
      <c r="L180" s="3" t="inlineStr">
        <is>
          <t>NON SALES</t>
        </is>
      </c>
    </row>
    <row r="181">
      <c r="A181" s="5" t="inlineStr">
        <is>
          <t>OP01005</t>
        </is>
      </c>
      <c r="B181" s="6" t="inlineStr">
        <is>
          <t>wisnu cell</t>
        </is>
      </c>
      <c r="C181" s="7" t="inlineStr">
        <is>
          <t>AV - Agen Verified</t>
        </is>
      </c>
      <c r="D181" s="1" t="inlineStr">
        <is>
          <t>OP00914</t>
        </is>
      </c>
      <c r="E181" s="8" t="n">
        <v>44787.72430555556</v>
      </c>
      <c r="F181" s="7" t="inlineStr">
        <is>
          <t>DOWNLINE</t>
        </is>
      </c>
      <c r="G181" s="18" t="inlineStr">
        <is>
          <t>OP00914</t>
        </is>
      </c>
      <c r="H181" s="19">
        <f>UPPER(Table3[[#This Row],[Agen id]]&amp;"-"&amp;VLOOKUP(Table3[[#This Row],[Agen id]],A:B,2,0)&amp;"("&amp;Table3[[#This Row],[Short]]&amp;")")</f>
        <v/>
      </c>
      <c r="J181" s="7">
        <f>VLOOKUP(Table3[[#This Row],[Agen id]],Agen!A:C,3,0)</f>
        <v/>
      </c>
      <c r="K181" s="37">
        <f>TRIM(LEFT(Table3[[#This Row],[Group]],2))</f>
        <v/>
      </c>
      <c r="L181" s="3" t="inlineStr">
        <is>
          <t>NON SALES</t>
        </is>
      </c>
    </row>
    <row r="182">
      <c r="A182" s="5" t="inlineStr">
        <is>
          <t>OP01014</t>
        </is>
      </c>
      <c r="B182" s="6" t="inlineStr">
        <is>
          <t>Ariswandi</t>
        </is>
      </c>
      <c r="C182" s="7" t="inlineStr">
        <is>
          <t>A - Agen</t>
        </is>
      </c>
      <c r="D182" s="1" t="inlineStr">
        <is>
          <t>OP00891</t>
        </is>
      </c>
      <c r="E182" s="8" t="n">
        <v>44787.80069444444</v>
      </c>
      <c r="F182" s="7" t="inlineStr">
        <is>
          <t>DOWNLINE</t>
        </is>
      </c>
      <c r="G182" s="18" t="inlineStr">
        <is>
          <t>OP00891</t>
        </is>
      </c>
      <c r="H182" s="19">
        <f>UPPER(Table3[[#This Row],[Agen id]]&amp;"-"&amp;VLOOKUP(Table3[[#This Row],[Agen id]],A:B,2,0)&amp;"("&amp;Table3[[#This Row],[Short]]&amp;")")</f>
        <v/>
      </c>
      <c r="J182" s="7">
        <f>VLOOKUP(Table3[[#This Row],[Agen id]],Agen!A:C,3,0)</f>
        <v/>
      </c>
      <c r="K182" s="37">
        <f>TRIM(LEFT(Table3[[#This Row],[Group]],2))</f>
        <v/>
      </c>
      <c r="L182" s="3" t="inlineStr">
        <is>
          <t>NON SALES</t>
        </is>
      </c>
    </row>
    <row r="183">
      <c r="A183" s="5" t="inlineStr">
        <is>
          <t>OP01017</t>
        </is>
      </c>
      <c r="B183" s="6" t="inlineStr">
        <is>
          <t>Syamsul Bahri</t>
        </is>
      </c>
      <c r="C183" s="7" t="inlineStr">
        <is>
          <t>AV - Agen Verified</t>
        </is>
      </c>
      <c r="D183" s="1" t="inlineStr">
        <is>
          <t>OP00002</t>
        </is>
      </c>
      <c r="E183" s="8" t="n">
        <v>44787.81111111111</v>
      </c>
      <c r="F183" s="7" t="inlineStr">
        <is>
          <t>AGEN</t>
        </is>
      </c>
      <c r="G183" s="18" t="inlineStr">
        <is>
          <t>OP01017</t>
        </is>
      </c>
      <c r="H183" s="19">
        <f>UPPER(Table3[[#This Row],[Agen id]]&amp;"-"&amp;VLOOKUP(Table3[[#This Row],[Agen id]],A:B,2,0)&amp;"("&amp;Table3[[#This Row],[Short]]&amp;")")</f>
        <v/>
      </c>
      <c r="J183" s="7">
        <f>VLOOKUP(Table3[[#This Row],[Agen id]],Agen!A:C,3,0)</f>
        <v/>
      </c>
      <c r="K183" s="37">
        <f>TRIM(LEFT(Table3[[#This Row],[Group]],2))</f>
        <v/>
      </c>
      <c r="L183" s="3" t="inlineStr">
        <is>
          <t>NON SALES</t>
        </is>
      </c>
    </row>
    <row r="184">
      <c r="A184" s="5" t="inlineStr">
        <is>
          <t>OP01022</t>
        </is>
      </c>
      <c r="B184" s="6" t="inlineStr">
        <is>
          <t>saudah</t>
        </is>
      </c>
      <c r="C184" s="7" t="inlineStr">
        <is>
          <t>A - Agen</t>
        </is>
      </c>
      <c r="D184" s="1" t="inlineStr">
        <is>
          <t>OP00848</t>
        </is>
      </c>
      <c r="E184" s="8" t="n">
        <v>44787.89722222222</v>
      </c>
      <c r="F184" s="7" t="inlineStr">
        <is>
          <t>DOWNLINE</t>
        </is>
      </c>
      <c r="G184" s="18" t="inlineStr">
        <is>
          <t>OP00848</t>
        </is>
      </c>
      <c r="H184" s="19">
        <f>UPPER(Table3[[#This Row],[Agen id]]&amp;"-"&amp;VLOOKUP(Table3[[#This Row],[Agen id]],A:B,2,0)&amp;"("&amp;Table3[[#This Row],[Short]]&amp;")")</f>
        <v/>
      </c>
      <c r="J184" s="7">
        <f>VLOOKUP(Table3[[#This Row],[Agen id]],Agen!A:C,3,0)</f>
        <v/>
      </c>
      <c r="K184" s="37">
        <f>TRIM(LEFT(Table3[[#This Row],[Group]],2))</f>
        <v/>
      </c>
      <c r="L184" s="3" t="inlineStr">
        <is>
          <t>NON SALES</t>
        </is>
      </c>
    </row>
    <row r="185">
      <c r="A185" s="5" t="inlineStr">
        <is>
          <t>OP01025</t>
        </is>
      </c>
      <c r="B185" s="6" t="inlineStr">
        <is>
          <t>Sitipurnamawati</t>
        </is>
      </c>
      <c r="C185" s="7" t="inlineStr">
        <is>
          <t>A - Agen</t>
        </is>
      </c>
      <c r="D185" s="1" t="inlineStr">
        <is>
          <t>OP00002</t>
        </is>
      </c>
      <c r="E185" s="8" t="n">
        <v>44787.90972222222</v>
      </c>
      <c r="F185" s="7" t="inlineStr">
        <is>
          <t>AGEN</t>
        </is>
      </c>
      <c r="G185" s="18" t="inlineStr">
        <is>
          <t>OP01025</t>
        </is>
      </c>
      <c r="H185" s="19">
        <f>UPPER(Table3[[#This Row],[Agen id]]&amp;"-"&amp;VLOOKUP(Table3[[#This Row],[Agen id]],A:B,2,0)&amp;"("&amp;Table3[[#This Row],[Short]]&amp;")")</f>
        <v/>
      </c>
      <c r="J185" s="7">
        <f>VLOOKUP(Table3[[#This Row],[Agen id]],Agen!A:C,3,0)</f>
        <v/>
      </c>
      <c r="K185" s="37">
        <f>TRIM(LEFT(Table3[[#This Row],[Group]],2))</f>
        <v/>
      </c>
      <c r="L185" s="3" t="inlineStr">
        <is>
          <t>NON SALES</t>
        </is>
      </c>
    </row>
    <row r="186">
      <c r="A186" s="5" t="inlineStr">
        <is>
          <t>OP01030</t>
        </is>
      </c>
      <c r="B186" s="6" t="inlineStr">
        <is>
          <t>Jackpot</t>
        </is>
      </c>
      <c r="C186" s="7" t="inlineStr">
        <is>
          <t>A - Agen</t>
        </is>
      </c>
      <c r="D186" s="1" t="inlineStr">
        <is>
          <t>OP00002</t>
        </is>
      </c>
      <c r="E186" s="8" t="n">
        <v>44788.04722222222</v>
      </c>
      <c r="F186" s="7" t="inlineStr">
        <is>
          <t>AGEN</t>
        </is>
      </c>
      <c r="G186" s="18" t="inlineStr">
        <is>
          <t>OP01030</t>
        </is>
      </c>
      <c r="H186" s="19">
        <f>UPPER(Table3[[#This Row],[Agen id]]&amp;"-"&amp;VLOOKUP(Table3[[#This Row],[Agen id]],A:B,2,0)&amp;"("&amp;Table3[[#This Row],[Short]]&amp;")")</f>
        <v/>
      </c>
      <c r="J186" s="7">
        <f>VLOOKUP(Table3[[#This Row],[Agen id]],Agen!A:C,3,0)</f>
        <v/>
      </c>
      <c r="K186" s="37">
        <f>TRIM(LEFT(Table3[[#This Row],[Group]],2))</f>
        <v/>
      </c>
      <c r="L186" s="3" t="inlineStr">
        <is>
          <t>NON SALES</t>
        </is>
      </c>
    </row>
    <row r="187">
      <c r="A187" s="5" t="inlineStr">
        <is>
          <t>OP01033</t>
        </is>
      </c>
      <c r="B187" s="6" t="inlineStr">
        <is>
          <t>NOVI CELL AGEN BRILINK</t>
        </is>
      </c>
      <c r="C187" s="7" t="inlineStr">
        <is>
          <t>A - Agen</t>
        </is>
      </c>
      <c r="D187" s="1" t="inlineStr">
        <is>
          <t>OP00002</t>
        </is>
      </c>
      <c r="E187" s="8" t="n">
        <v>44788.12083333333</v>
      </c>
      <c r="F187" s="7" t="inlineStr">
        <is>
          <t>AGEN</t>
        </is>
      </c>
      <c r="G187" s="18" t="inlineStr">
        <is>
          <t>OP01033</t>
        </is>
      </c>
      <c r="H187" s="19">
        <f>UPPER(Table3[[#This Row],[Agen id]]&amp;"-"&amp;VLOOKUP(Table3[[#This Row],[Agen id]],A:B,2,0)&amp;"("&amp;Table3[[#This Row],[Short]]&amp;")")</f>
        <v/>
      </c>
      <c r="J187" s="7">
        <f>VLOOKUP(Table3[[#This Row],[Agen id]],Agen!A:C,3,0)</f>
        <v/>
      </c>
      <c r="K187" s="37">
        <f>TRIM(LEFT(Table3[[#This Row],[Group]],2))</f>
        <v/>
      </c>
      <c r="L187" s="3" t="inlineStr">
        <is>
          <t>NON SALES</t>
        </is>
      </c>
    </row>
    <row r="188">
      <c r="A188" s="5" t="inlineStr">
        <is>
          <t>OP01042</t>
        </is>
      </c>
      <c r="B188" s="6" t="inlineStr">
        <is>
          <t>Moh ramdan</t>
        </is>
      </c>
      <c r="C188" s="7" t="inlineStr">
        <is>
          <t>A - Agen</t>
        </is>
      </c>
      <c r="D188" s="1" t="inlineStr">
        <is>
          <t>OP00002</t>
        </is>
      </c>
      <c r="E188" s="8" t="n">
        <v>44788.30347222222</v>
      </c>
      <c r="F188" s="7" t="inlineStr">
        <is>
          <t>AGEN</t>
        </is>
      </c>
      <c r="G188" s="18" t="inlineStr">
        <is>
          <t>OP01042</t>
        </is>
      </c>
      <c r="H188" s="19">
        <f>UPPER(Table3[[#This Row],[Agen id]]&amp;"-"&amp;VLOOKUP(Table3[[#This Row],[Agen id]],A:B,2,0)&amp;"("&amp;Table3[[#This Row],[Short]]&amp;")")</f>
        <v/>
      </c>
      <c r="J188" s="7">
        <f>VLOOKUP(Table3[[#This Row],[Agen id]],Agen!A:C,3,0)</f>
        <v/>
      </c>
      <c r="K188" s="37">
        <f>TRIM(LEFT(Table3[[#This Row],[Group]],2))</f>
        <v/>
      </c>
      <c r="L188" s="3" t="inlineStr">
        <is>
          <t>NON SALES</t>
        </is>
      </c>
    </row>
    <row r="189">
      <c r="A189" s="5" t="inlineStr">
        <is>
          <t>OP01048</t>
        </is>
      </c>
      <c r="B189" s="6" t="inlineStr">
        <is>
          <t>NJ cell</t>
        </is>
      </c>
      <c r="C189" s="7" t="inlineStr">
        <is>
          <t>AV - Agen Verified</t>
        </is>
      </c>
      <c r="D189" s="1" t="inlineStr">
        <is>
          <t>OP00002</t>
        </is>
      </c>
      <c r="E189" s="8" t="n">
        <v>44788.36458333334</v>
      </c>
      <c r="F189" s="7" t="inlineStr">
        <is>
          <t>AGEN</t>
        </is>
      </c>
      <c r="G189" s="18" t="inlineStr">
        <is>
          <t>OP01048</t>
        </is>
      </c>
      <c r="H189" s="19">
        <f>UPPER(Table3[[#This Row],[Agen id]]&amp;"-"&amp;VLOOKUP(Table3[[#This Row],[Agen id]],A:B,2,0)&amp;"("&amp;Table3[[#This Row],[Short]]&amp;")")</f>
        <v/>
      </c>
      <c r="J189" s="7">
        <f>VLOOKUP(Table3[[#This Row],[Agen id]],Agen!A:C,3,0)</f>
        <v/>
      </c>
      <c r="K189" s="37">
        <f>TRIM(LEFT(Table3[[#This Row],[Group]],2))</f>
        <v/>
      </c>
      <c r="L189" s="3" t="inlineStr">
        <is>
          <t>NON SALES</t>
        </is>
      </c>
    </row>
    <row r="190">
      <c r="A190" s="5" t="inlineStr">
        <is>
          <t>OP01053</t>
        </is>
      </c>
      <c r="B190" s="6" t="inlineStr">
        <is>
          <t>Najwa phone</t>
        </is>
      </c>
      <c r="C190" s="7" t="inlineStr">
        <is>
          <t>AV - Agen Verified</t>
        </is>
      </c>
      <c r="D190" s="1" t="inlineStr">
        <is>
          <t>OP01048</t>
        </is>
      </c>
      <c r="E190" s="8" t="n">
        <v>44788.41388888889</v>
      </c>
      <c r="F190" s="7" t="inlineStr">
        <is>
          <t>DOWNLINE</t>
        </is>
      </c>
      <c r="G190" s="18" t="inlineStr">
        <is>
          <t>OP01048</t>
        </is>
      </c>
      <c r="H190" s="19">
        <f>UPPER(Table3[[#This Row],[Agen id]]&amp;"-"&amp;VLOOKUP(Table3[[#This Row],[Agen id]],A:B,2,0)&amp;"("&amp;Table3[[#This Row],[Short]]&amp;")")</f>
        <v/>
      </c>
      <c r="J190" s="7">
        <f>VLOOKUP(Table3[[#This Row],[Agen id]],Agen!A:C,3,0)</f>
        <v/>
      </c>
      <c r="K190" s="37">
        <f>TRIM(LEFT(Table3[[#This Row],[Group]],2))</f>
        <v/>
      </c>
      <c r="L190" s="3" t="inlineStr">
        <is>
          <t>NON SALES</t>
        </is>
      </c>
    </row>
    <row r="191">
      <c r="A191" s="5" t="inlineStr">
        <is>
          <t>OP01054</t>
        </is>
      </c>
      <c r="B191" s="6" t="inlineStr">
        <is>
          <t>Asih</t>
        </is>
      </c>
      <c r="C191" s="7" t="inlineStr">
        <is>
          <t>AV - Agen Verified</t>
        </is>
      </c>
      <c r="D191" s="1" t="inlineStr">
        <is>
          <t>OP00002</t>
        </is>
      </c>
      <c r="E191" s="8" t="n">
        <v>44788.41736111111</v>
      </c>
      <c r="F191" s="7" t="inlineStr">
        <is>
          <t>AGEN</t>
        </is>
      </c>
      <c r="G191" s="18" t="inlineStr">
        <is>
          <t>OP01054</t>
        </is>
      </c>
      <c r="H191" s="19">
        <f>UPPER(Table3[[#This Row],[Agen id]]&amp;"-"&amp;VLOOKUP(Table3[[#This Row],[Agen id]],A:B,2,0)&amp;"("&amp;Table3[[#This Row],[Short]]&amp;")")</f>
        <v/>
      </c>
      <c r="J191" s="7">
        <f>VLOOKUP(Table3[[#This Row],[Agen id]],Agen!A:C,3,0)</f>
        <v/>
      </c>
      <c r="K191" s="37">
        <f>TRIM(LEFT(Table3[[#This Row],[Group]],2))</f>
        <v/>
      </c>
      <c r="L191" s="3" t="inlineStr">
        <is>
          <t>NON SALES</t>
        </is>
      </c>
    </row>
    <row r="192">
      <c r="A192" s="5" t="inlineStr">
        <is>
          <t>OP01089</t>
        </is>
      </c>
      <c r="B192" s="6" t="inlineStr">
        <is>
          <t>Indri cell</t>
        </is>
      </c>
      <c r="C192" s="7" t="inlineStr">
        <is>
          <t>AV - Agen Verified</t>
        </is>
      </c>
      <c r="D192" s="1" t="inlineStr">
        <is>
          <t>OP00002</t>
        </is>
      </c>
      <c r="E192" s="8" t="n">
        <v>44789.08402777778</v>
      </c>
      <c r="F192" s="7" t="inlineStr">
        <is>
          <t>AGEN</t>
        </is>
      </c>
      <c r="G192" s="18" t="inlineStr">
        <is>
          <t>OP01089</t>
        </is>
      </c>
      <c r="H192" s="19">
        <f>UPPER(Table3[[#This Row],[Agen id]]&amp;"-"&amp;VLOOKUP(Table3[[#This Row],[Agen id]],A:B,2,0)&amp;"("&amp;Table3[[#This Row],[Short]]&amp;")")</f>
        <v/>
      </c>
      <c r="J192" s="7">
        <f>VLOOKUP(Table3[[#This Row],[Agen id]],Agen!A:C,3,0)</f>
        <v/>
      </c>
      <c r="K192" s="37">
        <f>TRIM(LEFT(Table3[[#This Row],[Group]],2))</f>
        <v/>
      </c>
      <c r="L192" s="3" t="inlineStr">
        <is>
          <t>NON SALES</t>
        </is>
      </c>
    </row>
    <row r="193">
      <c r="A193" s="5" t="inlineStr">
        <is>
          <t>OP01090</t>
        </is>
      </c>
      <c r="B193" s="6" t="inlineStr">
        <is>
          <t>Hardin</t>
        </is>
      </c>
      <c r="C193" s="7" t="inlineStr">
        <is>
          <t>A - Agen</t>
        </is>
      </c>
      <c r="D193" s="1" t="inlineStr">
        <is>
          <t>OP00906</t>
        </is>
      </c>
      <c r="E193" s="8" t="n">
        <v>44789.08541666667</v>
      </c>
      <c r="F193" s="7" t="inlineStr">
        <is>
          <t>DOWNLINE</t>
        </is>
      </c>
      <c r="G193" s="18" t="inlineStr">
        <is>
          <t>OP00906</t>
        </is>
      </c>
      <c r="H193" s="19">
        <f>UPPER(Table3[[#This Row],[Agen id]]&amp;"-"&amp;VLOOKUP(Table3[[#This Row],[Agen id]],A:B,2,0)&amp;"("&amp;Table3[[#This Row],[Short]]&amp;")")</f>
        <v/>
      </c>
      <c r="J193" s="7">
        <f>VLOOKUP(Table3[[#This Row],[Agen id]],Agen!A:C,3,0)</f>
        <v/>
      </c>
      <c r="K193" s="37">
        <f>TRIM(LEFT(Table3[[#This Row],[Group]],2))</f>
        <v/>
      </c>
      <c r="L193" s="3" t="inlineStr">
        <is>
          <t>NON SALES</t>
        </is>
      </c>
    </row>
    <row r="194">
      <c r="A194" s="5" t="inlineStr">
        <is>
          <t>OP01092</t>
        </is>
      </c>
      <c r="B194" s="6" t="inlineStr">
        <is>
          <t>Hendri</t>
        </is>
      </c>
      <c r="C194" s="7" t="inlineStr">
        <is>
          <t>AV - Agen Verified</t>
        </is>
      </c>
      <c r="D194" s="1" t="inlineStr">
        <is>
          <t>OP00002</t>
        </is>
      </c>
      <c r="E194" s="8" t="n">
        <v>44789.12013888889</v>
      </c>
      <c r="F194" s="7" t="inlineStr">
        <is>
          <t>AGEN</t>
        </is>
      </c>
      <c r="G194" s="18" t="inlineStr">
        <is>
          <t>OP01092</t>
        </is>
      </c>
      <c r="H194" s="19">
        <f>UPPER(Table3[[#This Row],[Agen id]]&amp;"-"&amp;VLOOKUP(Table3[[#This Row],[Agen id]],A:B,2,0)&amp;"("&amp;Table3[[#This Row],[Short]]&amp;")")</f>
        <v/>
      </c>
      <c r="J194" s="7">
        <f>VLOOKUP(Table3[[#This Row],[Agen id]],Agen!A:C,3,0)</f>
        <v/>
      </c>
      <c r="K194" s="37">
        <f>TRIM(LEFT(Table3[[#This Row],[Group]],2))</f>
        <v/>
      </c>
      <c r="L194" s="3" t="inlineStr">
        <is>
          <t>NON SALES</t>
        </is>
      </c>
    </row>
    <row r="195">
      <c r="A195" s="5" t="inlineStr">
        <is>
          <t>OP01097</t>
        </is>
      </c>
      <c r="B195" s="6" t="inlineStr">
        <is>
          <t>WINATA</t>
        </is>
      </c>
      <c r="C195" s="7" t="inlineStr">
        <is>
          <t>AV - Agen Verified</t>
        </is>
      </c>
      <c r="D195" s="1" t="inlineStr">
        <is>
          <t>OP00002</t>
        </is>
      </c>
      <c r="E195" s="8" t="n">
        <v>44789.23055555556</v>
      </c>
      <c r="F195" s="7" t="inlineStr">
        <is>
          <t>AGEN</t>
        </is>
      </c>
      <c r="G195" s="18" t="inlineStr">
        <is>
          <t>OP01097</t>
        </is>
      </c>
      <c r="H195" s="19">
        <f>UPPER(Table3[[#This Row],[Agen id]]&amp;"-"&amp;VLOOKUP(Table3[[#This Row],[Agen id]],A:B,2,0)&amp;"("&amp;Table3[[#This Row],[Short]]&amp;")")</f>
        <v/>
      </c>
      <c r="J195" s="7">
        <f>VLOOKUP(Table3[[#This Row],[Agen id]],Agen!A:C,3,0)</f>
        <v/>
      </c>
      <c r="K195" s="37">
        <f>TRIM(LEFT(Table3[[#This Row],[Group]],2))</f>
        <v/>
      </c>
      <c r="L195" s="3" t="inlineStr">
        <is>
          <t>NON SALES</t>
        </is>
      </c>
    </row>
    <row r="196">
      <c r="A196" s="5" t="inlineStr">
        <is>
          <t>OP01100</t>
        </is>
      </c>
      <c r="B196" s="6" t="inlineStr">
        <is>
          <t>Ayanna28</t>
        </is>
      </c>
      <c r="C196" s="7" t="inlineStr">
        <is>
          <t>MK - Marketing</t>
        </is>
      </c>
      <c r="D196" s="1" t="inlineStr">
        <is>
          <t>OP00002</t>
        </is>
      </c>
      <c r="E196" s="8" t="n">
        <v>44789.26597222222</v>
      </c>
      <c r="F196" s="7" t="inlineStr">
        <is>
          <t>AGEN</t>
        </is>
      </c>
      <c r="G196" s="18" t="inlineStr">
        <is>
          <t>OP01100</t>
        </is>
      </c>
      <c r="H196" s="19">
        <f>UPPER(Table3[[#This Row],[Agen id]]&amp;"-"&amp;VLOOKUP(Table3[[#This Row],[Agen id]],A:B,2,0)&amp;"("&amp;Table3[[#This Row],[Short]]&amp;")")</f>
        <v/>
      </c>
      <c r="J196" s="7">
        <f>VLOOKUP(Table3[[#This Row],[Agen id]],Agen!A:C,3,0)</f>
        <v/>
      </c>
      <c r="K196" s="37">
        <f>TRIM(LEFT(Table3[[#This Row],[Group]],2))</f>
        <v/>
      </c>
      <c r="L196" s="3" t="inlineStr">
        <is>
          <t>NON SALES</t>
        </is>
      </c>
    </row>
    <row r="197">
      <c r="A197" s="5" t="inlineStr">
        <is>
          <t>OP01103</t>
        </is>
      </c>
      <c r="B197" s="6" t="inlineStr">
        <is>
          <t>Syawal cell</t>
        </is>
      </c>
      <c r="C197" s="7" t="inlineStr">
        <is>
          <t>A - Agen</t>
        </is>
      </c>
      <c r="D197" s="1" t="inlineStr">
        <is>
          <t>OP00002</t>
        </is>
      </c>
      <c r="E197" s="8" t="n">
        <v>44789.29930555556</v>
      </c>
      <c r="F197" s="7" t="inlineStr">
        <is>
          <t>AGEN</t>
        </is>
      </c>
      <c r="G197" s="18" t="inlineStr">
        <is>
          <t>OP01103</t>
        </is>
      </c>
      <c r="H197" s="19">
        <f>UPPER(Table3[[#This Row],[Agen id]]&amp;"-"&amp;VLOOKUP(Table3[[#This Row],[Agen id]],A:B,2,0)&amp;"("&amp;Table3[[#This Row],[Short]]&amp;")")</f>
        <v/>
      </c>
      <c r="J197" s="7">
        <f>VLOOKUP(Table3[[#This Row],[Agen id]],Agen!A:C,3,0)</f>
        <v/>
      </c>
      <c r="K197" s="37">
        <f>TRIM(LEFT(Table3[[#This Row],[Group]],2))</f>
        <v/>
      </c>
      <c r="L197" s="3" t="inlineStr">
        <is>
          <t>NON SALES</t>
        </is>
      </c>
    </row>
    <row r="198">
      <c r="A198" s="5" t="inlineStr">
        <is>
          <t>OP01105</t>
        </is>
      </c>
      <c r="B198" s="6" t="inlineStr">
        <is>
          <t>Ilhamnurrhakim</t>
        </is>
      </c>
      <c r="C198" s="7" t="inlineStr">
        <is>
          <t>A - Agen</t>
        </is>
      </c>
      <c r="D198" s="1" t="inlineStr">
        <is>
          <t>OP00002</t>
        </is>
      </c>
      <c r="E198" s="8" t="n">
        <v>44789.34027777778</v>
      </c>
      <c r="F198" s="7" t="inlineStr">
        <is>
          <t>AGEN</t>
        </is>
      </c>
      <c r="G198" s="18" t="inlineStr">
        <is>
          <t>OP01105</t>
        </is>
      </c>
      <c r="H198" s="19">
        <f>UPPER(Table3[[#This Row],[Agen id]]&amp;"-"&amp;VLOOKUP(Table3[[#This Row],[Agen id]],A:B,2,0)&amp;"("&amp;Table3[[#This Row],[Short]]&amp;")")</f>
        <v/>
      </c>
      <c r="J198" s="7">
        <f>VLOOKUP(Table3[[#This Row],[Agen id]],Agen!A:C,3,0)</f>
        <v/>
      </c>
      <c r="K198" s="37">
        <f>TRIM(LEFT(Table3[[#This Row],[Group]],2))</f>
        <v/>
      </c>
      <c r="L198" s="3" t="inlineStr">
        <is>
          <t>NON SALES</t>
        </is>
      </c>
    </row>
    <row r="199">
      <c r="A199" s="5" t="inlineStr">
        <is>
          <t>OP01112</t>
        </is>
      </c>
      <c r="B199" s="6" t="inlineStr">
        <is>
          <t>UT Cell</t>
        </is>
      </c>
      <c r="C199" s="7" t="inlineStr">
        <is>
          <t>A - Agen</t>
        </is>
      </c>
      <c r="D199" s="1" t="inlineStr">
        <is>
          <t>OP00002</t>
        </is>
      </c>
      <c r="E199" s="8" t="n">
        <v>44789.82847222222</v>
      </c>
      <c r="F199" s="7" t="inlineStr">
        <is>
          <t>AGEN</t>
        </is>
      </c>
      <c r="G199" s="18" t="inlineStr">
        <is>
          <t>OP01112</t>
        </is>
      </c>
      <c r="H199" s="19">
        <f>UPPER(Table3[[#This Row],[Agen id]]&amp;"-"&amp;VLOOKUP(Table3[[#This Row],[Agen id]],A:B,2,0)&amp;"("&amp;Table3[[#This Row],[Short]]&amp;")")</f>
        <v/>
      </c>
      <c r="J199" s="7">
        <f>VLOOKUP(Table3[[#This Row],[Agen id]],Agen!A:C,3,0)</f>
        <v/>
      </c>
      <c r="K199" s="37">
        <f>TRIM(LEFT(Table3[[#This Row],[Group]],2))</f>
        <v/>
      </c>
      <c r="L199" s="3" t="inlineStr">
        <is>
          <t>NON SALES</t>
        </is>
      </c>
    </row>
    <row r="200">
      <c r="A200" s="5" t="inlineStr">
        <is>
          <t>OP01122</t>
        </is>
      </c>
      <c r="B200" s="6" t="inlineStr">
        <is>
          <t>Yosafat Rudi</t>
        </is>
      </c>
      <c r="C200" s="7" t="inlineStr">
        <is>
          <t>A - Agen</t>
        </is>
      </c>
      <c r="D200" s="1" t="inlineStr">
        <is>
          <t>OP00002</t>
        </is>
      </c>
      <c r="E200" s="8" t="n">
        <v>44790.25416666667</v>
      </c>
      <c r="F200" s="7" t="inlineStr">
        <is>
          <t>AGEN</t>
        </is>
      </c>
      <c r="G200" s="18" t="inlineStr">
        <is>
          <t>OP01122</t>
        </is>
      </c>
      <c r="H200" s="19">
        <f>UPPER(Table3[[#This Row],[Agen id]]&amp;"-"&amp;VLOOKUP(Table3[[#This Row],[Agen id]],A:B,2,0)&amp;"("&amp;Table3[[#This Row],[Short]]&amp;")")</f>
        <v/>
      </c>
      <c r="J200" s="7">
        <f>VLOOKUP(Table3[[#This Row],[Agen id]],Agen!A:C,3,0)</f>
        <v/>
      </c>
      <c r="K200" s="37">
        <f>TRIM(LEFT(Table3[[#This Row],[Group]],2))</f>
        <v/>
      </c>
      <c r="L200" s="3" t="inlineStr">
        <is>
          <t>NON SALES</t>
        </is>
      </c>
    </row>
    <row r="201">
      <c r="A201" s="5" t="inlineStr">
        <is>
          <t>OP01124</t>
        </is>
      </c>
      <c r="B201" s="6" t="inlineStr">
        <is>
          <t>ENDY</t>
        </is>
      </c>
      <c r="C201" s="7" t="inlineStr">
        <is>
          <t>A - Agen</t>
        </is>
      </c>
      <c r="D201" s="1" t="inlineStr">
        <is>
          <t>OP00002</t>
        </is>
      </c>
      <c r="E201" s="8" t="n">
        <v>44790.31666666667</v>
      </c>
      <c r="F201" s="7" t="inlineStr">
        <is>
          <t>AGEN</t>
        </is>
      </c>
      <c r="G201" s="18" t="inlineStr">
        <is>
          <t>OP01124</t>
        </is>
      </c>
      <c r="H201" s="19">
        <f>UPPER(Table3[[#This Row],[Agen id]]&amp;"-"&amp;VLOOKUP(Table3[[#This Row],[Agen id]],A:B,2,0)&amp;"("&amp;Table3[[#This Row],[Short]]&amp;")")</f>
        <v/>
      </c>
      <c r="J201" s="7">
        <f>VLOOKUP(Table3[[#This Row],[Agen id]],Agen!A:C,3,0)</f>
        <v/>
      </c>
      <c r="K201" s="37">
        <f>TRIM(LEFT(Table3[[#This Row],[Group]],2))</f>
        <v/>
      </c>
      <c r="L201" s="3" t="inlineStr">
        <is>
          <t>NON SALES</t>
        </is>
      </c>
    </row>
    <row r="202">
      <c r="A202" s="5" t="inlineStr">
        <is>
          <t>OP01132</t>
        </is>
      </c>
      <c r="B202" s="6" t="inlineStr">
        <is>
          <t>Rozi cell</t>
        </is>
      </c>
      <c r="C202" s="7" t="inlineStr">
        <is>
          <t>AV - Agen Verified</t>
        </is>
      </c>
      <c r="D202" s="1" t="inlineStr">
        <is>
          <t>OP00002</t>
        </is>
      </c>
      <c r="E202" s="8" t="n">
        <v>44790.63888888889</v>
      </c>
      <c r="F202" s="7" t="inlineStr">
        <is>
          <t>AGEN</t>
        </is>
      </c>
      <c r="G202" s="18" t="inlineStr">
        <is>
          <t>OP01132</t>
        </is>
      </c>
      <c r="H202" s="19">
        <f>UPPER(Table3[[#This Row],[Agen id]]&amp;"-"&amp;VLOOKUP(Table3[[#This Row],[Agen id]],A:B,2,0)&amp;"("&amp;Table3[[#This Row],[Short]]&amp;")")</f>
        <v/>
      </c>
      <c r="J202" s="7">
        <f>VLOOKUP(Table3[[#This Row],[Agen id]],Agen!A:C,3,0)</f>
        <v/>
      </c>
      <c r="K202" s="37">
        <f>TRIM(LEFT(Table3[[#This Row],[Group]],2))</f>
        <v/>
      </c>
      <c r="L202" s="3" t="inlineStr">
        <is>
          <t>NON SALES</t>
        </is>
      </c>
    </row>
    <row r="203">
      <c r="A203" s="5" t="inlineStr">
        <is>
          <t>OP01138</t>
        </is>
      </c>
      <c r="B203" s="6" t="inlineStr">
        <is>
          <t>Diana</t>
        </is>
      </c>
      <c r="C203" s="7" t="inlineStr">
        <is>
          <t>A - Agen</t>
        </is>
      </c>
      <c r="D203" s="1" t="inlineStr">
        <is>
          <t>OP00051</t>
        </is>
      </c>
      <c r="E203" s="8" t="n">
        <v>44790.75</v>
      </c>
      <c r="F203" s="7" t="inlineStr">
        <is>
          <t>DOWNLINE</t>
        </is>
      </c>
      <c r="G203" s="18" t="inlineStr">
        <is>
          <t>OP00051</t>
        </is>
      </c>
      <c r="H203" s="19">
        <f>UPPER(Table3[[#This Row],[Agen id]]&amp;"-"&amp;VLOOKUP(Table3[[#This Row],[Agen id]],A:B,2,0)&amp;"("&amp;Table3[[#This Row],[Short]]&amp;")")</f>
        <v/>
      </c>
      <c r="J203" s="7">
        <f>VLOOKUP(Table3[[#This Row],[Agen id]],Agen!A:C,3,0)</f>
        <v/>
      </c>
      <c r="K203" s="37">
        <f>TRIM(LEFT(Table3[[#This Row],[Group]],2))</f>
        <v/>
      </c>
      <c r="L203" s="3" t="inlineStr">
        <is>
          <t>NON SALES</t>
        </is>
      </c>
    </row>
    <row r="204">
      <c r="A204" s="5" t="inlineStr">
        <is>
          <t>OP01142</t>
        </is>
      </c>
      <c r="B204" s="6" t="inlineStr">
        <is>
          <t>susicell</t>
        </is>
      </c>
      <c r="C204" s="7" t="inlineStr">
        <is>
          <t>A - Agen</t>
        </is>
      </c>
      <c r="D204" s="1" t="inlineStr">
        <is>
          <t>OP00002</t>
        </is>
      </c>
      <c r="E204" s="8" t="n">
        <v>44790.79166666666</v>
      </c>
      <c r="F204" s="7" t="inlineStr">
        <is>
          <t>AGEN</t>
        </is>
      </c>
      <c r="G204" s="18" t="inlineStr">
        <is>
          <t>OP01142</t>
        </is>
      </c>
      <c r="H204" s="19">
        <f>UPPER(Table3[[#This Row],[Agen id]]&amp;"-"&amp;VLOOKUP(Table3[[#This Row],[Agen id]],A:B,2,0)&amp;"("&amp;Table3[[#This Row],[Short]]&amp;")")</f>
        <v/>
      </c>
      <c r="J204" s="7">
        <f>VLOOKUP(Table3[[#This Row],[Agen id]],Agen!A:C,3,0)</f>
        <v/>
      </c>
      <c r="K204" s="37">
        <f>TRIM(LEFT(Table3[[#This Row],[Group]],2))</f>
        <v/>
      </c>
      <c r="L204" s="3" t="inlineStr">
        <is>
          <t>NON SALES</t>
        </is>
      </c>
    </row>
    <row r="205">
      <c r="A205" s="5" t="inlineStr">
        <is>
          <t>OP01143</t>
        </is>
      </c>
      <c r="B205" s="6" t="inlineStr">
        <is>
          <t>Muliana</t>
        </is>
      </c>
      <c r="C205" s="7" t="inlineStr">
        <is>
          <t>A - Agen</t>
        </is>
      </c>
      <c r="D205" s="1" t="inlineStr">
        <is>
          <t>OP00002</t>
        </is>
      </c>
      <c r="E205" s="8" t="n">
        <v>44790.81388888889</v>
      </c>
      <c r="F205" s="7" t="inlineStr">
        <is>
          <t>AGEN</t>
        </is>
      </c>
      <c r="G205" s="18" t="inlineStr">
        <is>
          <t>OP01143</t>
        </is>
      </c>
      <c r="H205" s="19">
        <f>UPPER(Table3[[#This Row],[Agen id]]&amp;"-"&amp;VLOOKUP(Table3[[#This Row],[Agen id]],A:B,2,0)&amp;"("&amp;Table3[[#This Row],[Short]]&amp;")")</f>
        <v/>
      </c>
      <c r="J205" s="7">
        <f>VLOOKUP(Table3[[#This Row],[Agen id]],Agen!A:C,3,0)</f>
        <v/>
      </c>
      <c r="K205" s="37">
        <f>TRIM(LEFT(Table3[[#This Row],[Group]],2))</f>
        <v/>
      </c>
      <c r="L205" s="3" t="inlineStr">
        <is>
          <t>NON SALES</t>
        </is>
      </c>
    </row>
    <row r="206">
      <c r="A206" s="5" t="inlineStr">
        <is>
          <t>OP01144</t>
        </is>
      </c>
      <c r="B206" s="6" t="inlineStr">
        <is>
          <t>Pls bete</t>
        </is>
      </c>
      <c r="C206" s="7" t="inlineStr">
        <is>
          <t>AV - Agen Verified</t>
        </is>
      </c>
      <c r="D206" s="1" t="inlineStr">
        <is>
          <t>OP00002</t>
        </is>
      </c>
      <c r="E206" s="8" t="n">
        <v>44790.82013888889</v>
      </c>
      <c r="F206" s="7" t="inlineStr">
        <is>
          <t>AGEN</t>
        </is>
      </c>
      <c r="G206" s="18" t="inlineStr">
        <is>
          <t>OP01144</t>
        </is>
      </c>
      <c r="H206" s="19">
        <f>UPPER(Table3[[#This Row],[Agen id]]&amp;"-"&amp;VLOOKUP(Table3[[#This Row],[Agen id]],A:B,2,0)&amp;"("&amp;Table3[[#This Row],[Short]]&amp;")")</f>
        <v/>
      </c>
      <c r="J206" s="7">
        <f>VLOOKUP(Table3[[#This Row],[Agen id]],Agen!A:C,3,0)</f>
        <v/>
      </c>
      <c r="K206" s="37">
        <f>TRIM(LEFT(Table3[[#This Row],[Group]],2))</f>
        <v/>
      </c>
      <c r="L206" s="3" t="inlineStr">
        <is>
          <t>NON SALES</t>
        </is>
      </c>
    </row>
    <row r="207">
      <c r="A207" s="5" t="inlineStr">
        <is>
          <t>OP01159</t>
        </is>
      </c>
      <c r="B207" s="6" t="inlineStr">
        <is>
          <t>khalisah celluler</t>
        </is>
      </c>
      <c r="C207" s="7" t="inlineStr">
        <is>
          <t>AV - Agen Verified</t>
        </is>
      </c>
      <c r="D207" s="1" t="inlineStr">
        <is>
          <t>OP00002</t>
        </is>
      </c>
      <c r="E207" s="8" t="n">
        <v>44790.89097222222</v>
      </c>
      <c r="F207" s="7" t="inlineStr">
        <is>
          <t>AGEN</t>
        </is>
      </c>
      <c r="G207" s="18" t="inlineStr">
        <is>
          <t>OP01159</t>
        </is>
      </c>
      <c r="H207" s="19">
        <f>UPPER(Table3[[#This Row],[Agen id]]&amp;"-"&amp;VLOOKUP(Table3[[#This Row],[Agen id]],A:B,2,0)&amp;"("&amp;Table3[[#This Row],[Short]]&amp;")")</f>
        <v/>
      </c>
      <c r="J207" s="7">
        <f>VLOOKUP(Table3[[#This Row],[Agen id]],Agen!A:C,3,0)</f>
        <v/>
      </c>
      <c r="K207" s="37">
        <f>TRIM(LEFT(Table3[[#This Row],[Group]],2))</f>
        <v/>
      </c>
      <c r="L207" s="3" t="inlineStr">
        <is>
          <t>NON SALES</t>
        </is>
      </c>
    </row>
    <row r="208">
      <c r="A208" s="5" t="inlineStr">
        <is>
          <t>OP01175</t>
        </is>
      </c>
      <c r="B208" s="6" t="inlineStr">
        <is>
          <t>Yelin Rauf</t>
        </is>
      </c>
      <c r="C208" s="7" t="inlineStr">
        <is>
          <t>A - Agen</t>
        </is>
      </c>
      <c r="D208" s="1" t="inlineStr">
        <is>
          <t>OP00002</t>
        </is>
      </c>
      <c r="E208" s="8" t="n">
        <v>44791.28611111111</v>
      </c>
      <c r="F208" s="7" t="inlineStr">
        <is>
          <t>AGEN</t>
        </is>
      </c>
      <c r="G208" s="18" t="inlineStr">
        <is>
          <t>OP01175</t>
        </is>
      </c>
      <c r="H208" s="19">
        <f>UPPER(Table3[[#This Row],[Agen id]]&amp;"-"&amp;VLOOKUP(Table3[[#This Row],[Agen id]],A:B,2,0)&amp;"("&amp;Table3[[#This Row],[Short]]&amp;")")</f>
        <v/>
      </c>
      <c r="J208" s="7">
        <f>VLOOKUP(Table3[[#This Row],[Agen id]],Agen!A:C,3,0)</f>
        <v/>
      </c>
      <c r="K208" s="37">
        <f>TRIM(LEFT(Table3[[#This Row],[Group]],2))</f>
        <v/>
      </c>
      <c r="L208" s="3" t="inlineStr">
        <is>
          <t>NON SALES</t>
        </is>
      </c>
    </row>
    <row r="209">
      <c r="A209" s="5" t="inlineStr">
        <is>
          <t>OP01176</t>
        </is>
      </c>
      <c r="B209" s="6" t="inlineStr">
        <is>
          <t>Muhammad samun</t>
        </is>
      </c>
      <c r="C209" s="7" t="inlineStr">
        <is>
          <t>A - Agen</t>
        </is>
      </c>
      <c r="D209" s="1" t="inlineStr">
        <is>
          <t>OP00002</t>
        </is>
      </c>
      <c r="E209" s="8" t="n">
        <v>44791.29375</v>
      </c>
      <c r="F209" s="7" t="inlineStr">
        <is>
          <t>AGEN</t>
        </is>
      </c>
      <c r="G209" s="18" t="inlineStr">
        <is>
          <t>OP01176</t>
        </is>
      </c>
      <c r="H209" s="19">
        <f>UPPER(Table3[[#This Row],[Agen id]]&amp;"-"&amp;VLOOKUP(Table3[[#This Row],[Agen id]],A:B,2,0)&amp;"("&amp;Table3[[#This Row],[Short]]&amp;")")</f>
        <v/>
      </c>
      <c r="J209" s="7">
        <f>VLOOKUP(Table3[[#This Row],[Agen id]],Agen!A:C,3,0)</f>
        <v/>
      </c>
      <c r="K209" s="37">
        <f>TRIM(LEFT(Table3[[#This Row],[Group]],2))</f>
        <v/>
      </c>
      <c r="L209" s="3" t="inlineStr">
        <is>
          <t>NON SALES</t>
        </is>
      </c>
    </row>
    <row r="210">
      <c r="A210" s="5" t="inlineStr">
        <is>
          <t>OP01181</t>
        </is>
      </c>
      <c r="B210" s="6" t="inlineStr">
        <is>
          <t>Hasanuddin</t>
        </is>
      </c>
      <c r="C210" s="7" t="inlineStr">
        <is>
          <t>A - Agen</t>
        </is>
      </c>
      <c r="D210" s="1" t="inlineStr">
        <is>
          <t>OP00002</t>
        </is>
      </c>
      <c r="E210" s="8" t="n">
        <v>44791.34305555555</v>
      </c>
      <c r="F210" s="7" t="inlineStr">
        <is>
          <t>AGEN</t>
        </is>
      </c>
      <c r="G210" s="18" t="inlineStr">
        <is>
          <t>OP01181</t>
        </is>
      </c>
      <c r="H210" s="19">
        <f>UPPER(Table3[[#This Row],[Agen id]]&amp;"-"&amp;VLOOKUP(Table3[[#This Row],[Agen id]],A:B,2,0)&amp;"("&amp;Table3[[#This Row],[Short]]&amp;")")</f>
        <v/>
      </c>
      <c r="J210" s="7">
        <f>VLOOKUP(Table3[[#This Row],[Agen id]],Agen!A:C,3,0)</f>
        <v/>
      </c>
      <c r="K210" s="37">
        <f>TRIM(LEFT(Table3[[#This Row],[Group]],2))</f>
        <v/>
      </c>
      <c r="L210" s="3" t="inlineStr">
        <is>
          <t>NON SALES</t>
        </is>
      </c>
    </row>
    <row r="211">
      <c r="A211" s="5" t="inlineStr">
        <is>
          <t>OP01188</t>
        </is>
      </c>
      <c r="B211" s="6" t="inlineStr">
        <is>
          <t>Nanda</t>
        </is>
      </c>
      <c r="C211" s="7" t="inlineStr">
        <is>
          <t>A - Agen</t>
        </is>
      </c>
      <c r="D211" s="1" t="inlineStr">
        <is>
          <t>OP00996</t>
        </is>
      </c>
      <c r="E211" s="8" t="n">
        <v>44791.40625</v>
      </c>
      <c r="F211" s="7" t="inlineStr">
        <is>
          <t>DOWNLINE</t>
        </is>
      </c>
      <c r="G211" s="18" t="inlineStr">
        <is>
          <t>OP00996</t>
        </is>
      </c>
      <c r="H211" s="19">
        <f>UPPER(Table3[[#This Row],[Agen id]]&amp;"-"&amp;VLOOKUP(Table3[[#This Row],[Agen id]],A:B,2,0)&amp;"("&amp;Table3[[#This Row],[Short]]&amp;")")</f>
        <v/>
      </c>
      <c r="J211" s="7">
        <f>VLOOKUP(Table3[[#This Row],[Agen id]],Agen!A:C,3,0)</f>
        <v/>
      </c>
      <c r="K211" s="37">
        <f>TRIM(LEFT(Table3[[#This Row],[Group]],2))</f>
        <v/>
      </c>
      <c r="L211" s="3" t="inlineStr">
        <is>
          <t>NON SALES</t>
        </is>
      </c>
    </row>
    <row r="212">
      <c r="A212" s="5" t="inlineStr">
        <is>
          <t>OP01193</t>
        </is>
      </c>
      <c r="B212" s="6" t="inlineStr">
        <is>
          <t>Akbar Cell</t>
        </is>
      </c>
      <c r="C212" s="7" t="inlineStr">
        <is>
          <t>AV - Agen Verified</t>
        </is>
      </c>
      <c r="D212" s="1" t="inlineStr">
        <is>
          <t>OP00914</t>
        </is>
      </c>
      <c r="E212" s="8" t="n">
        <v>44791.47013888889</v>
      </c>
      <c r="F212" s="7" t="inlineStr">
        <is>
          <t>DOWNLINE</t>
        </is>
      </c>
      <c r="G212" s="18" t="inlineStr">
        <is>
          <t>OP00914</t>
        </is>
      </c>
      <c r="H212" s="19">
        <f>UPPER(Table3[[#This Row],[Agen id]]&amp;"-"&amp;VLOOKUP(Table3[[#This Row],[Agen id]],A:B,2,0)&amp;"("&amp;Table3[[#This Row],[Short]]&amp;")")</f>
        <v/>
      </c>
      <c r="J212" s="7">
        <f>VLOOKUP(Table3[[#This Row],[Agen id]],Agen!A:C,3,0)</f>
        <v/>
      </c>
      <c r="K212" s="37">
        <f>TRIM(LEFT(Table3[[#This Row],[Group]],2))</f>
        <v/>
      </c>
      <c r="L212" s="3" t="inlineStr">
        <is>
          <t>NON SALES</t>
        </is>
      </c>
    </row>
    <row r="213">
      <c r="A213" s="5" t="inlineStr">
        <is>
          <t>OP01245</t>
        </is>
      </c>
      <c r="B213" s="6" t="inlineStr">
        <is>
          <t>Barbor</t>
        </is>
      </c>
      <c r="C213" s="7" t="inlineStr">
        <is>
          <t>A - Agen</t>
        </is>
      </c>
      <c r="D213" s="1" t="inlineStr">
        <is>
          <t>OP00002</t>
        </is>
      </c>
      <c r="E213" s="8" t="n">
        <v>44792.375</v>
      </c>
      <c r="F213" s="7" t="inlineStr">
        <is>
          <t>AGEN</t>
        </is>
      </c>
      <c r="G213" s="18" t="inlineStr">
        <is>
          <t>OP01245</t>
        </is>
      </c>
      <c r="H213" s="19">
        <f>UPPER(Table3[[#This Row],[Agen id]]&amp;"-"&amp;VLOOKUP(Table3[[#This Row],[Agen id]],A:B,2,0)&amp;"("&amp;Table3[[#This Row],[Short]]&amp;")")</f>
        <v/>
      </c>
      <c r="J213" s="7">
        <f>VLOOKUP(Table3[[#This Row],[Agen id]],Agen!A:C,3,0)</f>
        <v/>
      </c>
      <c r="K213" s="37">
        <f>TRIM(LEFT(Table3[[#This Row],[Group]],2))</f>
        <v/>
      </c>
      <c r="L213" s="3" t="inlineStr">
        <is>
          <t>NON SALES</t>
        </is>
      </c>
    </row>
    <row r="214">
      <c r="A214" s="5" t="inlineStr">
        <is>
          <t>OP01255</t>
        </is>
      </c>
      <c r="B214" s="6" t="inlineStr">
        <is>
          <t>Jaya Cell</t>
        </is>
      </c>
      <c r="C214" s="7" t="inlineStr">
        <is>
          <t>AV - Agen Verified</t>
        </is>
      </c>
      <c r="D214" s="1" t="inlineStr">
        <is>
          <t>OP00002</t>
        </is>
      </c>
      <c r="E214" s="8" t="n">
        <v>44792.45138888889</v>
      </c>
      <c r="F214" s="7" t="inlineStr">
        <is>
          <t>AGEN</t>
        </is>
      </c>
      <c r="G214" s="18" t="inlineStr">
        <is>
          <t>OP01255</t>
        </is>
      </c>
      <c r="H214" s="19">
        <f>UPPER(Table3[[#This Row],[Agen id]]&amp;"-"&amp;VLOOKUP(Table3[[#This Row],[Agen id]],A:B,2,0)&amp;"("&amp;Table3[[#This Row],[Short]]&amp;")")</f>
        <v/>
      </c>
      <c r="J214" s="7">
        <f>VLOOKUP(Table3[[#This Row],[Agen id]],Agen!A:C,3,0)</f>
        <v/>
      </c>
      <c r="K214" s="37">
        <f>TRIM(LEFT(Table3[[#This Row],[Group]],2))</f>
        <v/>
      </c>
      <c r="L214" s="3" t="inlineStr">
        <is>
          <t>NON SALES</t>
        </is>
      </c>
    </row>
    <row r="215">
      <c r="A215" s="5" t="inlineStr">
        <is>
          <t>OP01257</t>
        </is>
      </c>
      <c r="B215" s="6" t="inlineStr">
        <is>
          <t>Nasyafathiya</t>
        </is>
      </c>
      <c r="C215" s="7" t="inlineStr">
        <is>
          <t>AV - Agen Verified</t>
        </is>
      </c>
      <c r="D215" s="1" t="inlineStr">
        <is>
          <t>OP00002</t>
        </is>
      </c>
      <c r="E215" s="8" t="n">
        <v>44792.45833333334</v>
      </c>
      <c r="F215" s="7" t="inlineStr">
        <is>
          <t>AGEN</t>
        </is>
      </c>
      <c r="G215" s="18" t="inlineStr">
        <is>
          <t>OP01257</t>
        </is>
      </c>
      <c r="H215" s="19">
        <f>UPPER(Table3[[#This Row],[Agen id]]&amp;"-"&amp;VLOOKUP(Table3[[#This Row],[Agen id]],A:B,2,0)&amp;"("&amp;Table3[[#This Row],[Short]]&amp;")")</f>
        <v/>
      </c>
      <c r="J215" s="7">
        <f>VLOOKUP(Table3[[#This Row],[Agen id]],Agen!A:C,3,0)</f>
        <v/>
      </c>
      <c r="K215" s="37">
        <f>TRIM(LEFT(Table3[[#This Row],[Group]],2))</f>
        <v/>
      </c>
      <c r="L215" s="3" t="inlineStr">
        <is>
          <t>NON SALES</t>
        </is>
      </c>
    </row>
    <row r="216">
      <c r="A216" s="5" t="inlineStr">
        <is>
          <t>OP01260</t>
        </is>
      </c>
      <c r="B216" s="6" t="inlineStr">
        <is>
          <t>Regar cell</t>
        </is>
      </c>
      <c r="C216" s="7" t="inlineStr">
        <is>
          <t>A - Agen</t>
        </is>
      </c>
      <c r="D216" s="1" t="inlineStr">
        <is>
          <t>OP00002</t>
        </is>
      </c>
      <c r="E216" s="8" t="n">
        <v>44792.48333333333</v>
      </c>
      <c r="F216" s="7" t="inlineStr">
        <is>
          <t>AGEN</t>
        </is>
      </c>
      <c r="G216" s="18" t="inlineStr">
        <is>
          <t>OP01260</t>
        </is>
      </c>
      <c r="H216" s="19">
        <f>UPPER(Table3[[#This Row],[Agen id]]&amp;"-"&amp;VLOOKUP(Table3[[#This Row],[Agen id]],A:B,2,0)&amp;"("&amp;Table3[[#This Row],[Short]]&amp;")")</f>
        <v/>
      </c>
      <c r="J216" s="7">
        <f>VLOOKUP(Table3[[#This Row],[Agen id]],Agen!A:C,3,0)</f>
        <v/>
      </c>
      <c r="K216" s="37">
        <f>TRIM(LEFT(Table3[[#This Row],[Group]],2))</f>
        <v/>
      </c>
      <c r="L216" s="3" t="inlineStr">
        <is>
          <t>NON SALES</t>
        </is>
      </c>
    </row>
    <row r="217">
      <c r="A217" s="5" t="inlineStr">
        <is>
          <t>OP01266</t>
        </is>
      </c>
      <c r="B217" s="6" t="inlineStr">
        <is>
          <t>Julyanto</t>
        </is>
      </c>
      <c r="C217" s="7" t="inlineStr">
        <is>
          <t>A - Agen</t>
        </is>
      </c>
      <c r="D217" s="1" t="inlineStr">
        <is>
          <t>OP00002</t>
        </is>
      </c>
      <c r="E217" s="8" t="n">
        <v>44792.54236111111</v>
      </c>
      <c r="F217" s="7" t="inlineStr">
        <is>
          <t>AGEN</t>
        </is>
      </c>
      <c r="G217" s="18" t="inlineStr">
        <is>
          <t>OP01266</t>
        </is>
      </c>
      <c r="H217" s="19">
        <f>UPPER(Table3[[#This Row],[Agen id]]&amp;"-"&amp;VLOOKUP(Table3[[#This Row],[Agen id]],A:B,2,0)&amp;"("&amp;Table3[[#This Row],[Short]]&amp;")")</f>
        <v/>
      </c>
      <c r="J217" s="7">
        <f>VLOOKUP(Table3[[#This Row],[Agen id]],Agen!A:C,3,0)</f>
        <v/>
      </c>
      <c r="K217" s="37">
        <f>TRIM(LEFT(Table3[[#This Row],[Group]],2))</f>
        <v/>
      </c>
      <c r="L217" s="3" t="inlineStr">
        <is>
          <t>NON SALES</t>
        </is>
      </c>
    </row>
    <row r="218">
      <c r="A218" s="5" t="inlineStr">
        <is>
          <t>OP01303</t>
        </is>
      </c>
      <c r="B218" s="6" t="inlineStr">
        <is>
          <t>AcenkRcm</t>
        </is>
      </c>
      <c r="C218" s="7" t="inlineStr">
        <is>
          <t>AV - Agen Verified</t>
        </is>
      </c>
      <c r="D218" s="1" t="inlineStr">
        <is>
          <t>OP00002</t>
        </is>
      </c>
      <c r="E218" s="8" t="n">
        <v>44792.90694444445</v>
      </c>
      <c r="F218" s="7" t="inlineStr">
        <is>
          <t>AGEN</t>
        </is>
      </c>
      <c r="G218" s="18" t="inlineStr">
        <is>
          <t>OP01303</t>
        </is>
      </c>
      <c r="H218" s="19">
        <f>UPPER(Table3[[#This Row],[Agen id]]&amp;"-"&amp;VLOOKUP(Table3[[#This Row],[Agen id]],A:B,2,0)&amp;"("&amp;Table3[[#This Row],[Short]]&amp;")")</f>
        <v/>
      </c>
      <c r="J218" s="7">
        <f>VLOOKUP(Table3[[#This Row],[Agen id]],Agen!A:C,3,0)</f>
        <v/>
      </c>
      <c r="K218" s="37">
        <f>TRIM(LEFT(Table3[[#This Row],[Group]],2))</f>
        <v/>
      </c>
      <c r="L218" s="3" t="inlineStr">
        <is>
          <t>NON SALES</t>
        </is>
      </c>
    </row>
    <row r="219">
      <c r="A219" s="5" t="inlineStr">
        <is>
          <t>OP01310</t>
        </is>
      </c>
      <c r="B219" s="6" t="inlineStr">
        <is>
          <t>Raka adilla cell</t>
        </is>
      </c>
      <c r="C219" s="7" t="inlineStr">
        <is>
          <t>A - Agen</t>
        </is>
      </c>
      <c r="D219" s="1" t="inlineStr">
        <is>
          <t>OP00185</t>
        </is>
      </c>
      <c r="E219" s="8" t="n">
        <v>44792.99513888889</v>
      </c>
      <c r="F219" s="7" t="inlineStr">
        <is>
          <t>DOWNLINE</t>
        </is>
      </c>
      <c r="G219" s="18" t="inlineStr">
        <is>
          <t>OP00185</t>
        </is>
      </c>
      <c r="H219" s="19">
        <f>UPPER(Table3[[#This Row],[Agen id]]&amp;"-"&amp;VLOOKUP(Table3[[#This Row],[Agen id]],A:B,2,0)&amp;"("&amp;Table3[[#This Row],[Short]]&amp;")")</f>
        <v/>
      </c>
      <c r="J219" s="7">
        <f>VLOOKUP(Table3[[#This Row],[Agen id]],Agen!A:C,3,0)</f>
        <v/>
      </c>
      <c r="K219" s="37">
        <f>TRIM(LEFT(Table3[[#This Row],[Group]],2))</f>
        <v/>
      </c>
      <c r="L219" s="3" t="inlineStr">
        <is>
          <t>NON SALES</t>
        </is>
      </c>
    </row>
    <row r="220">
      <c r="A220" s="5" t="inlineStr">
        <is>
          <t>OP01331</t>
        </is>
      </c>
      <c r="B220" s="6" t="inlineStr">
        <is>
          <t>Rosell</t>
        </is>
      </c>
      <c r="C220" s="7" t="inlineStr">
        <is>
          <t>A - Agen</t>
        </is>
      </c>
      <c r="D220" s="1" t="inlineStr">
        <is>
          <t>OP00002</t>
        </is>
      </c>
      <c r="E220" s="8" t="n">
        <v>44793.37013888889</v>
      </c>
      <c r="F220" s="7" t="inlineStr">
        <is>
          <t>AGEN</t>
        </is>
      </c>
      <c r="G220" s="18" t="inlineStr">
        <is>
          <t>OP01331</t>
        </is>
      </c>
      <c r="H220" s="19">
        <f>UPPER(Table3[[#This Row],[Agen id]]&amp;"-"&amp;VLOOKUP(Table3[[#This Row],[Agen id]],A:B,2,0)&amp;"("&amp;Table3[[#This Row],[Short]]&amp;")")</f>
        <v/>
      </c>
      <c r="J220" s="7">
        <f>VLOOKUP(Table3[[#This Row],[Agen id]],Agen!A:C,3,0)</f>
        <v/>
      </c>
      <c r="K220" s="37">
        <f>TRIM(LEFT(Table3[[#This Row],[Group]],2))</f>
        <v/>
      </c>
      <c r="L220" s="3" t="inlineStr">
        <is>
          <t>NON SALES</t>
        </is>
      </c>
    </row>
    <row r="221">
      <c r="A221" s="5" t="inlineStr">
        <is>
          <t>OP01351</t>
        </is>
      </c>
      <c r="B221" s="6" t="inlineStr">
        <is>
          <t>Bambang</t>
        </is>
      </c>
      <c r="C221" s="7" t="inlineStr">
        <is>
          <t>A - Agen</t>
        </is>
      </c>
      <c r="D221" s="1" t="inlineStr">
        <is>
          <t>OP00002</t>
        </is>
      </c>
      <c r="E221" s="8" t="n">
        <v>44793.57291666666</v>
      </c>
      <c r="F221" s="7" t="inlineStr">
        <is>
          <t>AGEN</t>
        </is>
      </c>
      <c r="G221" s="18" t="inlineStr">
        <is>
          <t>OP01351</t>
        </is>
      </c>
      <c r="H221" s="19">
        <f>UPPER(Table3[[#This Row],[Agen id]]&amp;"-"&amp;VLOOKUP(Table3[[#This Row],[Agen id]],A:B,2,0)&amp;"("&amp;Table3[[#This Row],[Short]]&amp;")")</f>
        <v/>
      </c>
      <c r="J221" s="7">
        <f>VLOOKUP(Table3[[#This Row],[Agen id]],Agen!A:C,3,0)</f>
        <v/>
      </c>
      <c r="K221" s="37">
        <f>TRIM(LEFT(Table3[[#This Row],[Group]],2))</f>
        <v/>
      </c>
      <c r="L221" s="3" t="inlineStr">
        <is>
          <t>NON SALES</t>
        </is>
      </c>
    </row>
    <row r="222">
      <c r="A222" s="5" t="inlineStr">
        <is>
          <t>OP01355</t>
        </is>
      </c>
      <c r="B222" s="6" t="inlineStr">
        <is>
          <t>Mohammad ashadi</t>
        </is>
      </c>
      <c r="C222" s="7" t="inlineStr">
        <is>
          <t>A - Agen</t>
        </is>
      </c>
      <c r="D222" s="1" t="inlineStr">
        <is>
          <t>OP00002</t>
        </is>
      </c>
      <c r="E222" s="8" t="n">
        <v>44793.62361111111</v>
      </c>
      <c r="F222" s="7" t="inlineStr">
        <is>
          <t>AGEN</t>
        </is>
      </c>
      <c r="G222" s="18" t="inlineStr">
        <is>
          <t>OP01355</t>
        </is>
      </c>
      <c r="H222" s="19">
        <f>UPPER(Table3[[#This Row],[Agen id]]&amp;"-"&amp;VLOOKUP(Table3[[#This Row],[Agen id]],A:B,2,0)&amp;"("&amp;Table3[[#This Row],[Short]]&amp;")")</f>
        <v/>
      </c>
      <c r="J222" s="7">
        <f>VLOOKUP(Table3[[#This Row],[Agen id]],Agen!A:C,3,0)</f>
        <v/>
      </c>
      <c r="K222" s="37">
        <f>TRIM(LEFT(Table3[[#This Row],[Group]],2))</f>
        <v/>
      </c>
      <c r="L222" s="3" t="inlineStr">
        <is>
          <t>NON SALES</t>
        </is>
      </c>
    </row>
    <row r="223">
      <c r="A223" s="5" t="inlineStr">
        <is>
          <t>OP01364</t>
        </is>
      </c>
      <c r="B223" s="6" t="inlineStr">
        <is>
          <t>Aziscel</t>
        </is>
      </c>
      <c r="C223" s="7" t="inlineStr">
        <is>
          <t>A - Agen</t>
        </is>
      </c>
      <c r="D223" s="1" t="inlineStr">
        <is>
          <t>OP00002</t>
        </is>
      </c>
      <c r="E223" s="8" t="n">
        <v>44793.70208333333</v>
      </c>
      <c r="F223" s="7" t="inlineStr">
        <is>
          <t>AGEN</t>
        </is>
      </c>
      <c r="G223" s="18" t="inlineStr">
        <is>
          <t>OP01364</t>
        </is>
      </c>
      <c r="H223" s="19">
        <f>UPPER(Table3[[#This Row],[Agen id]]&amp;"-"&amp;VLOOKUP(Table3[[#This Row],[Agen id]],A:B,2,0)&amp;"("&amp;Table3[[#This Row],[Short]]&amp;")")</f>
        <v/>
      </c>
      <c r="J223" s="7">
        <f>VLOOKUP(Table3[[#This Row],[Agen id]],Agen!A:C,3,0)</f>
        <v/>
      </c>
      <c r="K223" s="37">
        <f>TRIM(LEFT(Table3[[#This Row],[Group]],2))</f>
        <v/>
      </c>
      <c r="L223" s="3" t="inlineStr">
        <is>
          <t>NON SALES</t>
        </is>
      </c>
    </row>
    <row r="224">
      <c r="A224" s="5" t="inlineStr">
        <is>
          <t>OP01377</t>
        </is>
      </c>
      <c r="B224" s="6" t="inlineStr">
        <is>
          <t>Keukeu</t>
        </is>
      </c>
      <c r="C224" s="7" t="inlineStr">
        <is>
          <t>A - Agen</t>
        </is>
      </c>
      <c r="D224" s="1" t="inlineStr">
        <is>
          <t>OP00002</t>
        </is>
      </c>
      <c r="E224" s="8" t="n">
        <v>44793.85277777778</v>
      </c>
      <c r="F224" s="7" t="inlineStr">
        <is>
          <t>AGEN</t>
        </is>
      </c>
      <c r="G224" s="18" t="inlineStr">
        <is>
          <t>OP01377</t>
        </is>
      </c>
      <c r="H224" s="19">
        <f>UPPER(Table3[[#This Row],[Agen id]]&amp;"-"&amp;VLOOKUP(Table3[[#This Row],[Agen id]],A:B,2,0)&amp;"("&amp;Table3[[#This Row],[Short]]&amp;")")</f>
        <v/>
      </c>
      <c r="J224" s="7">
        <f>VLOOKUP(Table3[[#This Row],[Agen id]],Agen!A:C,3,0)</f>
        <v/>
      </c>
      <c r="K224" s="37">
        <f>TRIM(LEFT(Table3[[#This Row],[Group]],2))</f>
        <v/>
      </c>
      <c r="L224" s="3" t="inlineStr">
        <is>
          <t>NON SALES</t>
        </is>
      </c>
    </row>
    <row r="225">
      <c r="A225" s="5" t="inlineStr">
        <is>
          <t>OP01400</t>
        </is>
      </c>
      <c r="B225" s="6" t="inlineStr">
        <is>
          <t>Nisa</t>
        </is>
      </c>
      <c r="C225" s="7" t="inlineStr">
        <is>
          <t>A - Agen</t>
        </is>
      </c>
      <c r="D225" s="1" t="inlineStr">
        <is>
          <t>OP00002</t>
        </is>
      </c>
      <c r="E225" s="8" t="n">
        <v>44794.30555555555</v>
      </c>
      <c r="F225" s="7" t="inlineStr">
        <is>
          <t>AGEN</t>
        </is>
      </c>
      <c r="G225" s="18" t="inlineStr">
        <is>
          <t>OP01400</t>
        </is>
      </c>
      <c r="H225" s="19">
        <f>UPPER(Table3[[#This Row],[Agen id]]&amp;"-"&amp;VLOOKUP(Table3[[#This Row],[Agen id]],A:B,2,0)&amp;"("&amp;Table3[[#This Row],[Short]]&amp;")")</f>
        <v/>
      </c>
      <c r="J225" s="7">
        <f>VLOOKUP(Table3[[#This Row],[Agen id]],Agen!A:C,3,0)</f>
        <v/>
      </c>
      <c r="K225" s="37">
        <f>TRIM(LEFT(Table3[[#This Row],[Group]],2))</f>
        <v/>
      </c>
      <c r="L225" s="3" t="inlineStr">
        <is>
          <t>NON SALES</t>
        </is>
      </c>
    </row>
    <row r="226">
      <c r="A226" s="5" t="inlineStr">
        <is>
          <t>OP01402</t>
        </is>
      </c>
      <c r="B226" s="6" t="inlineStr">
        <is>
          <t>Naumicell</t>
        </is>
      </c>
      <c r="C226" s="7" t="inlineStr">
        <is>
          <t>AV - Agen Verified</t>
        </is>
      </c>
      <c r="D226" s="1" t="inlineStr">
        <is>
          <t>OP00002</t>
        </is>
      </c>
      <c r="E226" s="8" t="n">
        <v>44794.36458333334</v>
      </c>
      <c r="F226" s="7" t="inlineStr">
        <is>
          <t>AGEN</t>
        </is>
      </c>
      <c r="G226" s="18" t="inlineStr">
        <is>
          <t>OP01402</t>
        </is>
      </c>
      <c r="H226" s="19">
        <f>UPPER(Table3[[#This Row],[Agen id]]&amp;"-"&amp;VLOOKUP(Table3[[#This Row],[Agen id]],A:B,2,0)&amp;"("&amp;Table3[[#This Row],[Short]]&amp;")")</f>
        <v/>
      </c>
      <c r="J226" s="7">
        <f>VLOOKUP(Table3[[#This Row],[Agen id]],Agen!A:C,3,0)</f>
        <v/>
      </c>
      <c r="K226" s="37">
        <f>TRIM(LEFT(Table3[[#This Row],[Group]],2))</f>
        <v/>
      </c>
      <c r="L226" s="3" t="inlineStr">
        <is>
          <t>NON SALES</t>
        </is>
      </c>
    </row>
    <row r="227">
      <c r="A227" s="5" t="inlineStr">
        <is>
          <t>OP01416</t>
        </is>
      </c>
      <c r="B227" s="6" t="inlineStr">
        <is>
          <t>Pasuruan</t>
        </is>
      </c>
      <c r="C227" s="7" t="inlineStr">
        <is>
          <t>A - Agen</t>
        </is>
      </c>
      <c r="D227" s="1" t="inlineStr">
        <is>
          <t>OP00002</t>
        </is>
      </c>
      <c r="E227" s="8" t="n">
        <v>44794.76458333333</v>
      </c>
      <c r="F227" s="7" t="inlineStr">
        <is>
          <t>AGEN</t>
        </is>
      </c>
      <c r="G227" s="18" t="inlineStr">
        <is>
          <t>OP01416</t>
        </is>
      </c>
      <c r="H227" s="19">
        <f>UPPER(Table3[[#This Row],[Agen id]]&amp;"-"&amp;VLOOKUP(Table3[[#This Row],[Agen id]],A:B,2,0)&amp;"("&amp;Table3[[#This Row],[Short]]&amp;")")</f>
        <v/>
      </c>
      <c r="J227" s="7">
        <f>VLOOKUP(Table3[[#This Row],[Agen id]],Agen!A:C,3,0)</f>
        <v/>
      </c>
      <c r="K227" s="37">
        <f>TRIM(LEFT(Table3[[#This Row],[Group]],2))</f>
        <v/>
      </c>
      <c r="L227" s="3" t="inlineStr">
        <is>
          <t>NON SALES</t>
        </is>
      </c>
    </row>
    <row r="228">
      <c r="A228" s="5" t="inlineStr">
        <is>
          <t>OP01430</t>
        </is>
      </c>
      <c r="B228" s="6" t="inlineStr">
        <is>
          <t>Khoirul rozikin</t>
        </is>
      </c>
      <c r="C228" s="7" t="inlineStr">
        <is>
          <t>AV - Agen Verified</t>
        </is>
      </c>
      <c r="D228" s="1" t="inlineStr">
        <is>
          <t>OP00002</t>
        </is>
      </c>
      <c r="E228" s="8" t="n">
        <v>44794.90694444445</v>
      </c>
      <c r="F228" s="7" t="inlineStr">
        <is>
          <t>AGEN</t>
        </is>
      </c>
      <c r="G228" s="18" t="inlineStr">
        <is>
          <t>OP01430</t>
        </is>
      </c>
      <c r="H228" s="19">
        <f>UPPER(Table3[[#This Row],[Agen id]]&amp;"-"&amp;VLOOKUP(Table3[[#This Row],[Agen id]],A:B,2,0)&amp;"("&amp;Table3[[#This Row],[Short]]&amp;")")</f>
        <v/>
      </c>
      <c r="J228" s="7">
        <f>VLOOKUP(Table3[[#This Row],[Agen id]],Agen!A:C,3,0)</f>
        <v/>
      </c>
      <c r="K228" s="37">
        <f>TRIM(LEFT(Table3[[#This Row],[Group]],2))</f>
        <v/>
      </c>
      <c r="L228" s="3" t="inlineStr">
        <is>
          <t>NON SALES</t>
        </is>
      </c>
    </row>
    <row r="229">
      <c r="A229" s="5" t="inlineStr">
        <is>
          <t>OP01439</t>
        </is>
      </c>
      <c r="B229" s="6" t="inlineStr">
        <is>
          <t>Erma fitriani</t>
        </is>
      </c>
      <c r="C229" s="7" t="inlineStr">
        <is>
          <t>A - Agen</t>
        </is>
      </c>
      <c r="D229" s="1" t="inlineStr">
        <is>
          <t>OP00002</t>
        </is>
      </c>
      <c r="E229" s="8" t="n">
        <v>44795.05277777778</v>
      </c>
      <c r="F229" s="7" t="inlineStr">
        <is>
          <t>AGEN</t>
        </is>
      </c>
      <c r="G229" s="18" t="inlineStr">
        <is>
          <t>OP01439</t>
        </is>
      </c>
      <c r="H229" s="19">
        <f>UPPER(Table3[[#This Row],[Agen id]]&amp;"-"&amp;VLOOKUP(Table3[[#This Row],[Agen id]],A:B,2,0)&amp;"("&amp;Table3[[#This Row],[Short]]&amp;")")</f>
        <v/>
      </c>
      <c r="J229" s="7">
        <f>VLOOKUP(Table3[[#This Row],[Agen id]],Agen!A:C,3,0)</f>
        <v/>
      </c>
      <c r="K229" s="37">
        <f>TRIM(LEFT(Table3[[#This Row],[Group]],2))</f>
        <v/>
      </c>
      <c r="L229" s="3" t="inlineStr">
        <is>
          <t>NON SALES</t>
        </is>
      </c>
    </row>
    <row r="230">
      <c r="A230" s="5" t="inlineStr">
        <is>
          <t>OP01448</t>
        </is>
      </c>
      <c r="B230" s="6" t="inlineStr">
        <is>
          <t>Dewi Sartika</t>
        </is>
      </c>
      <c r="C230" s="7" t="inlineStr">
        <is>
          <t>A - Agen</t>
        </is>
      </c>
      <c r="D230" s="1" t="inlineStr">
        <is>
          <t>OP00335</t>
        </is>
      </c>
      <c r="E230" s="8" t="n">
        <v>44795.39444444444</v>
      </c>
      <c r="F230" s="7" t="inlineStr">
        <is>
          <t>DOWNLINE</t>
        </is>
      </c>
      <c r="G230" s="18" t="inlineStr">
        <is>
          <t>OP00335</t>
        </is>
      </c>
      <c r="H230" s="19">
        <f>UPPER(Table3[[#This Row],[Agen id]]&amp;"-"&amp;VLOOKUP(Table3[[#This Row],[Agen id]],A:B,2,0)&amp;"("&amp;Table3[[#This Row],[Short]]&amp;")")</f>
        <v/>
      </c>
      <c r="J230" s="7">
        <f>VLOOKUP(Table3[[#This Row],[Agen id]],Agen!A:C,3,0)</f>
        <v/>
      </c>
      <c r="K230" s="37">
        <f>TRIM(LEFT(Table3[[#This Row],[Group]],2))</f>
        <v/>
      </c>
      <c r="L230" s="3" t="inlineStr">
        <is>
          <t>NON SALES</t>
        </is>
      </c>
    </row>
    <row r="231">
      <c r="A231" s="5" t="inlineStr">
        <is>
          <t>OP01449</t>
        </is>
      </c>
      <c r="B231" s="6" t="inlineStr">
        <is>
          <t>Taruli dame silaban</t>
        </is>
      </c>
      <c r="C231" s="7" t="inlineStr">
        <is>
          <t>AV - Agen Verified</t>
        </is>
      </c>
      <c r="D231" s="1" t="inlineStr">
        <is>
          <t>OP00002</t>
        </is>
      </c>
      <c r="E231" s="8" t="n">
        <v>44795.39444444444</v>
      </c>
      <c r="F231" s="7" t="inlineStr">
        <is>
          <t>AGEN</t>
        </is>
      </c>
      <c r="G231" s="18" t="inlineStr">
        <is>
          <t>OP01449</t>
        </is>
      </c>
      <c r="H231" s="19">
        <f>UPPER(Table3[[#This Row],[Agen id]]&amp;"-"&amp;VLOOKUP(Table3[[#This Row],[Agen id]],A:B,2,0)&amp;"("&amp;Table3[[#This Row],[Short]]&amp;")")</f>
        <v/>
      </c>
      <c r="J231" s="7">
        <f>VLOOKUP(Table3[[#This Row],[Agen id]],Agen!A:C,3,0)</f>
        <v/>
      </c>
      <c r="K231" s="37">
        <f>TRIM(LEFT(Table3[[#This Row],[Group]],2))</f>
        <v/>
      </c>
      <c r="L231" s="3" t="inlineStr">
        <is>
          <t>NON SALES</t>
        </is>
      </c>
    </row>
    <row r="232">
      <c r="A232" s="5" t="inlineStr">
        <is>
          <t>OP01456</t>
        </is>
      </c>
      <c r="B232" s="6" t="inlineStr">
        <is>
          <t>Rizkicell</t>
        </is>
      </c>
      <c r="C232" s="7" t="inlineStr">
        <is>
          <t>AV - Agen Verified</t>
        </is>
      </c>
      <c r="D232" s="1" t="inlineStr">
        <is>
          <t>OP00002</t>
        </is>
      </c>
      <c r="E232" s="8" t="n">
        <v>44795.53055555555</v>
      </c>
      <c r="F232" s="7" t="inlineStr">
        <is>
          <t>AGEN</t>
        </is>
      </c>
      <c r="G232" s="18" t="inlineStr">
        <is>
          <t>OP01456</t>
        </is>
      </c>
      <c r="H232" s="19">
        <f>UPPER(Table3[[#This Row],[Agen id]]&amp;"-"&amp;VLOOKUP(Table3[[#This Row],[Agen id]],A:B,2,0)&amp;"("&amp;Table3[[#This Row],[Short]]&amp;")")</f>
        <v/>
      </c>
      <c r="J232" s="7">
        <f>VLOOKUP(Table3[[#This Row],[Agen id]],Agen!A:C,3,0)</f>
        <v/>
      </c>
      <c r="K232" s="37">
        <f>TRIM(LEFT(Table3[[#This Row],[Group]],2))</f>
        <v/>
      </c>
      <c r="L232" s="3" t="inlineStr">
        <is>
          <t>NON SALES</t>
        </is>
      </c>
    </row>
    <row r="233">
      <c r="A233" s="5" t="inlineStr">
        <is>
          <t>OP01462</t>
        </is>
      </c>
      <c r="B233" s="6" t="inlineStr">
        <is>
          <t>Nurul Aini</t>
        </is>
      </c>
      <c r="C233" s="7" t="inlineStr">
        <is>
          <t>A - Agen</t>
        </is>
      </c>
      <c r="D233" s="1" t="inlineStr">
        <is>
          <t>OP00002</t>
        </is>
      </c>
      <c r="E233" s="8" t="n">
        <v>44795.64305555556</v>
      </c>
      <c r="F233" s="7" t="inlineStr">
        <is>
          <t>AGEN</t>
        </is>
      </c>
      <c r="G233" s="18" t="inlineStr">
        <is>
          <t>OP01462</t>
        </is>
      </c>
      <c r="H233" s="19">
        <f>UPPER(Table3[[#This Row],[Agen id]]&amp;"-"&amp;VLOOKUP(Table3[[#This Row],[Agen id]],A:B,2,0)&amp;"("&amp;Table3[[#This Row],[Short]]&amp;")")</f>
        <v/>
      </c>
      <c r="J233" s="7">
        <f>VLOOKUP(Table3[[#This Row],[Agen id]],Agen!A:C,3,0)</f>
        <v/>
      </c>
      <c r="K233" s="37">
        <f>TRIM(LEFT(Table3[[#This Row],[Group]],2))</f>
        <v/>
      </c>
      <c r="L233" s="3" t="inlineStr">
        <is>
          <t>NON SALES</t>
        </is>
      </c>
    </row>
    <row r="234">
      <c r="A234" s="5" t="inlineStr">
        <is>
          <t>OP01465</t>
        </is>
      </c>
      <c r="B234" s="6" t="inlineStr">
        <is>
          <t>Reni elsa</t>
        </is>
      </c>
      <c r="C234" s="7" t="inlineStr">
        <is>
          <t>A - Agen</t>
        </is>
      </c>
      <c r="D234" s="1" t="inlineStr">
        <is>
          <t>OP00002</t>
        </is>
      </c>
      <c r="E234" s="8" t="n">
        <v>44795.7125</v>
      </c>
      <c r="F234" s="7" t="inlineStr">
        <is>
          <t>AGEN</t>
        </is>
      </c>
      <c r="G234" s="18" t="inlineStr">
        <is>
          <t>OP01465</t>
        </is>
      </c>
      <c r="H234" s="19">
        <f>UPPER(Table3[[#This Row],[Agen id]]&amp;"-"&amp;VLOOKUP(Table3[[#This Row],[Agen id]],A:B,2,0)&amp;"("&amp;Table3[[#This Row],[Short]]&amp;")")</f>
        <v/>
      </c>
      <c r="J234" s="7">
        <f>VLOOKUP(Table3[[#This Row],[Agen id]],Agen!A:C,3,0)</f>
        <v/>
      </c>
      <c r="K234" s="37">
        <f>TRIM(LEFT(Table3[[#This Row],[Group]],2))</f>
        <v/>
      </c>
      <c r="L234" s="3" t="inlineStr">
        <is>
          <t>NON SALES</t>
        </is>
      </c>
    </row>
    <row r="235">
      <c r="A235" s="5" t="inlineStr">
        <is>
          <t>OP01466</t>
        </is>
      </c>
      <c r="B235" s="6" t="inlineStr">
        <is>
          <t>Mtaupiqurrohman</t>
        </is>
      </c>
      <c r="C235" s="7" t="inlineStr">
        <is>
          <t>AV - Agen Verified</t>
        </is>
      </c>
      <c r="D235" s="1" t="inlineStr">
        <is>
          <t>OP00002</t>
        </is>
      </c>
      <c r="E235" s="8" t="n">
        <v>44795.77013888889</v>
      </c>
      <c r="F235" s="7" t="inlineStr">
        <is>
          <t>AGEN</t>
        </is>
      </c>
      <c r="G235" s="18" t="inlineStr">
        <is>
          <t>OP01466</t>
        </is>
      </c>
      <c r="H235" s="19">
        <f>UPPER(Table3[[#This Row],[Agen id]]&amp;"-"&amp;VLOOKUP(Table3[[#This Row],[Agen id]],A:B,2,0)&amp;"("&amp;Table3[[#This Row],[Short]]&amp;")")</f>
        <v/>
      </c>
      <c r="J235" s="7">
        <f>VLOOKUP(Table3[[#This Row],[Agen id]],Agen!A:C,3,0)</f>
        <v/>
      </c>
      <c r="K235" s="37">
        <f>TRIM(LEFT(Table3[[#This Row],[Group]],2))</f>
        <v/>
      </c>
      <c r="L235" s="3" t="inlineStr">
        <is>
          <t>NON SALES</t>
        </is>
      </c>
    </row>
    <row r="236">
      <c r="A236" s="5" t="inlineStr">
        <is>
          <t>OP01472</t>
        </is>
      </c>
      <c r="B236" s="6" t="inlineStr">
        <is>
          <t>Ega cell</t>
        </is>
      </c>
      <c r="C236" s="7" t="inlineStr">
        <is>
          <t>A - Agen</t>
        </is>
      </c>
      <c r="D236" s="1" t="inlineStr">
        <is>
          <t>OP00002</t>
        </is>
      </c>
      <c r="E236" s="8" t="n">
        <v>44795.82430555556</v>
      </c>
      <c r="F236" s="7" t="inlineStr">
        <is>
          <t>AGEN</t>
        </is>
      </c>
      <c r="G236" s="18" t="inlineStr">
        <is>
          <t>OP01472</t>
        </is>
      </c>
      <c r="H236" s="19">
        <f>UPPER(Table3[[#This Row],[Agen id]]&amp;"-"&amp;VLOOKUP(Table3[[#This Row],[Agen id]],A:B,2,0)&amp;"("&amp;Table3[[#This Row],[Short]]&amp;")")</f>
        <v/>
      </c>
      <c r="J236" s="7">
        <f>VLOOKUP(Table3[[#This Row],[Agen id]],Agen!A:C,3,0)</f>
        <v/>
      </c>
      <c r="K236" s="37">
        <f>TRIM(LEFT(Table3[[#This Row],[Group]],2))</f>
        <v/>
      </c>
      <c r="L236" s="3" t="inlineStr">
        <is>
          <t>NON SALES</t>
        </is>
      </c>
    </row>
    <row r="237">
      <c r="A237" s="5" t="inlineStr">
        <is>
          <t>OP01484</t>
        </is>
      </c>
      <c r="B237" s="6" t="inlineStr">
        <is>
          <t>Pazza cellular</t>
        </is>
      </c>
      <c r="C237" s="7" t="inlineStr">
        <is>
          <t>A - Agen</t>
        </is>
      </c>
      <c r="D237" s="1" t="inlineStr">
        <is>
          <t>OP00997</t>
        </is>
      </c>
      <c r="E237" s="8" t="n">
        <v>44796.32222222222</v>
      </c>
      <c r="F237" s="7" t="inlineStr">
        <is>
          <t>DOWNLINE</t>
        </is>
      </c>
      <c r="G237" s="18" t="inlineStr">
        <is>
          <t>OP00996</t>
        </is>
      </c>
      <c r="H237" s="19">
        <f>UPPER(Table3[[#This Row],[Agen id]]&amp;"-"&amp;VLOOKUP(Table3[[#This Row],[Agen id]],A:B,2,0)&amp;"("&amp;Table3[[#This Row],[Short]]&amp;")")</f>
        <v/>
      </c>
      <c r="J237" s="7">
        <f>VLOOKUP(Table3[[#This Row],[Agen id]],Agen!A:C,3,0)</f>
        <v/>
      </c>
      <c r="K237" s="37">
        <f>TRIM(LEFT(Table3[[#This Row],[Group]],2))</f>
        <v/>
      </c>
      <c r="L237" s="3" t="inlineStr">
        <is>
          <t>NON SALES</t>
        </is>
      </c>
    </row>
    <row r="238">
      <c r="A238" s="5" t="inlineStr">
        <is>
          <t>OP01485</t>
        </is>
      </c>
      <c r="B238" s="6" t="inlineStr">
        <is>
          <t>Ruzik</t>
        </is>
      </c>
      <c r="C238" s="7" t="inlineStr">
        <is>
          <t>A - Agen</t>
        </is>
      </c>
      <c r="D238" s="1" t="inlineStr">
        <is>
          <t>OP00064</t>
        </is>
      </c>
      <c r="E238" s="8" t="n">
        <v>44796.32708333333</v>
      </c>
      <c r="F238" s="7" t="inlineStr">
        <is>
          <t>DOWNLINE</t>
        </is>
      </c>
      <c r="G238" s="18" t="inlineStr">
        <is>
          <t>OP00049</t>
        </is>
      </c>
      <c r="H238" s="19">
        <f>UPPER(Table3[[#This Row],[Agen id]]&amp;"-"&amp;VLOOKUP(Table3[[#This Row],[Agen id]],A:B,2,0)&amp;"("&amp;Table3[[#This Row],[Short]]&amp;")")</f>
        <v/>
      </c>
      <c r="J238" s="7">
        <f>VLOOKUP(Table3[[#This Row],[Agen id]],Agen!A:C,3,0)</f>
        <v/>
      </c>
      <c r="K238" s="37">
        <f>TRIM(LEFT(Table3[[#This Row],[Group]],2))</f>
        <v/>
      </c>
      <c r="L238" s="3" t="inlineStr">
        <is>
          <t>NON SALES</t>
        </is>
      </c>
    </row>
    <row r="239">
      <c r="A239" s="5" t="inlineStr">
        <is>
          <t>OP01486</t>
        </is>
      </c>
      <c r="B239" s="6" t="inlineStr">
        <is>
          <t>Aulia Akbar</t>
        </is>
      </c>
      <c r="C239" s="7" t="inlineStr">
        <is>
          <t>A - Agen</t>
        </is>
      </c>
      <c r="D239" s="1" t="inlineStr">
        <is>
          <t>OP00002</t>
        </is>
      </c>
      <c r="E239" s="8" t="n">
        <v>44796.42430555556</v>
      </c>
      <c r="F239" s="7" t="inlineStr">
        <is>
          <t>AGEN</t>
        </is>
      </c>
      <c r="G239" s="18" t="inlineStr">
        <is>
          <t>OP01486</t>
        </is>
      </c>
      <c r="H239" s="19">
        <f>UPPER(Table3[[#This Row],[Agen id]]&amp;"-"&amp;VLOOKUP(Table3[[#This Row],[Agen id]],A:B,2,0)&amp;"("&amp;Table3[[#This Row],[Short]]&amp;")")</f>
        <v/>
      </c>
      <c r="J239" s="7">
        <f>VLOOKUP(Table3[[#This Row],[Agen id]],Agen!A:C,3,0)</f>
        <v/>
      </c>
      <c r="K239" s="37">
        <f>TRIM(LEFT(Table3[[#This Row],[Group]],2))</f>
        <v/>
      </c>
      <c r="L239" s="3" t="inlineStr">
        <is>
          <t>NON SALES</t>
        </is>
      </c>
    </row>
    <row r="240">
      <c r="A240" s="5" t="inlineStr">
        <is>
          <t>OP01487</t>
        </is>
      </c>
      <c r="B240" s="6" t="inlineStr">
        <is>
          <t>V - CENZO PULSA</t>
        </is>
      </c>
      <c r="C240" s="7" t="inlineStr">
        <is>
          <t>A - Agen</t>
        </is>
      </c>
      <c r="D240" s="1" t="inlineStr">
        <is>
          <t>OP00002</t>
        </is>
      </c>
      <c r="E240" s="8" t="n">
        <v>44796.44513888889</v>
      </c>
      <c r="F240" s="7" t="inlineStr">
        <is>
          <t>AGEN</t>
        </is>
      </c>
      <c r="G240" s="18" t="inlineStr">
        <is>
          <t>OP01487</t>
        </is>
      </c>
      <c r="H240" s="19">
        <f>UPPER(Table3[[#This Row],[Agen id]]&amp;"-"&amp;VLOOKUP(Table3[[#This Row],[Agen id]],A:B,2,0)&amp;"("&amp;Table3[[#This Row],[Short]]&amp;")")</f>
        <v/>
      </c>
      <c r="J240" s="7">
        <f>VLOOKUP(Table3[[#This Row],[Agen id]],Agen!A:C,3,0)</f>
        <v/>
      </c>
      <c r="K240" s="37">
        <f>TRIM(LEFT(Table3[[#This Row],[Group]],2))</f>
        <v/>
      </c>
      <c r="L240" s="3" t="inlineStr">
        <is>
          <t>NON SALES</t>
        </is>
      </c>
    </row>
    <row r="241">
      <c r="A241" s="5" t="inlineStr">
        <is>
          <t>OP01489</t>
        </is>
      </c>
      <c r="B241" s="6" t="inlineStr">
        <is>
          <t>KJR CELL</t>
        </is>
      </c>
      <c r="C241" s="7" t="inlineStr">
        <is>
          <t>AV - Agen Verified</t>
        </is>
      </c>
      <c r="D241" s="1" t="inlineStr">
        <is>
          <t>OP00002</t>
        </is>
      </c>
      <c r="E241" s="8" t="n">
        <v>44796.47777777778</v>
      </c>
      <c r="F241" s="7" t="inlineStr">
        <is>
          <t>AGEN</t>
        </is>
      </c>
      <c r="G241" s="18" t="inlineStr">
        <is>
          <t>OP01489</t>
        </is>
      </c>
      <c r="H241" s="19">
        <f>UPPER(Table3[[#This Row],[Agen id]]&amp;"-"&amp;VLOOKUP(Table3[[#This Row],[Agen id]],A:B,2,0)&amp;"("&amp;Table3[[#This Row],[Short]]&amp;")")</f>
        <v/>
      </c>
      <c r="J241" s="7">
        <f>VLOOKUP(Table3[[#This Row],[Agen id]],Agen!A:C,3,0)</f>
        <v/>
      </c>
      <c r="K241" s="37">
        <f>TRIM(LEFT(Table3[[#This Row],[Group]],2))</f>
        <v/>
      </c>
      <c r="L241" s="3" t="inlineStr">
        <is>
          <t>NON SALES</t>
        </is>
      </c>
    </row>
    <row r="242">
      <c r="A242" s="5" t="inlineStr">
        <is>
          <t>OP01502</t>
        </is>
      </c>
      <c r="B242" s="6" t="inlineStr">
        <is>
          <t>Dul Bjn</t>
        </is>
      </c>
      <c r="C242" s="7" t="inlineStr">
        <is>
          <t>A - Agen</t>
        </is>
      </c>
      <c r="D242" s="1" t="inlineStr">
        <is>
          <t>OP00002</t>
        </is>
      </c>
      <c r="E242" s="8" t="n">
        <v>44797.12430555555</v>
      </c>
      <c r="F242" s="7" t="inlineStr">
        <is>
          <t>AGEN</t>
        </is>
      </c>
      <c r="G242" s="18" t="inlineStr">
        <is>
          <t>OP01502</t>
        </is>
      </c>
      <c r="H242" s="19">
        <f>UPPER(Table3[[#This Row],[Agen id]]&amp;"-"&amp;VLOOKUP(Table3[[#This Row],[Agen id]],A:B,2,0)&amp;"("&amp;Table3[[#This Row],[Short]]&amp;")")</f>
        <v/>
      </c>
      <c r="J242" s="7">
        <f>VLOOKUP(Table3[[#This Row],[Agen id]],Agen!A:C,3,0)</f>
        <v/>
      </c>
      <c r="K242" s="37">
        <f>TRIM(LEFT(Table3[[#This Row],[Group]],2))</f>
        <v/>
      </c>
      <c r="L242" s="3" t="inlineStr">
        <is>
          <t>NON SALES</t>
        </is>
      </c>
    </row>
    <row r="243">
      <c r="A243" s="5" t="inlineStr">
        <is>
          <t>OP01525</t>
        </is>
      </c>
      <c r="B243" s="6" t="inlineStr">
        <is>
          <t>Linda</t>
        </is>
      </c>
      <c r="C243" s="7" t="inlineStr">
        <is>
          <t>A - Agen</t>
        </is>
      </c>
      <c r="D243" s="1" t="inlineStr">
        <is>
          <t>OP00335</t>
        </is>
      </c>
      <c r="E243" s="8" t="n">
        <v>44797.69583333333</v>
      </c>
      <c r="F243" s="7" t="inlineStr">
        <is>
          <t>DOWNLINE</t>
        </is>
      </c>
      <c r="G243" s="18" t="inlineStr">
        <is>
          <t>OP00335</t>
        </is>
      </c>
      <c r="H243" s="19">
        <f>UPPER(Table3[[#This Row],[Agen id]]&amp;"-"&amp;VLOOKUP(Table3[[#This Row],[Agen id]],A:B,2,0)&amp;"("&amp;Table3[[#This Row],[Short]]&amp;")")</f>
        <v/>
      </c>
      <c r="J243" s="7">
        <f>VLOOKUP(Table3[[#This Row],[Agen id]],Agen!A:C,3,0)</f>
        <v/>
      </c>
      <c r="K243" s="37">
        <f>TRIM(LEFT(Table3[[#This Row],[Group]],2))</f>
        <v/>
      </c>
      <c r="L243" s="3" t="inlineStr">
        <is>
          <t>NON SALES</t>
        </is>
      </c>
    </row>
    <row r="244">
      <c r="A244" s="5" t="inlineStr">
        <is>
          <t>OP01536</t>
        </is>
      </c>
      <c r="B244" s="6" t="inlineStr">
        <is>
          <t>Budi cell</t>
        </is>
      </c>
      <c r="C244" s="7" t="inlineStr">
        <is>
          <t>A - Agen</t>
        </is>
      </c>
      <c r="D244" s="1" t="inlineStr">
        <is>
          <t>OP00002</t>
        </is>
      </c>
      <c r="E244" s="8" t="n">
        <v>44797.93958333333</v>
      </c>
      <c r="F244" s="7" t="inlineStr">
        <is>
          <t>AGEN</t>
        </is>
      </c>
      <c r="G244" s="18" t="inlineStr">
        <is>
          <t>OP01536</t>
        </is>
      </c>
      <c r="H244" s="19">
        <f>UPPER(Table3[[#This Row],[Agen id]]&amp;"-"&amp;VLOOKUP(Table3[[#This Row],[Agen id]],A:B,2,0)&amp;"("&amp;Table3[[#This Row],[Short]]&amp;")")</f>
        <v/>
      </c>
      <c r="J244" s="7">
        <f>VLOOKUP(Table3[[#This Row],[Agen id]],Agen!A:C,3,0)</f>
        <v/>
      </c>
      <c r="K244" s="37">
        <f>TRIM(LEFT(Table3[[#This Row],[Group]],2))</f>
        <v/>
      </c>
      <c r="L244" s="3" t="inlineStr">
        <is>
          <t>NON SALES</t>
        </is>
      </c>
    </row>
    <row r="245">
      <c r="A245" s="5" t="inlineStr">
        <is>
          <t>OP01546</t>
        </is>
      </c>
      <c r="B245" s="6" t="inlineStr">
        <is>
          <t>Muhamad Rayihan Arizki</t>
        </is>
      </c>
      <c r="C245" s="7" t="inlineStr">
        <is>
          <t>AB1 - Agen Kab Bogor</t>
        </is>
      </c>
      <c r="D245" s="1" t="inlineStr">
        <is>
          <t>OP00002</t>
        </is>
      </c>
      <c r="E245" s="8" t="n">
        <v>44798.24375</v>
      </c>
      <c r="F245" s="7" t="inlineStr">
        <is>
          <t>AGEN</t>
        </is>
      </c>
      <c r="G245" s="18" t="inlineStr">
        <is>
          <t>OP01546</t>
        </is>
      </c>
      <c r="H245" s="19">
        <f>UPPER(Table3[[#This Row],[Agen id]]&amp;"-"&amp;VLOOKUP(Table3[[#This Row],[Agen id]],A:B,2,0)&amp;"("&amp;Table3[[#This Row],[Short]]&amp;")")</f>
        <v/>
      </c>
      <c r="J245" s="7">
        <f>VLOOKUP(Table3[[#This Row],[Agen id]],Agen!A:C,3,0)</f>
        <v/>
      </c>
      <c r="K245" s="37">
        <f>TRIM(LEFT(Table3[[#This Row],[Group]],2))</f>
        <v/>
      </c>
      <c r="L245" s="3" t="inlineStr">
        <is>
          <t>NON SALES</t>
        </is>
      </c>
    </row>
    <row r="246">
      <c r="A246" s="5" t="inlineStr">
        <is>
          <t>OP01553</t>
        </is>
      </c>
      <c r="B246" s="6" t="inlineStr">
        <is>
          <t>LLEACELL</t>
        </is>
      </c>
      <c r="C246" s="7" t="inlineStr">
        <is>
          <t>A - Agen</t>
        </is>
      </c>
      <c r="D246" s="1" t="inlineStr">
        <is>
          <t>OP00002</t>
        </is>
      </c>
      <c r="E246" s="8" t="n">
        <v>44798.41527777778</v>
      </c>
      <c r="F246" s="7" t="inlineStr">
        <is>
          <t>AGEN</t>
        </is>
      </c>
      <c r="G246" s="18" t="inlineStr">
        <is>
          <t>OP01553</t>
        </is>
      </c>
      <c r="H246" s="19">
        <f>UPPER(Table3[[#This Row],[Agen id]]&amp;"-"&amp;VLOOKUP(Table3[[#This Row],[Agen id]],A:B,2,0)&amp;"("&amp;Table3[[#This Row],[Short]]&amp;")")</f>
        <v/>
      </c>
      <c r="J246" s="7">
        <f>VLOOKUP(Table3[[#This Row],[Agen id]],Agen!A:C,3,0)</f>
        <v/>
      </c>
      <c r="K246" s="37">
        <f>TRIM(LEFT(Table3[[#This Row],[Group]],2))</f>
        <v/>
      </c>
      <c r="L246" s="3" t="inlineStr">
        <is>
          <t>NON SALES</t>
        </is>
      </c>
    </row>
    <row r="247">
      <c r="A247" s="5" t="inlineStr">
        <is>
          <t>OP01556</t>
        </is>
      </c>
      <c r="B247" s="6" t="inlineStr">
        <is>
          <t>Supriyadi</t>
        </is>
      </c>
      <c r="C247" s="7" t="inlineStr">
        <is>
          <t>AT1 - Agen Tangerang</t>
        </is>
      </c>
      <c r="D247" s="1" t="inlineStr">
        <is>
          <t>OP00002</t>
        </is>
      </c>
      <c r="E247" s="8" t="n">
        <v>44798.63888888889</v>
      </c>
      <c r="F247" s="7" t="inlineStr">
        <is>
          <t>AGEN</t>
        </is>
      </c>
      <c r="G247" s="18" t="inlineStr">
        <is>
          <t>OP01556</t>
        </is>
      </c>
      <c r="H247" s="19">
        <f>UPPER(Table3[[#This Row],[Agen id]]&amp;"-"&amp;VLOOKUP(Table3[[#This Row],[Agen id]],A:B,2,0)&amp;"("&amp;Table3[[#This Row],[Short]]&amp;")")</f>
        <v/>
      </c>
      <c r="J247" s="7">
        <f>VLOOKUP(Table3[[#This Row],[Agen id]],Agen!A:C,3,0)</f>
        <v/>
      </c>
      <c r="K247" s="37">
        <f>TRIM(LEFT(Table3[[#This Row],[Group]],2))</f>
        <v/>
      </c>
      <c r="L247" s="3" t="inlineStr">
        <is>
          <t>NON SALES</t>
        </is>
      </c>
    </row>
    <row r="248">
      <c r="A248" s="5" t="inlineStr">
        <is>
          <t>OP01562</t>
        </is>
      </c>
      <c r="B248" s="6" t="inlineStr">
        <is>
          <t>Shinta musa</t>
        </is>
      </c>
      <c r="C248" s="7" t="inlineStr">
        <is>
          <t>AV - Agen Verified</t>
        </is>
      </c>
      <c r="D248" s="1" t="inlineStr">
        <is>
          <t>OP00002</t>
        </is>
      </c>
      <c r="E248" s="8" t="n">
        <v>44799.29861111111</v>
      </c>
      <c r="F248" s="7" t="inlineStr">
        <is>
          <t>AGEN</t>
        </is>
      </c>
      <c r="G248" s="18" t="inlineStr">
        <is>
          <t>OP01562</t>
        </is>
      </c>
      <c r="H248" s="19">
        <f>UPPER(Table3[[#This Row],[Agen id]]&amp;"-"&amp;VLOOKUP(Table3[[#This Row],[Agen id]],A:B,2,0)&amp;"("&amp;Table3[[#This Row],[Short]]&amp;")")</f>
        <v/>
      </c>
      <c r="J248" s="7">
        <f>VLOOKUP(Table3[[#This Row],[Agen id]],Agen!A:C,3,0)</f>
        <v/>
      </c>
      <c r="K248" s="37">
        <f>TRIM(LEFT(Table3[[#This Row],[Group]],2))</f>
        <v/>
      </c>
      <c r="L248" s="3" t="inlineStr">
        <is>
          <t>NON SALES</t>
        </is>
      </c>
    </row>
    <row r="249">
      <c r="A249" s="5" t="inlineStr">
        <is>
          <t>OP01565</t>
        </is>
      </c>
      <c r="B249" s="6" t="inlineStr">
        <is>
          <t>BASIR</t>
        </is>
      </c>
      <c r="C249" s="7" t="inlineStr">
        <is>
          <t>A - Agen</t>
        </is>
      </c>
      <c r="D249" s="1" t="inlineStr">
        <is>
          <t>OP00002</t>
        </is>
      </c>
      <c r="E249" s="8" t="n">
        <v>44799.40833333333</v>
      </c>
      <c r="F249" s="7" t="inlineStr">
        <is>
          <t>AGEN</t>
        </is>
      </c>
      <c r="G249" s="18" t="inlineStr">
        <is>
          <t>OP01565</t>
        </is>
      </c>
      <c r="H249" s="19">
        <f>UPPER(Table3[[#This Row],[Agen id]]&amp;"-"&amp;VLOOKUP(Table3[[#This Row],[Agen id]],A:B,2,0)&amp;"("&amp;Table3[[#This Row],[Short]]&amp;")")</f>
        <v/>
      </c>
      <c r="J249" s="7">
        <f>VLOOKUP(Table3[[#This Row],[Agen id]],Agen!A:C,3,0)</f>
        <v/>
      </c>
      <c r="K249" s="37">
        <f>TRIM(LEFT(Table3[[#This Row],[Group]],2))</f>
        <v/>
      </c>
      <c r="L249" s="3" t="inlineStr">
        <is>
          <t>NON SALES</t>
        </is>
      </c>
    </row>
    <row r="250">
      <c r="A250" s="5" t="inlineStr">
        <is>
          <t>OP01566</t>
        </is>
      </c>
      <c r="B250" s="6" t="inlineStr">
        <is>
          <t>INDRA</t>
        </is>
      </c>
      <c r="C250" s="7" t="inlineStr">
        <is>
          <t>A - Agen</t>
        </is>
      </c>
      <c r="D250" s="1" t="inlineStr">
        <is>
          <t>OP00335</t>
        </is>
      </c>
      <c r="E250" s="8" t="n">
        <v>44799.40833333333</v>
      </c>
      <c r="F250" s="7" t="inlineStr">
        <is>
          <t>DOWNLINE</t>
        </is>
      </c>
      <c r="G250" s="18" t="inlineStr">
        <is>
          <t>OP00335</t>
        </is>
      </c>
      <c r="H250" s="19">
        <f>UPPER(Table3[[#This Row],[Agen id]]&amp;"-"&amp;VLOOKUP(Table3[[#This Row],[Agen id]],A:B,2,0)&amp;"("&amp;Table3[[#This Row],[Short]]&amp;")")</f>
        <v/>
      </c>
      <c r="J250" s="7">
        <f>VLOOKUP(Table3[[#This Row],[Agen id]],Agen!A:C,3,0)</f>
        <v/>
      </c>
      <c r="K250" s="37">
        <f>TRIM(LEFT(Table3[[#This Row],[Group]],2))</f>
        <v/>
      </c>
      <c r="L250" s="3" t="inlineStr">
        <is>
          <t>NON SALES</t>
        </is>
      </c>
    </row>
    <row r="251">
      <c r="A251" s="5" t="inlineStr">
        <is>
          <t>OP01570</t>
        </is>
      </c>
      <c r="B251" s="6" t="inlineStr">
        <is>
          <t>Joni</t>
        </is>
      </c>
      <c r="C251" s="7" t="inlineStr">
        <is>
          <t>A - Agen</t>
        </is>
      </c>
      <c r="D251" s="1" t="inlineStr">
        <is>
          <t>OP00002</t>
        </is>
      </c>
      <c r="E251" s="8" t="n">
        <v>44799.44652777778</v>
      </c>
      <c r="F251" s="7" t="inlineStr">
        <is>
          <t>AGEN</t>
        </is>
      </c>
      <c r="G251" s="18" t="inlineStr">
        <is>
          <t>OP01570</t>
        </is>
      </c>
      <c r="H251" s="19">
        <f>UPPER(Table3[[#This Row],[Agen id]]&amp;"-"&amp;VLOOKUP(Table3[[#This Row],[Agen id]],A:B,2,0)&amp;"("&amp;Table3[[#This Row],[Short]]&amp;")")</f>
        <v/>
      </c>
      <c r="J251" s="7">
        <f>VLOOKUP(Table3[[#This Row],[Agen id]],Agen!A:C,3,0)</f>
        <v/>
      </c>
      <c r="K251" s="37">
        <f>TRIM(LEFT(Table3[[#This Row],[Group]],2))</f>
        <v/>
      </c>
      <c r="L251" s="3" t="inlineStr">
        <is>
          <t>NON SALES</t>
        </is>
      </c>
    </row>
    <row r="252">
      <c r="A252" s="5" t="inlineStr">
        <is>
          <t>OP01582</t>
        </is>
      </c>
      <c r="B252" s="6" t="inlineStr">
        <is>
          <t>Usman Mintoher</t>
        </is>
      </c>
      <c r="C252" s="7" t="inlineStr">
        <is>
          <t>A - Agen</t>
        </is>
      </c>
      <c r="D252" s="1" t="inlineStr">
        <is>
          <t>OP00002</t>
        </is>
      </c>
      <c r="E252" s="8" t="n">
        <v>44799.82222222222</v>
      </c>
      <c r="F252" s="7" t="inlineStr">
        <is>
          <t>AGEN</t>
        </is>
      </c>
      <c r="G252" s="18" t="inlineStr">
        <is>
          <t>OP01582</t>
        </is>
      </c>
      <c r="H252" s="19">
        <f>UPPER(Table3[[#This Row],[Agen id]]&amp;"-"&amp;VLOOKUP(Table3[[#This Row],[Agen id]],A:B,2,0)&amp;"("&amp;Table3[[#This Row],[Short]]&amp;")")</f>
        <v/>
      </c>
      <c r="J252" s="7">
        <f>VLOOKUP(Table3[[#This Row],[Agen id]],Agen!A:C,3,0)</f>
        <v/>
      </c>
      <c r="K252" s="37">
        <f>TRIM(LEFT(Table3[[#This Row],[Group]],2))</f>
        <v/>
      </c>
      <c r="L252" s="3" t="inlineStr">
        <is>
          <t>NON SALES</t>
        </is>
      </c>
    </row>
    <row r="253">
      <c r="A253" s="5" t="inlineStr">
        <is>
          <t>OP01593</t>
        </is>
      </c>
      <c r="B253" s="6" t="inlineStr">
        <is>
          <t>Alyacell</t>
        </is>
      </c>
      <c r="C253" s="7" t="inlineStr">
        <is>
          <t>A - Agen</t>
        </is>
      </c>
      <c r="D253" s="1" t="inlineStr">
        <is>
          <t>OP00002</t>
        </is>
      </c>
      <c r="E253" s="8" t="n">
        <v>44800.34444444445</v>
      </c>
      <c r="F253" s="7" t="inlineStr">
        <is>
          <t>AGEN</t>
        </is>
      </c>
      <c r="G253" s="18" t="inlineStr">
        <is>
          <t>OP01593</t>
        </is>
      </c>
      <c r="H253" s="19">
        <f>UPPER(Table3[[#This Row],[Agen id]]&amp;"-"&amp;VLOOKUP(Table3[[#This Row],[Agen id]],A:B,2,0)&amp;"("&amp;Table3[[#This Row],[Short]]&amp;")")</f>
        <v/>
      </c>
      <c r="J253" s="7">
        <f>VLOOKUP(Table3[[#This Row],[Agen id]],Agen!A:C,3,0)</f>
        <v/>
      </c>
      <c r="K253" s="37">
        <f>TRIM(LEFT(Table3[[#This Row],[Group]],2))</f>
        <v/>
      </c>
      <c r="L253" s="3" t="inlineStr">
        <is>
          <t>NON SALES</t>
        </is>
      </c>
    </row>
    <row r="254">
      <c r="A254" s="5" t="inlineStr">
        <is>
          <t>OP01600</t>
        </is>
      </c>
      <c r="B254" s="6" t="inlineStr">
        <is>
          <t>Mamancell</t>
        </is>
      </c>
      <c r="C254" s="7" t="inlineStr">
        <is>
          <t>A - Agen</t>
        </is>
      </c>
      <c r="D254" s="1" t="inlineStr">
        <is>
          <t>OP00002</t>
        </is>
      </c>
      <c r="E254" s="8" t="n">
        <v>44800.45138888889</v>
      </c>
      <c r="F254" s="7" t="inlineStr">
        <is>
          <t>AGEN</t>
        </is>
      </c>
      <c r="G254" s="18" t="inlineStr">
        <is>
          <t>OP01600</t>
        </is>
      </c>
      <c r="H254" s="19">
        <f>UPPER(Table3[[#This Row],[Agen id]]&amp;"-"&amp;VLOOKUP(Table3[[#This Row],[Agen id]],A:B,2,0)&amp;"("&amp;Table3[[#This Row],[Short]]&amp;")")</f>
        <v/>
      </c>
      <c r="J254" s="7">
        <f>VLOOKUP(Table3[[#This Row],[Agen id]],Agen!A:C,3,0)</f>
        <v/>
      </c>
      <c r="K254" s="37">
        <f>TRIM(LEFT(Table3[[#This Row],[Group]],2))</f>
        <v/>
      </c>
      <c r="L254" s="3" t="inlineStr">
        <is>
          <t>NON SALES</t>
        </is>
      </c>
    </row>
    <row r="255">
      <c r="A255" s="5" t="inlineStr">
        <is>
          <t>OP01605</t>
        </is>
      </c>
      <c r="B255" s="6" t="inlineStr">
        <is>
          <t>Muhamad Rayihan Arizki</t>
        </is>
      </c>
      <c r="C255" s="7" t="inlineStr">
        <is>
          <t>AB1 - Agen Kab Bogor</t>
        </is>
      </c>
      <c r="D255" s="1" t="inlineStr">
        <is>
          <t>OP00002</t>
        </is>
      </c>
      <c r="E255" s="8" t="n">
        <v>44800.62152777778</v>
      </c>
      <c r="F255" s="7" t="inlineStr">
        <is>
          <t>AGEN</t>
        </is>
      </c>
      <c r="G255" s="18" t="inlineStr">
        <is>
          <t>OP01605</t>
        </is>
      </c>
      <c r="H255" s="19">
        <f>UPPER(Table3[[#This Row],[Agen id]]&amp;"-"&amp;VLOOKUP(Table3[[#This Row],[Agen id]],A:B,2,0)&amp;"("&amp;Table3[[#This Row],[Short]]&amp;")")</f>
        <v/>
      </c>
      <c r="J255" s="7">
        <f>VLOOKUP(Table3[[#This Row],[Agen id]],Agen!A:C,3,0)</f>
        <v/>
      </c>
      <c r="K255" s="37">
        <f>TRIM(LEFT(Table3[[#This Row],[Group]],2))</f>
        <v/>
      </c>
      <c r="L255" s="3" t="inlineStr">
        <is>
          <t>NON SALES</t>
        </is>
      </c>
    </row>
    <row r="256">
      <c r="A256" s="5" t="inlineStr">
        <is>
          <t>OP01610</t>
        </is>
      </c>
      <c r="B256" s="6" t="inlineStr">
        <is>
          <t>Jaja</t>
        </is>
      </c>
      <c r="C256" s="7" t="inlineStr">
        <is>
          <t>A - Agen</t>
        </is>
      </c>
      <c r="D256" s="1" t="inlineStr">
        <is>
          <t>OP00002</t>
        </is>
      </c>
      <c r="E256" s="8" t="n">
        <v>44800.72916666666</v>
      </c>
      <c r="F256" s="7" t="inlineStr">
        <is>
          <t>AGEN</t>
        </is>
      </c>
      <c r="G256" s="18" t="inlineStr">
        <is>
          <t>OP01610</t>
        </is>
      </c>
      <c r="H256" s="19">
        <f>UPPER(Table3[[#This Row],[Agen id]]&amp;"-"&amp;VLOOKUP(Table3[[#This Row],[Agen id]],A:B,2,0)&amp;"("&amp;Table3[[#This Row],[Short]]&amp;")")</f>
        <v/>
      </c>
      <c r="J256" s="7">
        <f>VLOOKUP(Table3[[#This Row],[Agen id]],Agen!A:C,3,0)</f>
        <v/>
      </c>
      <c r="K256" s="37">
        <f>TRIM(LEFT(Table3[[#This Row],[Group]],2))</f>
        <v/>
      </c>
      <c r="L256" s="3" t="inlineStr">
        <is>
          <t>NON SALES</t>
        </is>
      </c>
    </row>
    <row r="257">
      <c r="A257" s="5" t="inlineStr">
        <is>
          <t>OP01612</t>
        </is>
      </c>
      <c r="B257" s="6" t="inlineStr">
        <is>
          <t>LHT Cell</t>
        </is>
      </c>
      <c r="C257" s="7" t="inlineStr">
        <is>
          <t>A - Agen</t>
        </is>
      </c>
      <c r="D257" s="1" t="inlineStr">
        <is>
          <t>OP00002</t>
        </is>
      </c>
      <c r="E257" s="8" t="n">
        <v>44800.79722222222</v>
      </c>
      <c r="F257" s="7" t="inlineStr">
        <is>
          <t>AGEN</t>
        </is>
      </c>
      <c r="G257" s="18" t="inlineStr">
        <is>
          <t>OP01612</t>
        </is>
      </c>
      <c r="H257" s="19">
        <f>UPPER(Table3[[#This Row],[Agen id]]&amp;"-"&amp;VLOOKUP(Table3[[#This Row],[Agen id]],A:B,2,0)&amp;"("&amp;Table3[[#This Row],[Short]]&amp;")")</f>
        <v/>
      </c>
      <c r="J257" s="7">
        <f>VLOOKUP(Table3[[#This Row],[Agen id]],Agen!A:C,3,0)</f>
        <v/>
      </c>
      <c r="K257" s="37">
        <f>TRIM(LEFT(Table3[[#This Row],[Group]],2))</f>
        <v/>
      </c>
      <c r="L257" s="3" t="inlineStr">
        <is>
          <t>NON SALES</t>
        </is>
      </c>
    </row>
    <row r="258">
      <c r="A258" s="5" t="inlineStr">
        <is>
          <t>OP01640</t>
        </is>
      </c>
      <c r="B258" s="6" t="inlineStr">
        <is>
          <t>Septo</t>
        </is>
      </c>
      <c r="C258" s="7" t="inlineStr">
        <is>
          <t>AV - Agen Verified</t>
        </is>
      </c>
      <c r="D258" s="1" t="inlineStr">
        <is>
          <t>OP00002</t>
        </is>
      </c>
      <c r="E258" s="8" t="n">
        <v>44801.82638888889</v>
      </c>
      <c r="F258" s="7" t="inlineStr">
        <is>
          <t>AGEN</t>
        </is>
      </c>
      <c r="G258" s="18" t="inlineStr">
        <is>
          <t>OP01640</t>
        </is>
      </c>
      <c r="H258" s="19">
        <f>UPPER(Table3[[#This Row],[Agen id]]&amp;"-"&amp;VLOOKUP(Table3[[#This Row],[Agen id]],A:B,2,0)&amp;"("&amp;Table3[[#This Row],[Short]]&amp;")")</f>
        <v/>
      </c>
      <c r="J258" s="7">
        <f>VLOOKUP(Table3[[#This Row],[Agen id]],Agen!A:C,3,0)</f>
        <v/>
      </c>
      <c r="K258" s="37">
        <f>TRIM(LEFT(Table3[[#This Row],[Group]],2))</f>
        <v/>
      </c>
      <c r="L258" s="3" t="inlineStr">
        <is>
          <t>NON SALES</t>
        </is>
      </c>
    </row>
    <row r="259">
      <c r="A259" s="5" t="inlineStr">
        <is>
          <t>OP01661</t>
        </is>
      </c>
      <c r="B259" s="6" t="inlineStr">
        <is>
          <t>Nana Suhana</t>
        </is>
      </c>
      <c r="C259" s="7" t="inlineStr">
        <is>
          <t>AV - Agen Verified</t>
        </is>
      </c>
      <c r="D259" s="1" t="inlineStr">
        <is>
          <t>OP00002</t>
        </is>
      </c>
      <c r="E259" s="8" t="n">
        <v>44802.54722222222</v>
      </c>
      <c r="F259" s="7" t="inlineStr">
        <is>
          <t>AGEN</t>
        </is>
      </c>
      <c r="G259" s="18" t="inlineStr">
        <is>
          <t>OP01661</t>
        </is>
      </c>
      <c r="H259" s="19">
        <f>UPPER(Table3[[#This Row],[Agen id]]&amp;"-"&amp;VLOOKUP(Table3[[#This Row],[Agen id]],A:B,2,0)&amp;"("&amp;Table3[[#This Row],[Short]]&amp;")")</f>
        <v/>
      </c>
      <c r="J259" s="7">
        <f>VLOOKUP(Table3[[#This Row],[Agen id]],Agen!A:C,3,0)</f>
        <v/>
      </c>
      <c r="K259" s="37">
        <f>TRIM(LEFT(Table3[[#This Row],[Group]],2))</f>
        <v/>
      </c>
      <c r="L259" s="3" t="inlineStr">
        <is>
          <t>NON SALES</t>
        </is>
      </c>
    </row>
    <row r="260">
      <c r="A260" s="5" t="inlineStr">
        <is>
          <t>OP01677</t>
        </is>
      </c>
      <c r="B260" s="6" t="inlineStr">
        <is>
          <t>Desi</t>
        </is>
      </c>
      <c r="C260" s="7" t="inlineStr">
        <is>
          <t>A - Agen</t>
        </is>
      </c>
      <c r="D260" s="1" t="inlineStr">
        <is>
          <t>OP00002</t>
        </is>
      </c>
      <c r="E260" s="8" t="n">
        <v>44802.79583333333</v>
      </c>
      <c r="F260" s="7" t="inlineStr">
        <is>
          <t>AGEN</t>
        </is>
      </c>
      <c r="G260" s="18" t="inlineStr">
        <is>
          <t>OP01677</t>
        </is>
      </c>
      <c r="H260" s="19">
        <f>UPPER(Table3[[#This Row],[Agen id]]&amp;"-"&amp;VLOOKUP(Table3[[#This Row],[Agen id]],A:B,2,0)&amp;"("&amp;Table3[[#This Row],[Short]]&amp;")")</f>
        <v/>
      </c>
      <c r="J260" s="7">
        <f>VLOOKUP(Table3[[#This Row],[Agen id]],Agen!A:C,3,0)</f>
        <v/>
      </c>
      <c r="K260" s="37">
        <f>TRIM(LEFT(Table3[[#This Row],[Group]],2))</f>
        <v/>
      </c>
      <c r="L260" s="3" t="inlineStr">
        <is>
          <t>NON SALES</t>
        </is>
      </c>
    </row>
    <row r="261">
      <c r="A261" s="5" t="inlineStr">
        <is>
          <t>OP01683</t>
        </is>
      </c>
      <c r="B261" s="6" t="inlineStr">
        <is>
          <t>Myshacell</t>
        </is>
      </c>
      <c r="C261" s="7" t="inlineStr">
        <is>
          <t>AV - Agen Verified</t>
        </is>
      </c>
      <c r="D261" s="1" t="inlineStr">
        <is>
          <t>OP00002</t>
        </is>
      </c>
      <c r="E261" s="8" t="n">
        <v>44803.31111111111</v>
      </c>
      <c r="F261" s="7" t="inlineStr">
        <is>
          <t>AGEN</t>
        </is>
      </c>
      <c r="G261" s="18" t="inlineStr">
        <is>
          <t>OP01683</t>
        </is>
      </c>
      <c r="H261" s="19">
        <f>UPPER(Table3[[#This Row],[Agen id]]&amp;"-"&amp;VLOOKUP(Table3[[#This Row],[Agen id]],A:B,2,0)&amp;"("&amp;Table3[[#This Row],[Short]]&amp;")")</f>
        <v/>
      </c>
      <c r="J261" s="7">
        <f>VLOOKUP(Table3[[#This Row],[Agen id]],Agen!A:C,3,0)</f>
        <v/>
      </c>
      <c r="K261" s="37">
        <f>TRIM(LEFT(Table3[[#This Row],[Group]],2))</f>
        <v/>
      </c>
      <c r="L261" s="3" t="inlineStr">
        <is>
          <t>NON SALES</t>
        </is>
      </c>
    </row>
    <row r="262">
      <c r="A262" s="5" t="inlineStr">
        <is>
          <t>OP01684</t>
        </is>
      </c>
      <c r="B262" s="6" t="inlineStr">
        <is>
          <t>Kosim Nasution</t>
        </is>
      </c>
      <c r="C262" s="7" t="inlineStr">
        <is>
          <t>A - Agen</t>
        </is>
      </c>
      <c r="D262" s="1" t="inlineStr">
        <is>
          <t>OP00335</t>
        </is>
      </c>
      <c r="E262" s="8" t="n">
        <v>44803.38402777778</v>
      </c>
      <c r="F262" s="7" t="inlineStr">
        <is>
          <t>DOWNLINE</t>
        </is>
      </c>
      <c r="G262" s="18" t="inlineStr">
        <is>
          <t>OP00335</t>
        </is>
      </c>
      <c r="H262" s="19">
        <f>UPPER(Table3[[#This Row],[Agen id]]&amp;"-"&amp;VLOOKUP(Table3[[#This Row],[Agen id]],A:B,2,0)&amp;"("&amp;Table3[[#This Row],[Short]]&amp;")")</f>
        <v/>
      </c>
      <c r="J262" s="7">
        <f>VLOOKUP(Table3[[#This Row],[Agen id]],Agen!A:C,3,0)</f>
        <v/>
      </c>
      <c r="K262" s="37">
        <f>TRIM(LEFT(Table3[[#This Row],[Group]],2))</f>
        <v/>
      </c>
      <c r="L262" s="3" t="inlineStr">
        <is>
          <t>NON SALES</t>
        </is>
      </c>
    </row>
    <row r="263">
      <c r="A263" s="5" t="inlineStr">
        <is>
          <t>OP01689</t>
        </is>
      </c>
      <c r="B263" s="6" t="inlineStr">
        <is>
          <t>Kharisma</t>
        </is>
      </c>
      <c r="C263" s="7" t="inlineStr">
        <is>
          <t>AV - Agen Verified</t>
        </is>
      </c>
      <c r="D263" s="1" t="inlineStr">
        <is>
          <t>OP00002</t>
        </is>
      </c>
      <c r="E263" s="8" t="n">
        <v>44803.45347222222</v>
      </c>
      <c r="F263" s="7" t="inlineStr">
        <is>
          <t>AGEN</t>
        </is>
      </c>
      <c r="G263" s="18" t="inlineStr">
        <is>
          <t>OP01689</t>
        </is>
      </c>
      <c r="H263" s="19">
        <f>UPPER(Table3[[#This Row],[Agen id]]&amp;"-"&amp;VLOOKUP(Table3[[#This Row],[Agen id]],A:B,2,0)&amp;"("&amp;Table3[[#This Row],[Short]]&amp;")")</f>
        <v/>
      </c>
      <c r="J263" s="7">
        <f>VLOOKUP(Table3[[#This Row],[Agen id]],Agen!A:C,3,0)</f>
        <v/>
      </c>
      <c r="K263" s="37">
        <f>TRIM(LEFT(Table3[[#This Row],[Group]],2))</f>
        <v/>
      </c>
      <c r="L263" s="3" t="inlineStr">
        <is>
          <t>NON SALES</t>
        </is>
      </c>
    </row>
    <row r="264">
      <c r="A264" s="5" t="inlineStr">
        <is>
          <t>OP01691</t>
        </is>
      </c>
      <c r="B264" s="6" t="inlineStr">
        <is>
          <t>Karya</t>
        </is>
      </c>
      <c r="C264" s="7" t="inlineStr">
        <is>
          <t>A - Agen</t>
        </is>
      </c>
      <c r="D264" s="1" t="inlineStr">
        <is>
          <t>OP01689</t>
        </is>
      </c>
      <c r="E264" s="8" t="n">
        <v>44803.46666666667</v>
      </c>
      <c r="F264" s="7" t="inlineStr">
        <is>
          <t>DOWNLINE</t>
        </is>
      </c>
      <c r="G264" s="18" t="inlineStr">
        <is>
          <t>OP01689</t>
        </is>
      </c>
      <c r="H264" s="19">
        <f>UPPER(Table3[[#This Row],[Agen id]]&amp;"-"&amp;VLOOKUP(Table3[[#This Row],[Agen id]],A:B,2,0)&amp;"("&amp;Table3[[#This Row],[Short]]&amp;")")</f>
        <v/>
      </c>
      <c r="J264" s="7">
        <f>VLOOKUP(Table3[[#This Row],[Agen id]],Agen!A:C,3,0)</f>
        <v/>
      </c>
      <c r="K264" s="37">
        <f>TRIM(LEFT(Table3[[#This Row],[Group]],2))</f>
        <v/>
      </c>
      <c r="L264" s="3" t="inlineStr">
        <is>
          <t>NON SALES</t>
        </is>
      </c>
    </row>
    <row r="265">
      <c r="A265" s="5" t="inlineStr">
        <is>
          <t>OP01692</t>
        </is>
      </c>
      <c r="B265" s="6" t="inlineStr">
        <is>
          <t>Tanray</t>
        </is>
      </c>
      <c r="C265" s="7" t="inlineStr">
        <is>
          <t>A - Agen</t>
        </is>
      </c>
      <c r="D265" s="1" t="inlineStr">
        <is>
          <t>OP01689</t>
        </is>
      </c>
      <c r="E265" s="8" t="n">
        <v>44803.46736111111</v>
      </c>
      <c r="F265" s="7" t="inlineStr">
        <is>
          <t>DOWNLINE</t>
        </is>
      </c>
      <c r="G265" s="18" t="inlineStr">
        <is>
          <t>OP01689</t>
        </is>
      </c>
      <c r="H265" s="19">
        <f>UPPER(Table3[[#This Row],[Agen id]]&amp;"-"&amp;VLOOKUP(Table3[[#This Row],[Agen id]],A:B,2,0)&amp;"("&amp;Table3[[#This Row],[Short]]&amp;")")</f>
        <v/>
      </c>
      <c r="J265" s="7">
        <f>VLOOKUP(Table3[[#This Row],[Agen id]],Agen!A:C,3,0)</f>
        <v/>
      </c>
      <c r="K265" s="37">
        <f>TRIM(LEFT(Table3[[#This Row],[Group]],2))</f>
        <v/>
      </c>
      <c r="L265" s="3" t="inlineStr">
        <is>
          <t>NON SALES</t>
        </is>
      </c>
    </row>
    <row r="266">
      <c r="A266" s="5" t="inlineStr">
        <is>
          <t>OP01693</t>
        </is>
      </c>
      <c r="B266" s="6" t="inlineStr">
        <is>
          <t>Muksin</t>
        </is>
      </c>
      <c r="C266" s="7" t="inlineStr">
        <is>
          <t>A - Agen</t>
        </is>
      </c>
      <c r="D266" s="1" t="inlineStr">
        <is>
          <t>OP01689</t>
        </is>
      </c>
      <c r="E266" s="8" t="n">
        <v>44803.46875</v>
      </c>
      <c r="F266" s="7" t="inlineStr">
        <is>
          <t>DOWNLINE</t>
        </is>
      </c>
      <c r="G266" s="18" t="inlineStr">
        <is>
          <t>OP01689</t>
        </is>
      </c>
      <c r="H266" s="19">
        <f>UPPER(Table3[[#This Row],[Agen id]]&amp;"-"&amp;VLOOKUP(Table3[[#This Row],[Agen id]],A:B,2,0)&amp;"("&amp;Table3[[#This Row],[Short]]&amp;")")</f>
        <v/>
      </c>
      <c r="J266" s="7">
        <f>VLOOKUP(Table3[[#This Row],[Agen id]],Agen!A:C,3,0)</f>
        <v/>
      </c>
      <c r="K266" s="37">
        <f>TRIM(LEFT(Table3[[#This Row],[Group]],2))</f>
        <v/>
      </c>
      <c r="L266" s="3" t="inlineStr">
        <is>
          <t>NON SALES</t>
        </is>
      </c>
    </row>
    <row r="267">
      <c r="A267" s="5" t="inlineStr">
        <is>
          <t>OP01697</t>
        </is>
      </c>
      <c r="B267" s="6" t="inlineStr">
        <is>
          <t>Bang_Affir</t>
        </is>
      </c>
      <c r="C267" s="7" t="inlineStr">
        <is>
          <t>A - Agen</t>
        </is>
      </c>
      <c r="D267" s="1" t="inlineStr">
        <is>
          <t>OP00002</t>
        </is>
      </c>
      <c r="E267" s="8" t="n">
        <v>44803.63680555556</v>
      </c>
      <c r="F267" s="7" t="inlineStr">
        <is>
          <t>AGEN</t>
        </is>
      </c>
      <c r="G267" s="18" t="inlineStr">
        <is>
          <t>OP01697</t>
        </is>
      </c>
      <c r="H267" s="19">
        <f>UPPER(Table3[[#This Row],[Agen id]]&amp;"-"&amp;VLOOKUP(Table3[[#This Row],[Agen id]],A:B,2,0)&amp;"("&amp;Table3[[#This Row],[Short]]&amp;")")</f>
        <v/>
      </c>
      <c r="J267" s="7">
        <f>VLOOKUP(Table3[[#This Row],[Agen id]],Agen!A:C,3,0)</f>
        <v/>
      </c>
      <c r="K267" s="37">
        <f>TRIM(LEFT(Table3[[#This Row],[Group]],2))</f>
        <v/>
      </c>
      <c r="L267" s="3" t="inlineStr">
        <is>
          <t>NON SALES</t>
        </is>
      </c>
    </row>
    <row r="268">
      <c r="A268" s="5" t="inlineStr">
        <is>
          <t>OP01702</t>
        </is>
      </c>
      <c r="B268" s="6" t="inlineStr">
        <is>
          <t>Affiya cel</t>
        </is>
      </c>
      <c r="C268" s="7" t="inlineStr">
        <is>
          <t>AT1 - Agen Tangerang</t>
        </is>
      </c>
      <c r="D268" s="1" t="inlineStr">
        <is>
          <t>OP00983</t>
        </is>
      </c>
      <c r="E268" s="8" t="n">
        <v>44804.29861111111</v>
      </c>
      <c r="F268" s="7" t="inlineStr">
        <is>
          <t>DOWNLINE</t>
        </is>
      </c>
      <c r="G268" s="18" t="inlineStr">
        <is>
          <t>OP00914</t>
        </is>
      </c>
      <c r="H268" s="19">
        <f>UPPER(Table3[[#This Row],[Agen id]]&amp;"-"&amp;VLOOKUP(Table3[[#This Row],[Agen id]],A:B,2,0)&amp;"("&amp;Table3[[#This Row],[Short]]&amp;")")</f>
        <v/>
      </c>
      <c r="J268" s="7">
        <f>VLOOKUP(Table3[[#This Row],[Agen id]],Agen!A:C,3,0)</f>
        <v/>
      </c>
      <c r="K268" s="37">
        <f>TRIM(LEFT(Table3[[#This Row],[Group]],2))</f>
        <v/>
      </c>
      <c r="L268" s="3" t="inlineStr">
        <is>
          <t>NON SALES</t>
        </is>
      </c>
    </row>
    <row r="269">
      <c r="A269" s="5" t="inlineStr">
        <is>
          <t>OP01703</t>
        </is>
      </c>
      <c r="B269" s="6" t="inlineStr">
        <is>
          <t>OP00444.1000</t>
        </is>
      </c>
      <c r="C269" s="7" t="inlineStr">
        <is>
          <t>A - Agen</t>
        </is>
      </c>
      <c r="D269" s="1" t="inlineStr">
        <is>
          <t>OP00444</t>
        </is>
      </c>
      <c r="E269" s="8" t="n">
        <v>44804.39305555556</v>
      </c>
      <c r="F269" s="7" t="inlineStr">
        <is>
          <t>DOWNLINE</t>
        </is>
      </c>
      <c r="G269" s="18" t="inlineStr">
        <is>
          <t>OP00401</t>
        </is>
      </c>
      <c r="H269" s="19">
        <f>UPPER(Table3[[#This Row],[Agen id]]&amp;"-"&amp;VLOOKUP(Table3[[#This Row],[Agen id]],A:B,2,0)&amp;"("&amp;Table3[[#This Row],[Short]]&amp;")")</f>
        <v/>
      </c>
      <c r="J269" s="7">
        <f>VLOOKUP(Table3[[#This Row],[Agen id]],Agen!A:C,3,0)</f>
        <v/>
      </c>
      <c r="K269" s="37">
        <f>TRIM(LEFT(Table3[[#This Row],[Group]],2))</f>
        <v/>
      </c>
      <c r="L269" s="3" t="inlineStr">
        <is>
          <t>NON SALES</t>
        </is>
      </c>
    </row>
    <row r="270">
      <c r="A270" s="5" t="inlineStr">
        <is>
          <t>OP01706</t>
        </is>
      </c>
      <c r="B270" s="6" t="inlineStr">
        <is>
          <t>Septia cell</t>
        </is>
      </c>
      <c r="C270" s="7" t="inlineStr">
        <is>
          <t>AV - Agen Verified</t>
        </is>
      </c>
      <c r="D270" s="1" t="inlineStr">
        <is>
          <t>OP01562</t>
        </is>
      </c>
      <c r="E270" s="8" t="n">
        <v>44804.61736111111</v>
      </c>
      <c r="F270" s="7" t="inlineStr">
        <is>
          <t>DOWNLINE</t>
        </is>
      </c>
      <c r="G270" s="18" t="inlineStr">
        <is>
          <t>OP01562</t>
        </is>
      </c>
      <c r="H270" s="19">
        <f>UPPER(Table3[[#This Row],[Agen id]]&amp;"-"&amp;VLOOKUP(Table3[[#This Row],[Agen id]],A:B,2,0)&amp;"("&amp;Table3[[#This Row],[Short]]&amp;")")</f>
        <v/>
      </c>
      <c r="J270" s="7">
        <f>VLOOKUP(Table3[[#This Row],[Agen id]],Agen!A:C,3,0)</f>
        <v/>
      </c>
      <c r="K270" s="37">
        <f>TRIM(LEFT(Table3[[#This Row],[Group]],2))</f>
        <v/>
      </c>
      <c r="L270" s="3" t="inlineStr">
        <is>
          <t>NON SALES</t>
        </is>
      </c>
    </row>
    <row r="271">
      <c r="A271" s="5" t="inlineStr">
        <is>
          <t>OP01707</t>
        </is>
      </c>
      <c r="B271" s="6" t="inlineStr">
        <is>
          <t>Wsh Cell</t>
        </is>
      </c>
      <c r="C271" s="7" t="inlineStr">
        <is>
          <t>AV - Agen Verified</t>
        </is>
      </c>
      <c r="D271" s="1" t="inlineStr">
        <is>
          <t>OP00002</t>
        </is>
      </c>
      <c r="E271" s="8" t="n">
        <v>44804.63333333333</v>
      </c>
      <c r="F271" s="7" t="inlineStr">
        <is>
          <t>AGEN</t>
        </is>
      </c>
      <c r="G271" s="18" t="inlineStr">
        <is>
          <t>OP01707</t>
        </is>
      </c>
      <c r="H271" s="19">
        <f>UPPER(Table3[[#This Row],[Agen id]]&amp;"-"&amp;VLOOKUP(Table3[[#This Row],[Agen id]],A:B,2,0)&amp;"("&amp;Table3[[#This Row],[Short]]&amp;")")</f>
        <v/>
      </c>
      <c r="J271" s="7">
        <f>VLOOKUP(Table3[[#This Row],[Agen id]],Agen!A:C,3,0)</f>
        <v/>
      </c>
      <c r="K271" s="37">
        <f>TRIM(LEFT(Table3[[#This Row],[Group]],2))</f>
        <v/>
      </c>
      <c r="L271" s="3" t="inlineStr">
        <is>
          <t>NON SALES</t>
        </is>
      </c>
    </row>
    <row r="272">
      <c r="A272" s="5" t="inlineStr">
        <is>
          <t>OP01709</t>
        </is>
      </c>
      <c r="B272" s="6" t="inlineStr">
        <is>
          <t>Dilut</t>
        </is>
      </c>
      <c r="C272" s="7" t="inlineStr">
        <is>
          <t>A - Agen</t>
        </is>
      </c>
      <c r="D272" s="1" t="inlineStr">
        <is>
          <t>OP00002</t>
        </is>
      </c>
      <c r="E272" s="8" t="n">
        <v>44804.78055555555</v>
      </c>
      <c r="F272" s="7" t="inlineStr">
        <is>
          <t>AGEN</t>
        </is>
      </c>
      <c r="G272" s="18" t="inlineStr">
        <is>
          <t>OP01709</t>
        </is>
      </c>
      <c r="H272" s="19">
        <f>UPPER(Table3[[#This Row],[Agen id]]&amp;"-"&amp;VLOOKUP(Table3[[#This Row],[Agen id]],A:B,2,0)&amp;"("&amp;Table3[[#This Row],[Short]]&amp;")")</f>
        <v/>
      </c>
      <c r="J272" s="7">
        <f>VLOOKUP(Table3[[#This Row],[Agen id]],Agen!A:C,3,0)</f>
        <v/>
      </c>
      <c r="K272" s="37">
        <f>TRIM(LEFT(Table3[[#This Row],[Group]],2))</f>
        <v/>
      </c>
      <c r="L272" s="3" t="inlineStr">
        <is>
          <t>NON SALES</t>
        </is>
      </c>
    </row>
    <row r="273">
      <c r="A273" s="5" t="inlineStr">
        <is>
          <t>OP01712</t>
        </is>
      </c>
      <c r="B273" s="6" t="inlineStr">
        <is>
          <t>Elisa</t>
        </is>
      </c>
      <c r="C273" s="7" t="inlineStr">
        <is>
          <t>AV - Agen Verified</t>
        </is>
      </c>
      <c r="D273" s="1" t="inlineStr">
        <is>
          <t>OP00238</t>
        </is>
      </c>
      <c r="E273" s="8" t="n">
        <v>44804.925</v>
      </c>
      <c r="F273" s="7" t="inlineStr">
        <is>
          <t>DOWNLINE</t>
        </is>
      </c>
      <c r="G273" s="18" t="inlineStr">
        <is>
          <t>OP00238</t>
        </is>
      </c>
      <c r="H273" s="19">
        <f>UPPER(Table3[[#This Row],[Agen id]]&amp;"-"&amp;VLOOKUP(Table3[[#This Row],[Agen id]],A:B,2,0)&amp;"("&amp;Table3[[#This Row],[Short]]&amp;")")</f>
        <v/>
      </c>
      <c r="J273" s="7">
        <f>VLOOKUP(Table3[[#This Row],[Agen id]],Agen!A:C,3,0)</f>
        <v/>
      </c>
      <c r="K273" s="37">
        <f>TRIM(LEFT(Table3[[#This Row],[Group]],2))</f>
        <v/>
      </c>
      <c r="L273" s="3" t="inlineStr">
        <is>
          <t>NON SALES</t>
        </is>
      </c>
    </row>
    <row r="274">
      <c r="A274" s="5" t="inlineStr">
        <is>
          <t>OP01719</t>
        </is>
      </c>
      <c r="B274" s="6" t="inlineStr">
        <is>
          <t>ILVANCELL</t>
        </is>
      </c>
      <c r="C274" s="7" t="inlineStr">
        <is>
          <t>A - Agen</t>
        </is>
      </c>
      <c r="D274" s="1" t="inlineStr">
        <is>
          <t>OP00002</t>
        </is>
      </c>
      <c r="E274" s="8" t="n">
        <v>44805.55694444444</v>
      </c>
      <c r="F274" s="7" t="inlineStr">
        <is>
          <t>AGEN</t>
        </is>
      </c>
      <c r="G274" s="18" t="inlineStr">
        <is>
          <t>OP01719</t>
        </is>
      </c>
      <c r="H274" s="19">
        <f>UPPER(Table3[[#This Row],[Agen id]]&amp;"-"&amp;VLOOKUP(Table3[[#This Row],[Agen id]],A:B,2,0)&amp;"("&amp;Table3[[#This Row],[Short]]&amp;")")</f>
        <v/>
      </c>
      <c r="J274" s="7">
        <f>VLOOKUP(Table3[[#This Row],[Agen id]],Agen!A:C,3,0)</f>
        <v/>
      </c>
      <c r="K274" s="37">
        <f>TRIM(LEFT(Table3[[#This Row],[Group]],2))</f>
        <v/>
      </c>
      <c r="L274" s="3" t="inlineStr">
        <is>
          <t>NON SALES</t>
        </is>
      </c>
    </row>
    <row r="275">
      <c r="A275" s="5" t="inlineStr">
        <is>
          <t>OP01725</t>
        </is>
      </c>
      <c r="B275" s="6" t="inlineStr">
        <is>
          <t>Yulia</t>
        </is>
      </c>
      <c r="C275" s="7" t="inlineStr">
        <is>
          <t>AV - Agen Verified</t>
        </is>
      </c>
      <c r="D275" s="1" t="inlineStr">
        <is>
          <t>OP00002</t>
        </is>
      </c>
      <c r="E275" s="8" t="n">
        <v>44805.85416666666</v>
      </c>
      <c r="F275" s="7" t="inlineStr">
        <is>
          <t>AGEN</t>
        </is>
      </c>
      <c r="G275" s="18" t="inlineStr">
        <is>
          <t>OP01725</t>
        </is>
      </c>
      <c r="H275" s="19">
        <f>UPPER(Table3[[#This Row],[Agen id]]&amp;"-"&amp;VLOOKUP(Table3[[#This Row],[Agen id]],A:B,2,0)&amp;"("&amp;Table3[[#This Row],[Short]]&amp;")")</f>
        <v/>
      </c>
      <c r="J275" s="7">
        <f>VLOOKUP(Table3[[#This Row],[Agen id]],Agen!A:C,3,0)</f>
        <v/>
      </c>
      <c r="K275" s="37">
        <f>TRIM(LEFT(Table3[[#This Row],[Group]],2))</f>
        <v/>
      </c>
      <c r="L275" s="3" t="inlineStr">
        <is>
          <t>NON SALES</t>
        </is>
      </c>
    </row>
    <row r="276">
      <c r="A276" s="5" t="inlineStr">
        <is>
          <t>OP01727</t>
        </is>
      </c>
      <c r="B276" s="6" t="inlineStr">
        <is>
          <t>Abdul</t>
        </is>
      </c>
      <c r="C276" s="7" t="inlineStr">
        <is>
          <t>AV - Agen Verified</t>
        </is>
      </c>
      <c r="D276" s="1" t="inlineStr">
        <is>
          <t>OP00002</t>
        </is>
      </c>
      <c r="E276" s="8" t="n">
        <v>44805.89444444444</v>
      </c>
      <c r="F276" s="7" t="inlineStr">
        <is>
          <t>AGEN</t>
        </is>
      </c>
      <c r="G276" s="18" t="inlineStr">
        <is>
          <t>OP01727</t>
        </is>
      </c>
      <c r="H276" s="19">
        <f>UPPER(Table3[[#This Row],[Agen id]]&amp;"-"&amp;VLOOKUP(Table3[[#This Row],[Agen id]],A:B,2,0)&amp;"("&amp;Table3[[#This Row],[Short]]&amp;")")</f>
        <v/>
      </c>
      <c r="J276" s="7">
        <f>VLOOKUP(Table3[[#This Row],[Agen id]],Agen!A:C,3,0)</f>
        <v/>
      </c>
      <c r="K276" s="37">
        <f>TRIM(LEFT(Table3[[#This Row],[Group]],2))</f>
        <v/>
      </c>
      <c r="L276" s="3" t="inlineStr">
        <is>
          <t>NON SALES</t>
        </is>
      </c>
    </row>
    <row r="277">
      <c r="A277" s="5" t="inlineStr">
        <is>
          <t>OP01735</t>
        </is>
      </c>
      <c r="B277" s="6" t="inlineStr">
        <is>
          <t>Sadli</t>
        </is>
      </c>
      <c r="C277" s="7" t="inlineStr">
        <is>
          <t>A - Agen</t>
        </is>
      </c>
      <c r="D277" s="1" t="inlineStr">
        <is>
          <t>OP00002</t>
        </is>
      </c>
      <c r="E277" s="8" t="n">
        <v>44806.39930555555</v>
      </c>
      <c r="F277" s="7" t="inlineStr">
        <is>
          <t>AGEN</t>
        </is>
      </c>
      <c r="G277" s="18" t="inlineStr">
        <is>
          <t>OP01735</t>
        </is>
      </c>
      <c r="H277" s="19">
        <f>UPPER(Table3[[#This Row],[Agen id]]&amp;"-"&amp;VLOOKUP(Table3[[#This Row],[Agen id]],A:B,2,0)&amp;"("&amp;Table3[[#This Row],[Short]]&amp;")")</f>
        <v/>
      </c>
      <c r="J277" s="7">
        <f>VLOOKUP(Table3[[#This Row],[Agen id]],Agen!A:C,3,0)</f>
        <v/>
      </c>
      <c r="K277" s="37">
        <f>TRIM(LEFT(Table3[[#This Row],[Group]],2))</f>
        <v/>
      </c>
      <c r="L277" s="3" t="inlineStr">
        <is>
          <t>NON SALES</t>
        </is>
      </c>
    </row>
    <row r="278">
      <c r="A278" s="5" t="inlineStr">
        <is>
          <t>OP01741</t>
        </is>
      </c>
      <c r="B278" s="6" t="inlineStr">
        <is>
          <t>JANNE</t>
        </is>
      </c>
      <c r="C278" s="7" t="inlineStr">
        <is>
          <t>AV - Agen Verified</t>
        </is>
      </c>
      <c r="D278" s="1" t="inlineStr">
        <is>
          <t>OP01100</t>
        </is>
      </c>
      <c r="E278" s="8" t="n">
        <v>44806.79236111111</v>
      </c>
      <c r="F278" s="7" t="inlineStr">
        <is>
          <t>DOWNLINE</t>
        </is>
      </c>
      <c r="G278" s="18" t="inlineStr">
        <is>
          <t>OP01100</t>
        </is>
      </c>
      <c r="H278" s="19">
        <f>UPPER(Table3[[#This Row],[Agen id]]&amp;"-"&amp;VLOOKUP(Table3[[#This Row],[Agen id]],A:B,2,0)&amp;"("&amp;Table3[[#This Row],[Short]]&amp;")")</f>
        <v/>
      </c>
      <c r="J278" s="7">
        <f>VLOOKUP(Table3[[#This Row],[Agen id]],Agen!A:C,3,0)</f>
        <v/>
      </c>
      <c r="K278" s="37">
        <f>TRIM(LEFT(Table3[[#This Row],[Group]],2))</f>
        <v/>
      </c>
      <c r="L278" s="3" t="inlineStr">
        <is>
          <t>NON SALES</t>
        </is>
      </c>
    </row>
    <row r="279">
      <c r="A279" s="5" t="inlineStr">
        <is>
          <t>OP01746</t>
        </is>
      </c>
      <c r="B279" s="6" t="inlineStr">
        <is>
          <t>Hendra sunandar</t>
        </is>
      </c>
      <c r="C279" s="7" t="inlineStr">
        <is>
          <t>A - Agen</t>
        </is>
      </c>
      <c r="D279" s="1" t="inlineStr">
        <is>
          <t>OP00002</t>
        </is>
      </c>
      <c r="E279" s="8" t="n">
        <v>44806.90555555555</v>
      </c>
      <c r="F279" s="7" t="inlineStr">
        <is>
          <t>AGEN</t>
        </is>
      </c>
      <c r="G279" s="18" t="inlineStr">
        <is>
          <t>OP01746</t>
        </is>
      </c>
      <c r="H279" s="19">
        <f>UPPER(Table3[[#This Row],[Agen id]]&amp;"-"&amp;VLOOKUP(Table3[[#This Row],[Agen id]],A:B,2,0)&amp;"("&amp;Table3[[#This Row],[Short]]&amp;")")</f>
        <v/>
      </c>
      <c r="J279" s="7">
        <f>VLOOKUP(Table3[[#This Row],[Agen id]],Agen!A:C,3,0)</f>
        <v/>
      </c>
      <c r="K279" s="37">
        <f>TRIM(LEFT(Table3[[#This Row],[Group]],2))</f>
        <v/>
      </c>
      <c r="L279" s="3" t="inlineStr">
        <is>
          <t>NON SALES</t>
        </is>
      </c>
    </row>
    <row r="280">
      <c r="A280" s="5" t="inlineStr">
        <is>
          <t>OP01751</t>
        </is>
      </c>
      <c r="B280" s="6" t="inlineStr">
        <is>
          <t>Hendy</t>
        </is>
      </c>
      <c r="C280" s="7" t="inlineStr">
        <is>
          <t>A - Agen</t>
        </is>
      </c>
      <c r="D280" s="1" t="inlineStr">
        <is>
          <t>OP00002</t>
        </is>
      </c>
      <c r="E280" s="8" t="n">
        <v>44807.11388888889</v>
      </c>
      <c r="F280" s="7" t="inlineStr">
        <is>
          <t>AGEN</t>
        </is>
      </c>
      <c r="G280" s="18" t="inlineStr">
        <is>
          <t>OP01751</t>
        </is>
      </c>
      <c r="H280" s="19">
        <f>UPPER(Table3[[#This Row],[Agen id]]&amp;"-"&amp;VLOOKUP(Table3[[#This Row],[Agen id]],A:B,2,0)&amp;"("&amp;Table3[[#This Row],[Short]]&amp;")")</f>
        <v/>
      </c>
      <c r="J280" s="7">
        <f>VLOOKUP(Table3[[#This Row],[Agen id]],Agen!A:C,3,0)</f>
        <v/>
      </c>
      <c r="K280" s="37">
        <f>TRIM(LEFT(Table3[[#This Row],[Group]],2))</f>
        <v/>
      </c>
      <c r="L280" s="3" t="inlineStr">
        <is>
          <t>NON SALES</t>
        </is>
      </c>
    </row>
    <row r="281">
      <c r="A281" s="5" t="inlineStr">
        <is>
          <t>OP01752</t>
        </is>
      </c>
      <c r="B281" s="6" t="inlineStr">
        <is>
          <t>Kahfi</t>
        </is>
      </c>
      <c r="C281" s="7" t="inlineStr">
        <is>
          <t>A - Agen</t>
        </is>
      </c>
      <c r="D281" s="1" t="inlineStr">
        <is>
          <t>OP00906</t>
        </is>
      </c>
      <c r="E281" s="8" t="n">
        <v>44807.25625</v>
      </c>
      <c r="F281" s="7" t="inlineStr">
        <is>
          <t>DOWNLINE</t>
        </is>
      </c>
      <c r="G281" s="18" t="inlineStr">
        <is>
          <t>OP00906</t>
        </is>
      </c>
      <c r="H281" s="19">
        <f>UPPER(Table3[[#This Row],[Agen id]]&amp;"-"&amp;VLOOKUP(Table3[[#This Row],[Agen id]],A:B,2,0)&amp;"("&amp;Table3[[#This Row],[Short]]&amp;")")</f>
        <v/>
      </c>
      <c r="J281" s="7">
        <f>VLOOKUP(Table3[[#This Row],[Agen id]],Agen!A:C,3,0)</f>
        <v/>
      </c>
      <c r="K281" s="37">
        <f>TRIM(LEFT(Table3[[#This Row],[Group]],2))</f>
        <v/>
      </c>
      <c r="L281" s="3" t="inlineStr">
        <is>
          <t>NON SALES</t>
        </is>
      </c>
    </row>
    <row r="282">
      <c r="A282" s="5" t="inlineStr">
        <is>
          <t>OP01760</t>
        </is>
      </c>
      <c r="B282" s="6" t="inlineStr">
        <is>
          <t>Fatoni</t>
        </is>
      </c>
      <c r="C282" s="7" t="inlineStr">
        <is>
          <t>A - Agen</t>
        </is>
      </c>
      <c r="D282" s="1" t="inlineStr">
        <is>
          <t>OP01707</t>
        </is>
      </c>
      <c r="E282" s="8" t="n">
        <v>44807.87638888889</v>
      </c>
      <c r="F282" s="7" t="inlineStr">
        <is>
          <t>DOWNLINE</t>
        </is>
      </c>
      <c r="G282" s="18" t="inlineStr">
        <is>
          <t>OP01707</t>
        </is>
      </c>
      <c r="H282" s="19">
        <f>UPPER(Table3[[#This Row],[Agen id]]&amp;"-"&amp;VLOOKUP(Table3[[#This Row],[Agen id]],A:B,2,0)&amp;"("&amp;Table3[[#This Row],[Short]]&amp;")")</f>
        <v/>
      </c>
      <c r="J282" s="7">
        <f>VLOOKUP(Table3[[#This Row],[Agen id]],Agen!A:C,3,0)</f>
        <v/>
      </c>
      <c r="K282" s="37">
        <f>TRIM(LEFT(Table3[[#This Row],[Group]],2))</f>
        <v/>
      </c>
      <c r="L282" s="3" t="inlineStr">
        <is>
          <t>NON SALES</t>
        </is>
      </c>
    </row>
    <row r="283">
      <c r="A283" s="5" t="inlineStr">
        <is>
          <t>OP01769</t>
        </is>
      </c>
      <c r="B283" s="6" t="inlineStr">
        <is>
          <t>Aripkurniawan</t>
        </is>
      </c>
      <c r="C283" s="7" t="inlineStr">
        <is>
          <t>AV - Agen Verified</t>
        </is>
      </c>
      <c r="D283" s="1" t="inlineStr">
        <is>
          <t>OP00002</t>
        </is>
      </c>
      <c r="E283" s="8" t="n">
        <v>44808.51388888889</v>
      </c>
      <c r="F283" s="7" t="inlineStr">
        <is>
          <t>AGEN</t>
        </is>
      </c>
      <c r="G283" s="18" t="inlineStr">
        <is>
          <t>OP01769</t>
        </is>
      </c>
      <c r="H283" s="19">
        <f>UPPER(Table3[[#This Row],[Agen id]]&amp;"-"&amp;VLOOKUP(Table3[[#This Row],[Agen id]],A:B,2,0)&amp;"("&amp;Table3[[#This Row],[Short]]&amp;")")</f>
        <v/>
      </c>
      <c r="J283" s="7">
        <f>VLOOKUP(Table3[[#This Row],[Agen id]],Agen!A:C,3,0)</f>
        <v/>
      </c>
      <c r="K283" s="37">
        <f>TRIM(LEFT(Table3[[#This Row],[Group]],2))</f>
        <v/>
      </c>
      <c r="L283" s="3" t="inlineStr">
        <is>
          <t>NON SALES</t>
        </is>
      </c>
    </row>
    <row r="284">
      <c r="A284" s="5" t="inlineStr">
        <is>
          <t>OP01777</t>
        </is>
      </c>
      <c r="B284" s="6" t="inlineStr">
        <is>
          <t>DASEP CELL</t>
        </is>
      </c>
      <c r="C284" s="7" t="inlineStr">
        <is>
          <t>A - Agen</t>
        </is>
      </c>
      <c r="D284" s="1" t="inlineStr">
        <is>
          <t>OP00002</t>
        </is>
      </c>
      <c r="E284" s="8" t="n">
        <v>44809.39513888889</v>
      </c>
      <c r="F284" s="7" t="inlineStr">
        <is>
          <t>AGEN</t>
        </is>
      </c>
      <c r="G284" s="18" t="inlineStr">
        <is>
          <t>OP01777</t>
        </is>
      </c>
      <c r="H284" s="19">
        <f>UPPER(Table3[[#This Row],[Agen id]]&amp;"-"&amp;VLOOKUP(Table3[[#This Row],[Agen id]],A:B,2,0)&amp;"("&amp;Table3[[#This Row],[Short]]&amp;")")</f>
        <v/>
      </c>
      <c r="J284" s="7">
        <f>VLOOKUP(Table3[[#This Row],[Agen id]],Agen!A:C,3,0)</f>
        <v/>
      </c>
      <c r="K284" s="37">
        <f>TRIM(LEFT(Table3[[#This Row],[Group]],2))</f>
        <v/>
      </c>
      <c r="L284" s="3" t="inlineStr">
        <is>
          <t>NON SALES</t>
        </is>
      </c>
    </row>
    <row r="285">
      <c r="A285" s="5" t="inlineStr">
        <is>
          <t>OP01780</t>
        </is>
      </c>
      <c r="B285" s="6" t="inlineStr">
        <is>
          <t>Liviesamboh</t>
        </is>
      </c>
      <c r="C285" s="7" t="inlineStr">
        <is>
          <t>A - Agen</t>
        </is>
      </c>
      <c r="D285" s="1" t="inlineStr">
        <is>
          <t>OP00002</t>
        </is>
      </c>
      <c r="E285" s="8" t="n">
        <v>44809.82777777778</v>
      </c>
      <c r="F285" s="7" t="inlineStr">
        <is>
          <t>AGEN</t>
        </is>
      </c>
      <c r="G285" s="18" t="inlineStr">
        <is>
          <t>OP01780</t>
        </is>
      </c>
      <c r="H285" s="19">
        <f>UPPER(Table3[[#This Row],[Agen id]]&amp;"-"&amp;VLOOKUP(Table3[[#This Row],[Agen id]],A:B,2,0)&amp;"("&amp;Table3[[#This Row],[Short]]&amp;")")</f>
        <v/>
      </c>
      <c r="J285" s="7">
        <f>VLOOKUP(Table3[[#This Row],[Agen id]],Agen!A:C,3,0)</f>
        <v/>
      </c>
      <c r="K285" s="37">
        <f>TRIM(LEFT(Table3[[#This Row],[Group]],2))</f>
        <v/>
      </c>
      <c r="L285" s="3" t="inlineStr">
        <is>
          <t>NON SALES</t>
        </is>
      </c>
    </row>
    <row r="286">
      <c r="A286" s="5" t="inlineStr">
        <is>
          <t>OP01793</t>
        </is>
      </c>
      <c r="B286" s="6" t="inlineStr">
        <is>
          <t>Shinta cell2</t>
        </is>
      </c>
      <c r="C286" s="7" t="inlineStr">
        <is>
          <t>AV - Agen Verified</t>
        </is>
      </c>
      <c r="D286" s="1" t="inlineStr">
        <is>
          <t>OP00002</t>
        </is>
      </c>
      <c r="E286" s="8" t="n">
        <v>44811.38541666666</v>
      </c>
      <c r="F286" s="7" t="inlineStr">
        <is>
          <t>DOWNLINE</t>
        </is>
      </c>
      <c r="G286" s="18" t="inlineStr">
        <is>
          <t>OP01562</t>
        </is>
      </c>
      <c r="H286" s="19">
        <f>UPPER(Table3[[#This Row],[Agen id]]&amp;"-"&amp;VLOOKUP(Table3[[#This Row],[Agen id]],A:B,2,0)&amp;"("&amp;Table3[[#This Row],[Short]]&amp;")")</f>
        <v/>
      </c>
      <c r="J286" s="7">
        <f>VLOOKUP(Table3[[#This Row],[Agen id]],Agen!A:C,3,0)</f>
        <v/>
      </c>
      <c r="K286" s="37">
        <f>TRIM(LEFT(Table3[[#This Row],[Group]],2))</f>
        <v/>
      </c>
      <c r="L286" s="3" t="inlineStr">
        <is>
          <t>NON SALES</t>
        </is>
      </c>
    </row>
    <row r="287">
      <c r="A287" s="5" t="inlineStr">
        <is>
          <t>OP01794</t>
        </is>
      </c>
      <c r="B287" s="6" t="inlineStr">
        <is>
          <t>Wans Celuler</t>
        </is>
      </c>
      <c r="C287" s="7" t="inlineStr">
        <is>
          <t>A - Agen</t>
        </is>
      </c>
      <c r="D287" s="1" t="inlineStr">
        <is>
          <t>OP00002</t>
        </is>
      </c>
      <c r="E287" s="8" t="n">
        <v>44811.42291666667</v>
      </c>
      <c r="F287" s="7" t="inlineStr">
        <is>
          <t>AGEN</t>
        </is>
      </c>
      <c r="G287" s="18" t="inlineStr">
        <is>
          <t>OP01794</t>
        </is>
      </c>
      <c r="H287" s="19">
        <f>UPPER(Table3[[#This Row],[Agen id]]&amp;"-"&amp;VLOOKUP(Table3[[#This Row],[Agen id]],A:B,2,0)&amp;"("&amp;Table3[[#This Row],[Short]]&amp;")")</f>
        <v/>
      </c>
      <c r="J287" s="7">
        <f>VLOOKUP(Table3[[#This Row],[Agen id]],Agen!A:C,3,0)</f>
        <v/>
      </c>
      <c r="K287" s="37">
        <f>TRIM(LEFT(Table3[[#This Row],[Group]],2))</f>
        <v/>
      </c>
      <c r="L287" s="3" t="inlineStr">
        <is>
          <t>NON SALES</t>
        </is>
      </c>
    </row>
    <row r="288">
      <c r="A288" s="5" t="inlineStr">
        <is>
          <t>OP01799</t>
        </is>
      </c>
      <c r="B288" s="6" t="inlineStr">
        <is>
          <t>Konter berkah berbagi</t>
        </is>
      </c>
      <c r="C288" s="7" t="inlineStr">
        <is>
          <t>A - Agen</t>
        </is>
      </c>
      <c r="D288" s="1" t="inlineStr">
        <is>
          <t>OP00002</t>
        </is>
      </c>
      <c r="E288" s="8" t="n">
        <v>44811.63402777778</v>
      </c>
      <c r="F288" s="7" t="inlineStr">
        <is>
          <t>AGEN</t>
        </is>
      </c>
      <c r="G288" s="18" t="inlineStr">
        <is>
          <t>OP01799</t>
        </is>
      </c>
      <c r="H288" s="19">
        <f>UPPER(Table3[[#This Row],[Agen id]]&amp;"-"&amp;VLOOKUP(Table3[[#This Row],[Agen id]],A:B,2,0)&amp;"("&amp;Table3[[#This Row],[Short]]&amp;")")</f>
        <v/>
      </c>
      <c r="J288" s="7">
        <f>VLOOKUP(Table3[[#This Row],[Agen id]],Agen!A:C,3,0)</f>
        <v/>
      </c>
      <c r="K288" s="37">
        <f>TRIM(LEFT(Table3[[#This Row],[Group]],2))</f>
        <v/>
      </c>
      <c r="L288" s="3" t="inlineStr">
        <is>
          <t>NON SALES</t>
        </is>
      </c>
    </row>
    <row r="289">
      <c r="A289" s="5" t="inlineStr">
        <is>
          <t>OP01803</t>
        </is>
      </c>
      <c r="B289" s="6" t="inlineStr">
        <is>
          <t>Wawan karnawan</t>
        </is>
      </c>
      <c r="C289" s="7" t="inlineStr">
        <is>
          <t>A - Agen</t>
        </is>
      </c>
      <c r="D289" s="1" t="inlineStr">
        <is>
          <t>OP00002</t>
        </is>
      </c>
      <c r="E289" s="8" t="n">
        <v>44811.72291666667</v>
      </c>
      <c r="F289" s="7" t="inlineStr">
        <is>
          <t>AGEN</t>
        </is>
      </c>
      <c r="G289" s="18" t="inlineStr">
        <is>
          <t>OP01803</t>
        </is>
      </c>
      <c r="H289" s="19">
        <f>UPPER(Table3[[#This Row],[Agen id]]&amp;"-"&amp;VLOOKUP(Table3[[#This Row],[Agen id]],A:B,2,0)&amp;"("&amp;Table3[[#This Row],[Short]]&amp;")")</f>
        <v/>
      </c>
      <c r="J289" s="7">
        <f>VLOOKUP(Table3[[#This Row],[Agen id]],Agen!A:C,3,0)</f>
        <v/>
      </c>
      <c r="K289" s="37">
        <f>TRIM(LEFT(Table3[[#This Row],[Group]],2))</f>
        <v/>
      </c>
      <c r="L289" s="3" t="inlineStr">
        <is>
          <t>NON SALES</t>
        </is>
      </c>
    </row>
    <row r="290">
      <c r="A290" s="5" t="inlineStr">
        <is>
          <t>OP01804</t>
        </is>
      </c>
      <c r="B290" s="6" t="inlineStr">
        <is>
          <t>Rozi Cell</t>
        </is>
      </c>
      <c r="C290" s="7" t="inlineStr">
        <is>
          <t>AV - Agen Verified</t>
        </is>
      </c>
      <c r="D290" s="1" t="inlineStr">
        <is>
          <t>OP00002</t>
        </is>
      </c>
      <c r="E290" s="8" t="n">
        <v>44811.72916666666</v>
      </c>
      <c r="F290" s="7" t="inlineStr">
        <is>
          <t>AGEN</t>
        </is>
      </c>
      <c r="G290" s="18" t="inlineStr">
        <is>
          <t>OP01804</t>
        </is>
      </c>
      <c r="H290" s="19">
        <f>UPPER(Table3[[#This Row],[Agen id]]&amp;"-"&amp;VLOOKUP(Table3[[#This Row],[Agen id]],A:B,2,0)&amp;"("&amp;Table3[[#This Row],[Short]]&amp;")")</f>
        <v/>
      </c>
      <c r="J290" s="7">
        <f>VLOOKUP(Table3[[#This Row],[Agen id]],Agen!A:C,3,0)</f>
        <v/>
      </c>
      <c r="K290" s="37">
        <f>TRIM(LEFT(Table3[[#This Row],[Group]],2))</f>
        <v/>
      </c>
      <c r="L290" s="3" t="inlineStr">
        <is>
          <t>NON SALES</t>
        </is>
      </c>
    </row>
    <row r="291">
      <c r="A291" s="5" t="inlineStr">
        <is>
          <t>OP01817</t>
        </is>
      </c>
      <c r="B291" s="6" t="inlineStr">
        <is>
          <t>PUTERI TIPTOP</t>
        </is>
      </c>
      <c r="C291" s="7" t="inlineStr">
        <is>
          <t>A - Agen</t>
        </is>
      </c>
      <c r="D291" s="1" t="inlineStr">
        <is>
          <t>OP00002</t>
        </is>
      </c>
      <c r="E291" s="8" t="n">
        <v>44812.09652777778</v>
      </c>
      <c r="F291" s="7" t="inlineStr">
        <is>
          <t>AGEN</t>
        </is>
      </c>
      <c r="G291" s="18" t="inlineStr">
        <is>
          <t>OP01817</t>
        </is>
      </c>
      <c r="H291" s="19">
        <f>UPPER(Table3[[#This Row],[Agen id]]&amp;"-"&amp;VLOOKUP(Table3[[#This Row],[Agen id]],A:B,2,0)&amp;"("&amp;Table3[[#This Row],[Short]]&amp;")")</f>
        <v/>
      </c>
      <c r="J291" s="7">
        <f>VLOOKUP(Table3[[#This Row],[Agen id]],Agen!A:C,3,0)</f>
        <v/>
      </c>
      <c r="K291" s="37">
        <f>TRIM(LEFT(Table3[[#This Row],[Group]],2))</f>
        <v/>
      </c>
      <c r="L291" s="3" t="inlineStr">
        <is>
          <t>NON SALES</t>
        </is>
      </c>
    </row>
    <row r="292">
      <c r="A292" s="13" t="inlineStr">
        <is>
          <t>OP01827</t>
        </is>
      </c>
      <c r="B292" s="6" t="inlineStr">
        <is>
          <t>AHMAD CARD</t>
        </is>
      </c>
      <c r="C292" s="7" t="inlineStr">
        <is>
          <t>MK - Marketing</t>
        </is>
      </c>
      <c r="D292" s="1" t="inlineStr">
        <is>
          <t>OP00002</t>
        </is>
      </c>
      <c r="E292" s="8" t="n">
        <v>44812.47569444445</v>
      </c>
      <c r="F292" s="7" t="inlineStr">
        <is>
          <t>AGEN</t>
        </is>
      </c>
      <c r="G292" s="18" t="inlineStr">
        <is>
          <t>OP01827</t>
        </is>
      </c>
      <c r="H292" s="19">
        <f>UPPER(Table3[[#This Row],[Agen id]]&amp;"-"&amp;VLOOKUP(Table3[[#This Row],[Agen id]],A:B,2,0)&amp;"("&amp;Table3[[#This Row],[Short]]&amp;")")</f>
        <v/>
      </c>
      <c r="J292" s="7">
        <f>VLOOKUP(Table3[[#This Row],[Agen id]],Agen!A:C,3,0)</f>
        <v/>
      </c>
      <c r="K292" s="37">
        <f>TRIM(LEFT(Table3[[#This Row],[Group]],2))</f>
        <v/>
      </c>
      <c r="L292" s="3" t="inlineStr">
        <is>
          <t>NON SALES</t>
        </is>
      </c>
    </row>
    <row r="293">
      <c r="A293" s="5" t="inlineStr">
        <is>
          <t>OP01831</t>
        </is>
      </c>
      <c r="B293" s="6" t="inlineStr">
        <is>
          <t>Khorin</t>
        </is>
      </c>
      <c r="C293" s="7" t="inlineStr">
        <is>
          <t>AV - Agen Verified</t>
        </is>
      </c>
      <c r="D293" s="1" t="inlineStr">
        <is>
          <t>OP00002</t>
        </is>
      </c>
      <c r="E293" s="8" t="n">
        <v>44812.78263888889</v>
      </c>
      <c r="F293" s="7" t="inlineStr">
        <is>
          <t>AGEN</t>
        </is>
      </c>
      <c r="G293" s="18" t="inlineStr">
        <is>
          <t>OP01831</t>
        </is>
      </c>
      <c r="H293" s="19">
        <f>UPPER(Table3[[#This Row],[Agen id]]&amp;"-"&amp;VLOOKUP(Table3[[#This Row],[Agen id]],A:B,2,0)&amp;"("&amp;Table3[[#This Row],[Short]]&amp;")")</f>
        <v/>
      </c>
      <c r="J293" s="7">
        <f>VLOOKUP(Table3[[#This Row],[Agen id]],Agen!A:C,3,0)</f>
        <v/>
      </c>
      <c r="K293" s="37">
        <f>TRIM(LEFT(Table3[[#This Row],[Group]],2))</f>
        <v/>
      </c>
      <c r="L293" s="3" t="inlineStr">
        <is>
          <t>NON SALES</t>
        </is>
      </c>
    </row>
    <row r="294">
      <c r="A294" s="5" t="inlineStr">
        <is>
          <t>OP01837</t>
        </is>
      </c>
      <c r="B294" s="6" t="inlineStr">
        <is>
          <t>Rudy Reload</t>
        </is>
      </c>
      <c r="C294" s="7" t="inlineStr">
        <is>
          <t>MK - Marketing</t>
        </is>
      </c>
      <c r="D294" s="1" t="inlineStr">
        <is>
          <t>OP00002</t>
        </is>
      </c>
      <c r="E294" s="8" t="n">
        <v>44813.38472222222</v>
      </c>
      <c r="F294" s="7" t="inlineStr">
        <is>
          <t>AGEN</t>
        </is>
      </c>
      <c r="G294" s="18" t="inlineStr">
        <is>
          <t>OP01837</t>
        </is>
      </c>
      <c r="H294" s="19">
        <f>UPPER(Table3[[#This Row],[Agen id]]&amp;"-"&amp;VLOOKUP(Table3[[#This Row],[Agen id]],A:B,2,0)&amp;"("&amp;Table3[[#This Row],[Short]]&amp;")")</f>
        <v/>
      </c>
      <c r="J294" s="7">
        <f>VLOOKUP(Table3[[#This Row],[Agen id]],Agen!A:C,3,0)</f>
        <v/>
      </c>
      <c r="K294" s="37">
        <f>TRIM(LEFT(Table3[[#This Row],[Group]],2))</f>
        <v/>
      </c>
      <c r="L294" s="3" t="inlineStr">
        <is>
          <t>NON SALES</t>
        </is>
      </c>
    </row>
    <row r="295">
      <c r="A295" s="5" t="inlineStr">
        <is>
          <t>OP01840</t>
        </is>
      </c>
      <c r="B295" s="6" t="inlineStr">
        <is>
          <t>Adrius</t>
        </is>
      </c>
      <c r="C295" s="7" t="inlineStr">
        <is>
          <t>MK - Marketing</t>
        </is>
      </c>
      <c r="D295" s="1" t="inlineStr">
        <is>
          <t>OP00002</t>
        </is>
      </c>
      <c r="E295" s="8" t="n">
        <v>44813.39236111111</v>
      </c>
      <c r="F295" s="7" t="inlineStr">
        <is>
          <t>AGEN</t>
        </is>
      </c>
      <c r="G295" s="18" t="inlineStr">
        <is>
          <t>OP01840</t>
        </is>
      </c>
      <c r="H295" s="19">
        <f>UPPER(Table3[[#This Row],[Agen id]]&amp;"-"&amp;VLOOKUP(Table3[[#This Row],[Agen id]],A:B,2,0)&amp;"("&amp;Table3[[#This Row],[Short]]&amp;")")</f>
        <v/>
      </c>
      <c r="J295" s="7">
        <f>VLOOKUP(Table3[[#This Row],[Agen id]],Agen!A:C,3,0)</f>
        <v/>
      </c>
      <c r="K295" s="37">
        <f>TRIM(LEFT(Table3[[#This Row],[Group]],2))</f>
        <v/>
      </c>
      <c r="L295" s="3" t="inlineStr">
        <is>
          <t>NON SALES</t>
        </is>
      </c>
    </row>
    <row r="296">
      <c r="A296" s="13" t="inlineStr">
        <is>
          <t>OP01842</t>
        </is>
      </c>
      <c r="B296" s="6" t="inlineStr">
        <is>
          <t>Widodo</t>
        </is>
      </c>
      <c r="C296" s="7" t="inlineStr">
        <is>
          <t>MK - Marketing</t>
        </is>
      </c>
      <c r="D296" s="1" t="inlineStr">
        <is>
          <t>OP00002</t>
        </is>
      </c>
      <c r="E296" s="8" t="n">
        <v>44813.39305555556</v>
      </c>
      <c r="F296" s="7" t="inlineStr">
        <is>
          <t>AGEN</t>
        </is>
      </c>
      <c r="G296" s="18" t="inlineStr">
        <is>
          <t>OP01842</t>
        </is>
      </c>
      <c r="H296" s="19">
        <f>UPPER(Table3[[#This Row],[Agen id]]&amp;"-"&amp;VLOOKUP(Table3[[#This Row],[Agen id]],A:B,2,0)&amp;"("&amp;Table3[[#This Row],[Short]]&amp;")")</f>
        <v/>
      </c>
      <c r="J296" s="7">
        <f>VLOOKUP(Table3[[#This Row],[Agen id]],Agen!A:C,3,0)</f>
        <v/>
      </c>
      <c r="K296" s="37">
        <f>TRIM(LEFT(Table3[[#This Row],[Group]],2))</f>
        <v/>
      </c>
      <c r="L296" s="3" t="inlineStr">
        <is>
          <t>NON SALES</t>
        </is>
      </c>
    </row>
    <row r="297">
      <c r="A297" s="5" t="inlineStr">
        <is>
          <t>OP01843</t>
        </is>
      </c>
      <c r="B297" s="6" t="inlineStr">
        <is>
          <t>Ianbond</t>
        </is>
      </c>
      <c r="C297" s="7" t="inlineStr">
        <is>
          <t>A - Agen</t>
        </is>
      </c>
      <c r="D297" s="1" t="inlineStr">
        <is>
          <t>OP00002</t>
        </is>
      </c>
      <c r="E297" s="8" t="n">
        <v>44813.39722222222</v>
      </c>
      <c r="F297" s="7" t="inlineStr">
        <is>
          <t>AGEN</t>
        </is>
      </c>
      <c r="G297" s="18" t="inlineStr">
        <is>
          <t>OP01843</t>
        </is>
      </c>
      <c r="H297" s="19">
        <f>UPPER(Table3[[#This Row],[Agen id]]&amp;"-"&amp;VLOOKUP(Table3[[#This Row],[Agen id]],A:B,2,0)&amp;"("&amp;Table3[[#This Row],[Short]]&amp;")")</f>
        <v/>
      </c>
      <c r="J297" s="7">
        <f>VLOOKUP(Table3[[#This Row],[Agen id]],Agen!A:C,3,0)</f>
        <v/>
      </c>
      <c r="K297" s="37">
        <f>TRIM(LEFT(Table3[[#This Row],[Group]],2))</f>
        <v/>
      </c>
      <c r="L297" s="3" t="inlineStr">
        <is>
          <t>NON SALES</t>
        </is>
      </c>
    </row>
    <row r="298">
      <c r="A298" s="5" t="inlineStr">
        <is>
          <t>OP01847</t>
        </is>
      </c>
      <c r="B298" s="6" t="inlineStr">
        <is>
          <t>Wendra</t>
        </is>
      </c>
      <c r="C298" s="7" t="inlineStr">
        <is>
          <t>A - Agen</t>
        </is>
      </c>
      <c r="D298" s="1" t="inlineStr">
        <is>
          <t>OP00002</t>
        </is>
      </c>
      <c r="E298" s="8" t="n">
        <v>44813.48819444444</v>
      </c>
      <c r="F298" s="7" t="inlineStr">
        <is>
          <t>AGEN</t>
        </is>
      </c>
      <c r="G298" s="18" t="inlineStr">
        <is>
          <t>OP01847</t>
        </is>
      </c>
      <c r="H298" s="19">
        <f>UPPER(Table3[[#This Row],[Agen id]]&amp;"-"&amp;VLOOKUP(Table3[[#This Row],[Agen id]],A:B,2,0)&amp;"("&amp;Table3[[#This Row],[Short]]&amp;")")</f>
        <v/>
      </c>
      <c r="J298" s="7">
        <f>VLOOKUP(Table3[[#This Row],[Agen id]],Agen!A:C,3,0)</f>
        <v/>
      </c>
      <c r="K298" s="37">
        <f>TRIM(LEFT(Table3[[#This Row],[Group]],2))</f>
        <v/>
      </c>
      <c r="L298" s="3" t="inlineStr">
        <is>
          <t>NON SALES</t>
        </is>
      </c>
    </row>
    <row r="299">
      <c r="A299" s="5" t="inlineStr">
        <is>
          <t>OP01854</t>
        </is>
      </c>
      <c r="B299" s="6" t="inlineStr">
        <is>
          <t>luxs Ponsel</t>
        </is>
      </c>
      <c r="C299" s="7" t="inlineStr">
        <is>
          <t>AV - Agen Verified</t>
        </is>
      </c>
      <c r="D299" s="1" t="inlineStr">
        <is>
          <t>OP01689</t>
        </is>
      </c>
      <c r="E299" s="8" t="n">
        <v>44813.71458333333</v>
      </c>
      <c r="F299" s="7" t="inlineStr">
        <is>
          <t>DOWNLINE</t>
        </is>
      </c>
      <c r="G299" s="18" t="inlineStr">
        <is>
          <t>OP01689</t>
        </is>
      </c>
      <c r="H299" s="19">
        <f>UPPER(Table3[[#This Row],[Agen id]]&amp;"-"&amp;VLOOKUP(Table3[[#This Row],[Agen id]],A:B,2,0)&amp;"("&amp;Table3[[#This Row],[Short]]&amp;")")</f>
        <v/>
      </c>
      <c r="J299" s="7">
        <f>VLOOKUP(Table3[[#This Row],[Agen id]],Agen!A:C,3,0)</f>
        <v/>
      </c>
      <c r="K299" s="37">
        <f>TRIM(LEFT(Table3[[#This Row],[Group]],2))</f>
        <v/>
      </c>
      <c r="L299" s="3" t="inlineStr">
        <is>
          <t>NON SALES</t>
        </is>
      </c>
    </row>
    <row r="300">
      <c r="A300" s="5" t="inlineStr">
        <is>
          <t>OP01860</t>
        </is>
      </c>
      <c r="B300" s="6" t="inlineStr">
        <is>
          <t>SATIMIN</t>
        </is>
      </c>
      <c r="C300" s="7" t="inlineStr">
        <is>
          <t>A - Agen</t>
        </is>
      </c>
      <c r="D300" s="1" t="inlineStr">
        <is>
          <t>OP00002</t>
        </is>
      </c>
      <c r="E300" s="8" t="n">
        <v>44814.5375</v>
      </c>
      <c r="F300" s="7" t="inlineStr">
        <is>
          <t>AGEN</t>
        </is>
      </c>
      <c r="G300" s="18" t="inlineStr">
        <is>
          <t>OP01860</t>
        </is>
      </c>
      <c r="H300" s="19">
        <f>UPPER(Table3[[#This Row],[Agen id]]&amp;"-"&amp;VLOOKUP(Table3[[#This Row],[Agen id]],A:B,2,0)&amp;"("&amp;Table3[[#This Row],[Short]]&amp;")")</f>
        <v/>
      </c>
      <c r="J300" s="7">
        <f>VLOOKUP(Table3[[#This Row],[Agen id]],Agen!A:C,3,0)</f>
        <v/>
      </c>
      <c r="K300" s="37">
        <f>TRIM(LEFT(Table3[[#This Row],[Group]],2))</f>
        <v/>
      </c>
      <c r="L300" s="3" t="inlineStr">
        <is>
          <t>NON SALES</t>
        </is>
      </c>
    </row>
    <row r="301">
      <c r="A301" s="5" t="inlineStr">
        <is>
          <t>OP01862</t>
        </is>
      </c>
      <c r="B301" s="6" t="inlineStr">
        <is>
          <t>Widhi asmoro jati</t>
        </is>
      </c>
      <c r="C301" s="7" t="inlineStr">
        <is>
          <t>AV - Agen Verified</t>
        </is>
      </c>
      <c r="D301" s="1" t="inlineStr">
        <is>
          <t>OP00002</t>
        </is>
      </c>
      <c r="E301" s="8" t="n">
        <v>44814.59166666667</v>
      </c>
      <c r="F301" s="7" t="inlineStr">
        <is>
          <t>AGEN</t>
        </is>
      </c>
      <c r="G301" s="18" t="inlineStr">
        <is>
          <t>OP01862</t>
        </is>
      </c>
      <c r="H301" s="19">
        <f>UPPER(Table3[[#This Row],[Agen id]]&amp;"-"&amp;VLOOKUP(Table3[[#This Row],[Agen id]],A:B,2,0)&amp;"("&amp;Table3[[#This Row],[Short]]&amp;")")</f>
        <v/>
      </c>
      <c r="J301" s="7">
        <f>VLOOKUP(Table3[[#This Row],[Agen id]],Agen!A:C,3,0)</f>
        <v/>
      </c>
      <c r="K301" s="37">
        <f>TRIM(LEFT(Table3[[#This Row],[Group]],2))</f>
        <v/>
      </c>
      <c r="L301" s="3" t="inlineStr">
        <is>
          <t>NON SALES</t>
        </is>
      </c>
    </row>
    <row r="302">
      <c r="A302" s="5" t="inlineStr">
        <is>
          <t>OP01868</t>
        </is>
      </c>
      <c r="B302" s="6" t="inlineStr">
        <is>
          <t>MAil</t>
        </is>
      </c>
      <c r="C302" s="7" t="inlineStr">
        <is>
          <t>A - Agen</t>
        </is>
      </c>
      <c r="D302" s="1" t="inlineStr">
        <is>
          <t>OP00002</t>
        </is>
      </c>
      <c r="E302" s="8" t="n">
        <v>44814.75763888889</v>
      </c>
      <c r="F302" s="7" t="inlineStr">
        <is>
          <t>AGEN</t>
        </is>
      </c>
      <c r="G302" s="18" t="inlineStr">
        <is>
          <t>OP01868</t>
        </is>
      </c>
      <c r="H302" s="19">
        <f>UPPER(Table3[[#This Row],[Agen id]]&amp;"-"&amp;VLOOKUP(Table3[[#This Row],[Agen id]],A:B,2,0)&amp;"("&amp;Table3[[#This Row],[Short]]&amp;")")</f>
        <v/>
      </c>
      <c r="J302" s="7">
        <f>VLOOKUP(Table3[[#This Row],[Agen id]],Agen!A:C,3,0)</f>
        <v/>
      </c>
      <c r="K302" s="37">
        <f>TRIM(LEFT(Table3[[#This Row],[Group]],2))</f>
        <v/>
      </c>
      <c r="L302" s="3" t="inlineStr">
        <is>
          <t>NON SALES</t>
        </is>
      </c>
    </row>
    <row r="303">
      <c r="A303" s="5" t="inlineStr">
        <is>
          <t>OP01876</t>
        </is>
      </c>
      <c r="B303" s="6" t="inlineStr">
        <is>
          <t>Mustaqim</t>
        </is>
      </c>
      <c r="C303" s="7" t="inlineStr">
        <is>
          <t>A - Agen</t>
        </is>
      </c>
      <c r="D303" s="1" t="inlineStr">
        <is>
          <t>OP00002</t>
        </is>
      </c>
      <c r="E303" s="8" t="n">
        <v>44815.01180555556</v>
      </c>
      <c r="F303" s="7" t="inlineStr">
        <is>
          <t>AGEN</t>
        </is>
      </c>
      <c r="G303" s="18" t="inlineStr">
        <is>
          <t>OP01876</t>
        </is>
      </c>
      <c r="H303" s="19">
        <f>UPPER(Table3[[#This Row],[Agen id]]&amp;"-"&amp;VLOOKUP(Table3[[#This Row],[Agen id]],A:B,2,0)&amp;"("&amp;Table3[[#This Row],[Short]]&amp;")")</f>
        <v/>
      </c>
      <c r="J303" s="7">
        <f>VLOOKUP(Table3[[#This Row],[Agen id]],Agen!A:C,3,0)</f>
        <v/>
      </c>
      <c r="K303" s="37">
        <f>TRIM(LEFT(Table3[[#This Row],[Group]],2))</f>
        <v/>
      </c>
      <c r="L303" s="3" t="inlineStr">
        <is>
          <t>NON SALES</t>
        </is>
      </c>
    </row>
    <row r="304">
      <c r="A304" s="5" t="inlineStr">
        <is>
          <t>OP01877</t>
        </is>
      </c>
      <c r="B304" s="6" t="inlineStr">
        <is>
          <t>ANDRE</t>
        </is>
      </c>
      <c r="C304" s="7" t="inlineStr">
        <is>
          <t>A - Agen</t>
        </is>
      </c>
      <c r="D304" s="1" t="inlineStr">
        <is>
          <t>OP00002</t>
        </is>
      </c>
      <c r="E304" s="8" t="n">
        <v>44815.03263888889</v>
      </c>
      <c r="F304" s="7" t="inlineStr">
        <is>
          <t>AGEN</t>
        </is>
      </c>
      <c r="G304" s="18" t="inlineStr">
        <is>
          <t>OP01877</t>
        </is>
      </c>
      <c r="H304" s="19">
        <f>UPPER(Table3[[#This Row],[Agen id]]&amp;"-"&amp;VLOOKUP(Table3[[#This Row],[Agen id]],A:B,2,0)&amp;"("&amp;Table3[[#This Row],[Short]]&amp;")")</f>
        <v/>
      </c>
      <c r="J304" s="7">
        <f>VLOOKUP(Table3[[#This Row],[Agen id]],Agen!A:C,3,0)</f>
        <v/>
      </c>
      <c r="K304" s="37">
        <f>TRIM(LEFT(Table3[[#This Row],[Group]],2))</f>
        <v/>
      </c>
      <c r="L304" s="3" t="inlineStr">
        <is>
          <t>NON SALES</t>
        </is>
      </c>
    </row>
    <row r="305">
      <c r="A305" s="5" t="inlineStr">
        <is>
          <t>OP01887</t>
        </is>
      </c>
      <c r="B305" s="6" t="inlineStr">
        <is>
          <t>Gavima Cell</t>
        </is>
      </c>
      <c r="C305" s="7" t="inlineStr">
        <is>
          <t>AV - Agen Verified</t>
        </is>
      </c>
      <c r="D305" s="1" t="inlineStr">
        <is>
          <t>OP01562</t>
        </is>
      </c>
      <c r="E305" s="8" t="n">
        <v>44816.56875</v>
      </c>
      <c r="F305" s="7" t="inlineStr">
        <is>
          <t>DOWNLINE</t>
        </is>
      </c>
      <c r="G305" s="18" t="inlineStr">
        <is>
          <t>OP01562</t>
        </is>
      </c>
      <c r="H305" s="19">
        <f>UPPER(Table3[[#This Row],[Agen id]]&amp;"-"&amp;VLOOKUP(Table3[[#This Row],[Agen id]],A:B,2,0)&amp;"("&amp;Table3[[#This Row],[Short]]&amp;")")</f>
        <v/>
      </c>
      <c r="J305" s="7">
        <f>VLOOKUP(Table3[[#This Row],[Agen id]],Agen!A:C,3,0)</f>
        <v/>
      </c>
      <c r="K305" s="37">
        <f>TRIM(LEFT(Table3[[#This Row],[Group]],2))</f>
        <v/>
      </c>
      <c r="L305" s="3" t="inlineStr">
        <is>
          <t>NON SALES</t>
        </is>
      </c>
    </row>
    <row r="306">
      <c r="A306" s="5" t="inlineStr">
        <is>
          <t>OP01890</t>
        </is>
      </c>
      <c r="B306" s="6" t="inlineStr">
        <is>
          <t>FAKHRIE CELL</t>
        </is>
      </c>
      <c r="C306" s="7" t="inlineStr">
        <is>
          <t>A - Agen</t>
        </is>
      </c>
      <c r="D306" s="1" t="inlineStr">
        <is>
          <t>OP01827</t>
        </is>
      </c>
      <c r="E306" s="8" t="n">
        <v>44817.67291666667</v>
      </c>
      <c r="F306" s="7" t="inlineStr">
        <is>
          <t>DOWNLINE</t>
        </is>
      </c>
      <c r="G306" s="18" t="inlineStr">
        <is>
          <t>OP01827</t>
        </is>
      </c>
      <c r="H306" s="19">
        <f>UPPER(Table3[[#This Row],[Agen id]]&amp;"-"&amp;VLOOKUP(Table3[[#This Row],[Agen id]],A:B,2,0)&amp;"("&amp;Table3[[#This Row],[Short]]&amp;")")</f>
        <v/>
      </c>
      <c r="J306" s="7">
        <f>VLOOKUP(Table3[[#This Row],[Agen id]],Agen!A:C,3,0)</f>
        <v/>
      </c>
      <c r="K306" s="37">
        <f>TRIM(LEFT(Table3[[#This Row],[Group]],2))</f>
        <v/>
      </c>
      <c r="L306" s="3" t="inlineStr">
        <is>
          <t>NON SALES</t>
        </is>
      </c>
    </row>
    <row r="307">
      <c r="A307" s="5" t="inlineStr">
        <is>
          <t>OP01892</t>
        </is>
      </c>
      <c r="B307" s="6" t="inlineStr">
        <is>
          <t>Fatim</t>
        </is>
      </c>
      <c r="C307" s="7" t="inlineStr">
        <is>
          <t>A - Agen</t>
        </is>
      </c>
      <c r="D307" s="1" t="inlineStr">
        <is>
          <t>OP00002</t>
        </is>
      </c>
      <c r="E307" s="8" t="n">
        <v>44817.75416666667</v>
      </c>
      <c r="F307" s="7" t="inlineStr">
        <is>
          <t>AGEN</t>
        </is>
      </c>
      <c r="G307" s="18" t="inlineStr">
        <is>
          <t>OP01892</t>
        </is>
      </c>
      <c r="H307" s="19">
        <f>UPPER(Table3[[#This Row],[Agen id]]&amp;"-"&amp;VLOOKUP(Table3[[#This Row],[Agen id]],A:B,2,0)&amp;"("&amp;Table3[[#This Row],[Short]]&amp;")")</f>
        <v/>
      </c>
      <c r="J307" s="7">
        <f>VLOOKUP(Table3[[#This Row],[Agen id]],Agen!A:C,3,0)</f>
        <v/>
      </c>
      <c r="K307" s="37">
        <f>TRIM(LEFT(Table3[[#This Row],[Group]],2))</f>
        <v/>
      </c>
      <c r="L307" s="3" t="inlineStr">
        <is>
          <t>NON SALES</t>
        </is>
      </c>
    </row>
    <row r="308">
      <c r="A308" s="5" t="inlineStr">
        <is>
          <t>OP01911</t>
        </is>
      </c>
      <c r="B308" s="6" t="inlineStr">
        <is>
          <t>paspulsa</t>
        </is>
      </c>
      <c r="C308" s="7" t="inlineStr">
        <is>
          <t>A - Agen</t>
        </is>
      </c>
      <c r="D308" s="1" t="inlineStr">
        <is>
          <t>OP00002</t>
        </is>
      </c>
      <c r="E308" s="8" t="n">
        <v>44818.37222222222</v>
      </c>
      <c r="F308" s="7" t="inlineStr">
        <is>
          <t>AGEN</t>
        </is>
      </c>
      <c r="G308" s="18" t="inlineStr">
        <is>
          <t>OP01911</t>
        </is>
      </c>
      <c r="H308" s="19">
        <f>UPPER(Table3[[#This Row],[Agen id]]&amp;"-"&amp;VLOOKUP(Table3[[#This Row],[Agen id]],A:B,2,0)&amp;"("&amp;Table3[[#This Row],[Short]]&amp;")")</f>
        <v/>
      </c>
      <c r="J308" s="7">
        <f>VLOOKUP(Table3[[#This Row],[Agen id]],Agen!A:C,3,0)</f>
        <v/>
      </c>
      <c r="K308" s="37">
        <f>TRIM(LEFT(Table3[[#This Row],[Group]],2))</f>
        <v/>
      </c>
      <c r="L308" s="3" t="inlineStr">
        <is>
          <t>NON SALES</t>
        </is>
      </c>
    </row>
    <row r="309">
      <c r="A309" s="5" t="inlineStr">
        <is>
          <t>OP01914</t>
        </is>
      </c>
      <c r="B309" s="6" t="inlineStr">
        <is>
          <t>iyan triyana</t>
        </is>
      </c>
      <c r="C309" s="7" t="inlineStr">
        <is>
          <t>AV - Agen Verified</t>
        </is>
      </c>
      <c r="D309" s="1" t="inlineStr">
        <is>
          <t>OP00002</t>
        </is>
      </c>
      <c r="E309" s="8" t="n">
        <v>44818.4125</v>
      </c>
      <c r="F309" s="7" t="inlineStr">
        <is>
          <t>AGEN</t>
        </is>
      </c>
      <c r="G309" s="18" t="inlineStr">
        <is>
          <t>OP01914</t>
        </is>
      </c>
      <c r="H309" s="19">
        <f>UPPER(Table3[[#This Row],[Agen id]]&amp;"-"&amp;VLOOKUP(Table3[[#This Row],[Agen id]],A:B,2,0)&amp;"("&amp;Table3[[#This Row],[Short]]&amp;")")</f>
        <v/>
      </c>
      <c r="J309" s="7">
        <f>VLOOKUP(Table3[[#This Row],[Agen id]],Agen!A:C,3,0)</f>
        <v/>
      </c>
      <c r="K309" s="37">
        <f>TRIM(LEFT(Table3[[#This Row],[Group]],2))</f>
        <v/>
      </c>
      <c r="L309" s="3" t="inlineStr">
        <is>
          <t>NON SALES</t>
        </is>
      </c>
    </row>
    <row r="310">
      <c r="A310" s="5" t="inlineStr">
        <is>
          <t>OP01916</t>
        </is>
      </c>
      <c r="B310" s="6" t="inlineStr">
        <is>
          <t>Nanang kosim</t>
        </is>
      </c>
      <c r="C310" s="7" t="inlineStr">
        <is>
          <t>A - Agen</t>
        </is>
      </c>
      <c r="D310" s="1" t="inlineStr">
        <is>
          <t>OP00996</t>
        </is>
      </c>
      <c r="E310" s="8" t="n">
        <v>44818.42847222222</v>
      </c>
      <c r="F310" s="7" t="inlineStr">
        <is>
          <t>DOWNLINE</t>
        </is>
      </c>
      <c r="G310" s="18" t="inlineStr">
        <is>
          <t>OP00996</t>
        </is>
      </c>
      <c r="H310" s="19">
        <f>UPPER(Table3[[#This Row],[Agen id]]&amp;"-"&amp;VLOOKUP(Table3[[#This Row],[Agen id]],A:B,2,0)&amp;"("&amp;Table3[[#This Row],[Short]]&amp;")")</f>
        <v/>
      </c>
      <c r="J310" s="7">
        <f>VLOOKUP(Table3[[#This Row],[Agen id]],Agen!A:C,3,0)</f>
        <v/>
      </c>
      <c r="K310" s="37">
        <f>TRIM(LEFT(Table3[[#This Row],[Group]],2))</f>
        <v/>
      </c>
      <c r="L310" s="3" t="inlineStr">
        <is>
          <t>NON SALES</t>
        </is>
      </c>
    </row>
    <row r="311">
      <c r="A311" s="5" t="inlineStr">
        <is>
          <t>OP01928</t>
        </is>
      </c>
      <c r="B311" s="6" t="inlineStr">
        <is>
          <t>KIOS BERKAT</t>
        </is>
      </c>
      <c r="C311" s="7" t="inlineStr">
        <is>
          <t>MK - Marketing</t>
        </is>
      </c>
      <c r="D311" s="1" t="inlineStr">
        <is>
          <t>OP00002</t>
        </is>
      </c>
      <c r="E311" s="8" t="n">
        <v>44818.68055555555</v>
      </c>
      <c r="F311" s="7" t="inlineStr">
        <is>
          <t>AGEN</t>
        </is>
      </c>
      <c r="G311" s="18" t="inlineStr">
        <is>
          <t>OP01928</t>
        </is>
      </c>
      <c r="H311" s="19">
        <f>UPPER(Table3[[#This Row],[Agen id]]&amp;"-"&amp;VLOOKUP(Table3[[#This Row],[Agen id]],A:B,2,0)&amp;"("&amp;Table3[[#This Row],[Short]]&amp;")")</f>
        <v/>
      </c>
      <c r="J311" s="7">
        <f>VLOOKUP(Table3[[#This Row],[Agen id]],Agen!A:C,3,0)</f>
        <v/>
      </c>
      <c r="K311" s="37">
        <f>TRIM(LEFT(Table3[[#This Row],[Group]],2))</f>
        <v/>
      </c>
      <c r="L311" s="3" t="inlineStr">
        <is>
          <t>NON SALES</t>
        </is>
      </c>
    </row>
    <row r="312">
      <c r="A312" s="5" t="inlineStr">
        <is>
          <t>OP01935</t>
        </is>
      </c>
      <c r="B312" s="6" t="inlineStr">
        <is>
          <t>Teguh Budiyanto</t>
        </is>
      </c>
      <c r="C312" s="7" t="inlineStr">
        <is>
          <t>A - Agen</t>
        </is>
      </c>
      <c r="D312" s="1" t="inlineStr">
        <is>
          <t>OP00002</t>
        </is>
      </c>
      <c r="E312" s="8" t="n">
        <v>44818.75555555556</v>
      </c>
      <c r="F312" s="7" t="inlineStr">
        <is>
          <t>AGEN</t>
        </is>
      </c>
      <c r="G312" s="18" t="inlineStr">
        <is>
          <t>OP01935</t>
        </is>
      </c>
      <c r="H312" s="19">
        <f>UPPER(Table3[[#This Row],[Agen id]]&amp;"-"&amp;VLOOKUP(Table3[[#This Row],[Agen id]],A:B,2,0)&amp;"("&amp;Table3[[#This Row],[Short]]&amp;")")</f>
        <v/>
      </c>
      <c r="J312" s="7">
        <f>VLOOKUP(Table3[[#This Row],[Agen id]],Agen!A:C,3,0)</f>
        <v/>
      </c>
      <c r="K312" s="37">
        <f>TRIM(LEFT(Table3[[#This Row],[Group]],2))</f>
        <v/>
      </c>
      <c r="L312" s="3" t="inlineStr">
        <is>
          <t>NON SALES</t>
        </is>
      </c>
    </row>
    <row r="313">
      <c r="A313" s="5" t="inlineStr">
        <is>
          <t>OP01949</t>
        </is>
      </c>
      <c r="B313" s="6" t="inlineStr">
        <is>
          <t>Neneng astuti</t>
        </is>
      </c>
      <c r="C313" s="7" t="inlineStr">
        <is>
          <t>A - Agen</t>
        </is>
      </c>
      <c r="D313" s="1" t="inlineStr">
        <is>
          <t>OP00002</t>
        </is>
      </c>
      <c r="E313" s="8" t="n">
        <v>44818.85833333333</v>
      </c>
      <c r="F313" s="7" t="inlineStr">
        <is>
          <t>AGEN</t>
        </is>
      </c>
      <c r="G313" s="18" t="inlineStr">
        <is>
          <t>OP01949</t>
        </is>
      </c>
      <c r="H313" s="19">
        <f>UPPER(Table3[[#This Row],[Agen id]]&amp;"-"&amp;VLOOKUP(Table3[[#This Row],[Agen id]],A:B,2,0)&amp;"("&amp;Table3[[#This Row],[Short]]&amp;")")</f>
        <v/>
      </c>
      <c r="J313" s="7">
        <f>VLOOKUP(Table3[[#This Row],[Agen id]],Agen!A:C,3,0)</f>
        <v/>
      </c>
      <c r="K313" s="37">
        <f>TRIM(LEFT(Table3[[#This Row],[Group]],2))</f>
        <v/>
      </c>
      <c r="L313" s="3" t="inlineStr">
        <is>
          <t>NON SALES</t>
        </is>
      </c>
    </row>
    <row r="314">
      <c r="A314" s="5" t="inlineStr">
        <is>
          <t>OP01953</t>
        </is>
      </c>
      <c r="B314" s="6" t="inlineStr">
        <is>
          <t>NA CELLULAR</t>
        </is>
      </c>
      <c r="C314" s="7" t="inlineStr">
        <is>
          <t>A - Agen</t>
        </is>
      </c>
      <c r="D314" s="1" t="inlineStr">
        <is>
          <t>OP00002</t>
        </is>
      </c>
      <c r="E314" s="8" t="n">
        <v>44818.88541666666</v>
      </c>
      <c r="F314" s="7" t="inlineStr">
        <is>
          <t>AGEN</t>
        </is>
      </c>
      <c r="G314" s="18" t="inlineStr">
        <is>
          <t>OP01953</t>
        </is>
      </c>
      <c r="H314" s="19">
        <f>UPPER(Table3[[#This Row],[Agen id]]&amp;"-"&amp;VLOOKUP(Table3[[#This Row],[Agen id]],A:B,2,0)&amp;"("&amp;Table3[[#This Row],[Short]]&amp;")")</f>
        <v/>
      </c>
      <c r="J314" s="7">
        <f>VLOOKUP(Table3[[#This Row],[Agen id]],Agen!A:C,3,0)</f>
        <v/>
      </c>
      <c r="K314" s="37">
        <f>TRIM(LEFT(Table3[[#This Row],[Group]],2))</f>
        <v/>
      </c>
      <c r="L314" s="3" t="inlineStr">
        <is>
          <t>NON SALES</t>
        </is>
      </c>
    </row>
    <row r="315">
      <c r="A315" s="5" t="inlineStr">
        <is>
          <t>OP01956</t>
        </is>
      </c>
      <c r="B315" s="6" t="inlineStr">
        <is>
          <t>mail</t>
        </is>
      </c>
      <c r="C315" s="7" t="inlineStr">
        <is>
          <t>A - Agen</t>
        </is>
      </c>
      <c r="D315" s="1" t="inlineStr">
        <is>
          <t>OP01868</t>
        </is>
      </c>
      <c r="E315" s="8" t="n">
        <v>44818.89791666667</v>
      </c>
      <c r="F315" s="7" t="inlineStr">
        <is>
          <t>DOWNLINE</t>
        </is>
      </c>
      <c r="G315" s="18" t="inlineStr">
        <is>
          <t>OP01868</t>
        </is>
      </c>
      <c r="H315" s="19">
        <f>UPPER(Table3[[#This Row],[Agen id]]&amp;"-"&amp;VLOOKUP(Table3[[#This Row],[Agen id]],A:B,2,0)&amp;"("&amp;Table3[[#This Row],[Short]]&amp;")")</f>
        <v/>
      </c>
      <c r="J315" s="7">
        <f>VLOOKUP(Table3[[#This Row],[Agen id]],Agen!A:C,3,0)</f>
        <v/>
      </c>
      <c r="K315" s="37">
        <f>TRIM(LEFT(Table3[[#This Row],[Group]],2))</f>
        <v/>
      </c>
      <c r="L315" s="3" t="inlineStr">
        <is>
          <t>NON SALES</t>
        </is>
      </c>
    </row>
    <row r="316">
      <c r="A316" s="5" t="inlineStr">
        <is>
          <t>OP01957</t>
        </is>
      </c>
      <c r="B316" s="6" t="inlineStr">
        <is>
          <t>Noufal</t>
        </is>
      </c>
      <c r="C316" s="7" t="inlineStr">
        <is>
          <t>A - Agen</t>
        </is>
      </c>
      <c r="D316" s="1" t="inlineStr">
        <is>
          <t>OP00014</t>
        </is>
      </c>
      <c r="E316" s="8" t="n">
        <v>44818.91111111111</v>
      </c>
      <c r="F316" s="7" t="inlineStr">
        <is>
          <t>DOWNLINE</t>
        </is>
      </c>
      <c r="G316" s="18" t="inlineStr">
        <is>
          <t>OP00014</t>
        </is>
      </c>
      <c r="H316" s="19">
        <f>UPPER(Table3[[#This Row],[Agen id]]&amp;"-"&amp;VLOOKUP(Table3[[#This Row],[Agen id]],A:B,2,0)&amp;"("&amp;Table3[[#This Row],[Short]]&amp;")")</f>
        <v/>
      </c>
      <c r="J316" s="7">
        <f>VLOOKUP(Table3[[#This Row],[Agen id]],Agen!A:C,3,0)</f>
        <v/>
      </c>
      <c r="K316" s="37">
        <f>TRIM(LEFT(Table3[[#This Row],[Group]],2))</f>
        <v/>
      </c>
      <c r="L316" s="3" t="inlineStr">
        <is>
          <t>NON SALES</t>
        </is>
      </c>
    </row>
    <row r="317">
      <c r="A317" s="5" t="inlineStr">
        <is>
          <t>OP01981</t>
        </is>
      </c>
      <c r="B317" s="6" t="inlineStr">
        <is>
          <t>Arjuna cell</t>
        </is>
      </c>
      <c r="C317" s="7" t="inlineStr">
        <is>
          <t>A - Agen</t>
        </is>
      </c>
      <c r="D317" s="1" t="inlineStr">
        <is>
          <t>OP00064</t>
        </is>
      </c>
      <c r="E317" s="8" t="n">
        <v>44819.55069444444</v>
      </c>
      <c r="F317" s="7" t="inlineStr">
        <is>
          <t>DOWNLINE</t>
        </is>
      </c>
      <c r="G317" s="18" t="inlineStr">
        <is>
          <t>OP00049</t>
        </is>
      </c>
      <c r="H317" s="19">
        <f>UPPER(Table3[[#This Row],[Agen id]]&amp;"-"&amp;VLOOKUP(Table3[[#This Row],[Agen id]],A:B,2,0)&amp;"("&amp;Table3[[#This Row],[Short]]&amp;")")</f>
        <v/>
      </c>
      <c r="J317" s="7">
        <f>VLOOKUP(Table3[[#This Row],[Agen id]],Agen!A:C,3,0)</f>
        <v/>
      </c>
      <c r="K317" s="37">
        <f>TRIM(LEFT(Table3[[#This Row],[Group]],2))</f>
        <v/>
      </c>
      <c r="L317" s="3" t="inlineStr">
        <is>
          <t>NON SALES</t>
        </is>
      </c>
    </row>
    <row r="318">
      <c r="A318" s="5" t="inlineStr">
        <is>
          <t>OP01982</t>
        </is>
      </c>
      <c r="B318" s="6" t="inlineStr">
        <is>
          <t>Livie samboh</t>
        </is>
      </c>
      <c r="C318" s="7" t="inlineStr">
        <is>
          <t>A - Agen</t>
        </is>
      </c>
      <c r="D318" s="1" t="inlineStr">
        <is>
          <t>OP01928</t>
        </is>
      </c>
      <c r="E318" s="8" t="n">
        <v>44819.56319444445</v>
      </c>
      <c r="F318" s="7" t="inlineStr">
        <is>
          <t>DOWNLINE</t>
        </is>
      </c>
      <c r="G318" s="18" t="inlineStr">
        <is>
          <t>OP01928</t>
        </is>
      </c>
      <c r="H318" s="19">
        <f>UPPER(Table3[[#This Row],[Agen id]]&amp;"-"&amp;VLOOKUP(Table3[[#This Row],[Agen id]],A:B,2,0)&amp;"("&amp;Table3[[#This Row],[Short]]&amp;")")</f>
        <v/>
      </c>
      <c r="J318" s="7">
        <f>VLOOKUP(Table3[[#This Row],[Agen id]],Agen!A:C,3,0)</f>
        <v/>
      </c>
      <c r="K318" s="37">
        <f>TRIM(LEFT(Table3[[#This Row],[Group]],2))</f>
        <v/>
      </c>
      <c r="L318" s="3" t="inlineStr">
        <is>
          <t>NON SALES</t>
        </is>
      </c>
    </row>
    <row r="319">
      <c r="A319" s="5" t="inlineStr">
        <is>
          <t>OP01986</t>
        </is>
      </c>
      <c r="B319" s="6" t="inlineStr">
        <is>
          <t>said</t>
        </is>
      </c>
      <c r="C319" s="7" t="inlineStr">
        <is>
          <t>A - Agen</t>
        </is>
      </c>
      <c r="D319" s="1" t="inlineStr">
        <is>
          <t>OP00002</t>
        </is>
      </c>
      <c r="E319" s="8" t="n">
        <v>44819.59027777778</v>
      </c>
      <c r="F319" s="7" t="inlineStr">
        <is>
          <t>AGEN</t>
        </is>
      </c>
      <c r="G319" s="18" t="inlineStr">
        <is>
          <t>OP01986</t>
        </is>
      </c>
      <c r="H319" s="19">
        <f>UPPER(Table3[[#This Row],[Agen id]]&amp;"-"&amp;VLOOKUP(Table3[[#This Row],[Agen id]],A:B,2,0)&amp;"("&amp;Table3[[#This Row],[Short]]&amp;")")</f>
        <v/>
      </c>
      <c r="J319" s="7">
        <f>VLOOKUP(Table3[[#This Row],[Agen id]],Agen!A:C,3,0)</f>
        <v/>
      </c>
      <c r="K319" s="37">
        <f>TRIM(LEFT(Table3[[#This Row],[Group]],2))</f>
        <v/>
      </c>
      <c r="L319" s="3" t="inlineStr">
        <is>
          <t>NON SALES</t>
        </is>
      </c>
    </row>
    <row r="320">
      <c r="A320" s="5" t="inlineStr">
        <is>
          <t>OP01993</t>
        </is>
      </c>
      <c r="B320" s="6" t="inlineStr">
        <is>
          <t>Rizky88</t>
        </is>
      </c>
      <c r="C320" s="7" t="inlineStr">
        <is>
          <t>AT1 - Agen Tangerang</t>
        </is>
      </c>
      <c r="D320" s="1" t="inlineStr">
        <is>
          <t>OP00002</t>
        </is>
      </c>
      <c r="E320" s="8" t="n">
        <v>44819.65555555555</v>
      </c>
      <c r="F320" s="7" t="inlineStr">
        <is>
          <t>AGEN</t>
        </is>
      </c>
      <c r="G320" s="18" t="inlineStr">
        <is>
          <t>OP01993</t>
        </is>
      </c>
      <c r="H320" s="19">
        <f>UPPER(Table3[[#This Row],[Agen id]]&amp;"-"&amp;VLOOKUP(Table3[[#This Row],[Agen id]],A:B,2,0)&amp;"("&amp;Table3[[#This Row],[Short]]&amp;")")</f>
        <v/>
      </c>
      <c r="J320" s="7">
        <f>VLOOKUP(Table3[[#This Row],[Agen id]],Agen!A:C,3,0)</f>
        <v/>
      </c>
      <c r="K320" s="37">
        <f>TRIM(LEFT(Table3[[#This Row],[Group]],2))</f>
        <v/>
      </c>
      <c r="L320" s="3" t="inlineStr">
        <is>
          <t>NON SALES</t>
        </is>
      </c>
    </row>
    <row r="321">
      <c r="A321" s="5" t="inlineStr">
        <is>
          <t>OP01995</t>
        </is>
      </c>
      <c r="B321" s="6" t="inlineStr">
        <is>
          <t>Toha muslim</t>
        </is>
      </c>
      <c r="C321" s="7" t="inlineStr">
        <is>
          <t>A - Agen</t>
        </is>
      </c>
      <c r="D321" s="1" t="inlineStr">
        <is>
          <t>OP00002</t>
        </is>
      </c>
      <c r="E321" s="8" t="n">
        <v>44819.66597222222</v>
      </c>
      <c r="F321" s="7" t="inlineStr">
        <is>
          <t>AGEN</t>
        </is>
      </c>
      <c r="G321" s="18" t="inlineStr">
        <is>
          <t>OP01995</t>
        </is>
      </c>
      <c r="H321" s="19">
        <f>UPPER(Table3[[#This Row],[Agen id]]&amp;"-"&amp;VLOOKUP(Table3[[#This Row],[Agen id]],A:B,2,0)&amp;"("&amp;Table3[[#This Row],[Short]]&amp;")")</f>
        <v/>
      </c>
      <c r="J321" s="7">
        <f>VLOOKUP(Table3[[#This Row],[Agen id]],Agen!A:C,3,0)</f>
        <v/>
      </c>
      <c r="K321" s="37">
        <f>TRIM(LEFT(Table3[[#This Row],[Group]],2))</f>
        <v/>
      </c>
      <c r="L321" s="3" t="inlineStr">
        <is>
          <t>NON SALES</t>
        </is>
      </c>
    </row>
    <row r="322">
      <c r="A322" s="5" t="inlineStr">
        <is>
          <t>OP02001</t>
        </is>
      </c>
      <c r="B322" s="6" t="inlineStr">
        <is>
          <t>Fajrin cell</t>
        </is>
      </c>
      <c r="C322" s="7" t="inlineStr">
        <is>
          <t>MK - Marketing</t>
        </is>
      </c>
      <c r="D322" s="1" t="inlineStr">
        <is>
          <t>OP00002</t>
        </is>
      </c>
      <c r="E322" s="8" t="n">
        <v>44819.75555555556</v>
      </c>
      <c r="F322" s="7" t="inlineStr">
        <is>
          <t>AGEN</t>
        </is>
      </c>
      <c r="G322" s="18" t="inlineStr">
        <is>
          <t>OP02001</t>
        </is>
      </c>
      <c r="H322" s="19">
        <f>UPPER(Table3[[#This Row],[Agen id]]&amp;"-"&amp;VLOOKUP(Table3[[#This Row],[Agen id]],A:B,2,0)&amp;"("&amp;Table3[[#This Row],[Short]]&amp;")")</f>
        <v/>
      </c>
      <c r="J322" s="7">
        <f>VLOOKUP(Table3[[#This Row],[Agen id]],Agen!A:C,3,0)</f>
        <v/>
      </c>
      <c r="K322" s="37">
        <f>TRIM(LEFT(Table3[[#This Row],[Group]],2))</f>
        <v/>
      </c>
      <c r="L322" s="3" t="inlineStr">
        <is>
          <t>NON SALES</t>
        </is>
      </c>
    </row>
    <row r="323">
      <c r="A323" s="5" t="inlineStr">
        <is>
          <t>OP02003</t>
        </is>
      </c>
      <c r="B323" s="6" t="inlineStr">
        <is>
          <t>Startcell</t>
        </is>
      </c>
      <c r="C323" s="7" t="inlineStr">
        <is>
          <t>AV - Agen Verified</t>
        </is>
      </c>
      <c r="D323" s="1" t="inlineStr">
        <is>
          <t>OP00002</t>
        </is>
      </c>
      <c r="E323" s="8" t="n">
        <v>44819.80069444444</v>
      </c>
      <c r="F323" s="7" t="inlineStr">
        <is>
          <t>AGEN</t>
        </is>
      </c>
      <c r="G323" s="18" t="inlineStr">
        <is>
          <t>OP02003</t>
        </is>
      </c>
      <c r="H323" s="19">
        <f>UPPER(Table3[[#This Row],[Agen id]]&amp;"-"&amp;VLOOKUP(Table3[[#This Row],[Agen id]],A:B,2,0)&amp;"("&amp;Table3[[#This Row],[Short]]&amp;")")</f>
        <v/>
      </c>
      <c r="J323" s="7">
        <f>VLOOKUP(Table3[[#This Row],[Agen id]],Agen!A:C,3,0)</f>
        <v/>
      </c>
      <c r="K323" s="37">
        <f>TRIM(LEFT(Table3[[#This Row],[Group]],2))</f>
        <v/>
      </c>
      <c r="L323" s="3" t="inlineStr">
        <is>
          <t>NON SALES</t>
        </is>
      </c>
    </row>
    <row r="324">
      <c r="A324" s="5" t="inlineStr">
        <is>
          <t>OP02016</t>
        </is>
      </c>
      <c r="B324" s="6" t="inlineStr">
        <is>
          <t>IWAN</t>
        </is>
      </c>
      <c r="C324" s="7" t="inlineStr">
        <is>
          <t>A - Agen</t>
        </is>
      </c>
      <c r="D324" s="1" t="inlineStr">
        <is>
          <t>OP00002</t>
        </is>
      </c>
      <c r="E324" s="8" t="n">
        <v>44820.35</v>
      </c>
      <c r="F324" s="7" t="inlineStr">
        <is>
          <t>AGEN</t>
        </is>
      </c>
      <c r="G324" s="18" t="inlineStr">
        <is>
          <t>OP02016</t>
        </is>
      </c>
      <c r="H324" s="19">
        <f>UPPER(Table3[[#This Row],[Agen id]]&amp;"-"&amp;VLOOKUP(Table3[[#This Row],[Agen id]],A:B,2,0)&amp;"("&amp;Table3[[#This Row],[Short]]&amp;")")</f>
        <v/>
      </c>
      <c r="J324" s="7">
        <f>VLOOKUP(Table3[[#This Row],[Agen id]],Agen!A:C,3,0)</f>
        <v/>
      </c>
      <c r="K324" s="37">
        <f>TRIM(LEFT(Table3[[#This Row],[Group]],2))</f>
        <v/>
      </c>
      <c r="L324" s="3" t="inlineStr">
        <is>
          <t>NON SALES</t>
        </is>
      </c>
    </row>
    <row r="325">
      <c r="A325" s="5" t="inlineStr">
        <is>
          <t>OP02018</t>
        </is>
      </c>
      <c r="B325" s="6" t="inlineStr">
        <is>
          <t>Cenna</t>
        </is>
      </c>
      <c r="C325" s="7" t="inlineStr">
        <is>
          <t>A - Agen</t>
        </is>
      </c>
      <c r="D325" s="1" t="inlineStr">
        <is>
          <t>OP00002</t>
        </is>
      </c>
      <c r="E325" s="8" t="n">
        <v>44820.37847222222</v>
      </c>
      <c r="F325" s="7" t="inlineStr">
        <is>
          <t>AGEN</t>
        </is>
      </c>
      <c r="G325" s="18" t="inlineStr">
        <is>
          <t>OP02018</t>
        </is>
      </c>
      <c r="H325" s="19">
        <f>UPPER(Table3[[#This Row],[Agen id]]&amp;"-"&amp;VLOOKUP(Table3[[#This Row],[Agen id]],A:B,2,0)&amp;"("&amp;Table3[[#This Row],[Short]]&amp;")")</f>
        <v/>
      </c>
      <c r="J325" s="7">
        <f>VLOOKUP(Table3[[#This Row],[Agen id]],Agen!A:C,3,0)</f>
        <v/>
      </c>
      <c r="K325" s="37">
        <f>TRIM(LEFT(Table3[[#This Row],[Group]],2))</f>
        <v/>
      </c>
      <c r="L325" s="3" t="inlineStr">
        <is>
          <t>NON SALES</t>
        </is>
      </c>
    </row>
    <row r="326">
      <c r="A326" s="5" t="inlineStr">
        <is>
          <t>OP02031</t>
        </is>
      </c>
      <c r="B326" s="6" t="inlineStr">
        <is>
          <t>Ronsi Adur</t>
        </is>
      </c>
      <c r="C326" s="7" t="inlineStr">
        <is>
          <t>AV - Agen Verified</t>
        </is>
      </c>
      <c r="D326" s="1" t="inlineStr">
        <is>
          <t>OP00002</t>
        </is>
      </c>
      <c r="E326" s="8" t="n">
        <v>44820.55694444444</v>
      </c>
      <c r="F326" s="7" t="inlineStr">
        <is>
          <t>AGEN</t>
        </is>
      </c>
      <c r="G326" s="18" t="inlineStr">
        <is>
          <t>OP02031</t>
        </is>
      </c>
      <c r="H326" s="19">
        <f>UPPER(Table3[[#This Row],[Agen id]]&amp;"-"&amp;VLOOKUP(Table3[[#This Row],[Agen id]],A:B,2,0)&amp;"("&amp;Table3[[#This Row],[Short]]&amp;")")</f>
        <v/>
      </c>
      <c r="J326" s="7">
        <f>VLOOKUP(Table3[[#This Row],[Agen id]],Agen!A:C,3,0)</f>
        <v/>
      </c>
      <c r="K326" s="37">
        <f>TRIM(LEFT(Table3[[#This Row],[Group]],2))</f>
        <v/>
      </c>
      <c r="L326" s="3" t="inlineStr">
        <is>
          <t>NON SALES</t>
        </is>
      </c>
    </row>
    <row r="327">
      <c r="A327" s="5" t="inlineStr">
        <is>
          <t>OP02033</t>
        </is>
      </c>
      <c r="B327" s="6" t="inlineStr">
        <is>
          <t>bryant</t>
        </is>
      </c>
      <c r="C327" s="7" t="inlineStr">
        <is>
          <t>A - Agen</t>
        </is>
      </c>
      <c r="D327" s="1" t="inlineStr">
        <is>
          <t>OP00002</t>
        </is>
      </c>
      <c r="E327" s="8" t="n">
        <v>44820.59305555555</v>
      </c>
      <c r="F327" s="7" t="inlineStr">
        <is>
          <t>AGEN</t>
        </is>
      </c>
      <c r="G327" s="18" t="inlineStr">
        <is>
          <t>OP02033</t>
        </is>
      </c>
      <c r="H327" s="19">
        <f>UPPER(Table3[[#This Row],[Agen id]]&amp;"-"&amp;VLOOKUP(Table3[[#This Row],[Agen id]],A:B,2,0)&amp;"("&amp;Table3[[#This Row],[Short]]&amp;")")</f>
        <v/>
      </c>
      <c r="J327" s="7">
        <f>VLOOKUP(Table3[[#This Row],[Agen id]],Agen!A:C,3,0)</f>
        <v/>
      </c>
      <c r="K327" s="37">
        <f>TRIM(LEFT(Table3[[#This Row],[Group]],2))</f>
        <v/>
      </c>
      <c r="L327" s="3" t="inlineStr">
        <is>
          <t>NON SALES</t>
        </is>
      </c>
    </row>
    <row r="328">
      <c r="A328" s="5" t="inlineStr">
        <is>
          <t>OP02038</t>
        </is>
      </c>
      <c r="B328" s="6" t="inlineStr">
        <is>
          <t>Malam cell</t>
        </is>
      </c>
      <c r="C328" s="7" t="inlineStr">
        <is>
          <t>A - Agen</t>
        </is>
      </c>
      <c r="D328" s="1" t="inlineStr">
        <is>
          <t>OP00051</t>
        </is>
      </c>
      <c r="E328" s="8" t="n">
        <v>44820.71527777778</v>
      </c>
      <c r="F328" s="7" t="inlineStr">
        <is>
          <t>DOWNLINE</t>
        </is>
      </c>
      <c r="G328" s="18" t="inlineStr">
        <is>
          <t>OP00051</t>
        </is>
      </c>
      <c r="H328" s="19">
        <f>UPPER(Table3[[#This Row],[Agen id]]&amp;"-"&amp;VLOOKUP(Table3[[#This Row],[Agen id]],A:B,2,0)&amp;"("&amp;Table3[[#This Row],[Short]]&amp;")")</f>
        <v/>
      </c>
      <c r="J328" s="7">
        <f>VLOOKUP(Table3[[#This Row],[Agen id]],Agen!A:C,3,0)</f>
        <v/>
      </c>
      <c r="K328" s="37">
        <f>TRIM(LEFT(Table3[[#This Row],[Group]],2))</f>
        <v/>
      </c>
      <c r="L328" s="3" t="inlineStr">
        <is>
          <t>NON SALES</t>
        </is>
      </c>
    </row>
    <row r="329">
      <c r="A329" s="5" t="inlineStr">
        <is>
          <t>OP02039</t>
        </is>
      </c>
      <c r="B329" s="6" t="inlineStr">
        <is>
          <t>RUMAH KUOTA</t>
        </is>
      </c>
      <c r="C329" s="7" t="inlineStr">
        <is>
          <t>AV - Agen Verified</t>
        </is>
      </c>
      <c r="D329" s="1" t="inlineStr">
        <is>
          <t>OP00002</t>
        </is>
      </c>
      <c r="E329" s="8" t="n">
        <v>44820.71597222222</v>
      </c>
      <c r="F329" s="7" t="inlineStr">
        <is>
          <t>AGEN</t>
        </is>
      </c>
      <c r="G329" s="18" t="inlineStr">
        <is>
          <t>OP02039</t>
        </is>
      </c>
      <c r="H329" s="19">
        <f>UPPER(Table3[[#This Row],[Agen id]]&amp;"-"&amp;VLOOKUP(Table3[[#This Row],[Agen id]],A:B,2,0)&amp;"("&amp;Table3[[#This Row],[Short]]&amp;")")</f>
        <v/>
      </c>
      <c r="J329" s="7">
        <f>VLOOKUP(Table3[[#This Row],[Agen id]],Agen!A:C,3,0)</f>
        <v/>
      </c>
      <c r="K329" s="37">
        <f>TRIM(LEFT(Table3[[#This Row],[Group]],2))</f>
        <v/>
      </c>
      <c r="L329" s="3" t="inlineStr">
        <is>
          <t>NON SALES</t>
        </is>
      </c>
    </row>
    <row r="330">
      <c r="A330" s="5" t="inlineStr">
        <is>
          <t>OP02048</t>
        </is>
      </c>
      <c r="B330" s="6" t="inlineStr">
        <is>
          <t>DEVIRA FENRIANTI</t>
        </is>
      </c>
      <c r="C330" s="7" t="inlineStr">
        <is>
          <t>A - Agen</t>
        </is>
      </c>
      <c r="D330" s="1" t="inlineStr">
        <is>
          <t>OP00002</t>
        </is>
      </c>
      <c r="E330" s="8" t="n">
        <v>44820.79930555556</v>
      </c>
      <c r="F330" s="7" t="inlineStr">
        <is>
          <t>AGEN</t>
        </is>
      </c>
      <c r="G330" s="18" t="inlineStr">
        <is>
          <t>OP02048</t>
        </is>
      </c>
      <c r="H330" s="19">
        <f>UPPER(Table3[[#This Row],[Agen id]]&amp;"-"&amp;VLOOKUP(Table3[[#This Row],[Agen id]],A:B,2,0)&amp;"("&amp;Table3[[#This Row],[Short]]&amp;")")</f>
        <v/>
      </c>
      <c r="J330" s="7">
        <f>VLOOKUP(Table3[[#This Row],[Agen id]],Agen!A:C,3,0)</f>
        <v/>
      </c>
      <c r="K330" s="37">
        <f>TRIM(LEFT(Table3[[#This Row],[Group]],2))</f>
        <v/>
      </c>
      <c r="L330" s="3" t="inlineStr">
        <is>
          <t>NON SALES</t>
        </is>
      </c>
    </row>
    <row r="331">
      <c r="A331" s="5" t="inlineStr">
        <is>
          <t>OP02050</t>
        </is>
      </c>
      <c r="B331" s="6" t="inlineStr">
        <is>
          <t>Dera nurul saputri</t>
        </is>
      </c>
      <c r="C331" s="7" t="inlineStr">
        <is>
          <t>AB1 - Agen Kab Bogor</t>
        </is>
      </c>
      <c r="D331" s="1" t="inlineStr">
        <is>
          <t>OP00002</t>
        </is>
      </c>
      <c r="E331" s="8" t="n">
        <v>44820.81111111111</v>
      </c>
      <c r="F331" s="7" t="inlineStr">
        <is>
          <t>AGEN</t>
        </is>
      </c>
      <c r="G331" s="18" t="inlineStr">
        <is>
          <t>OP02050</t>
        </is>
      </c>
      <c r="H331" s="19">
        <f>UPPER(Table3[[#This Row],[Agen id]]&amp;"-"&amp;VLOOKUP(Table3[[#This Row],[Agen id]],A:B,2,0)&amp;"("&amp;Table3[[#This Row],[Short]]&amp;")")</f>
        <v/>
      </c>
      <c r="J331" s="7">
        <f>VLOOKUP(Table3[[#This Row],[Agen id]],Agen!A:C,3,0)</f>
        <v/>
      </c>
      <c r="K331" s="37">
        <f>TRIM(LEFT(Table3[[#This Row],[Group]],2))</f>
        <v/>
      </c>
      <c r="L331" s="3" t="inlineStr">
        <is>
          <t>NON SALES</t>
        </is>
      </c>
    </row>
    <row r="332">
      <c r="A332" s="5" t="inlineStr">
        <is>
          <t>OP02059</t>
        </is>
      </c>
      <c r="B332" s="6" t="inlineStr">
        <is>
          <t>Nazia cell</t>
        </is>
      </c>
      <c r="C332" s="7" t="inlineStr">
        <is>
          <t>A - Agen</t>
        </is>
      </c>
      <c r="D332" s="1" t="inlineStr">
        <is>
          <t>OP00002</t>
        </is>
      </c>
      <c r="E332" s="8" t="n">
        <v>44820.86041666667</v>
      </c>
      <c r="F332" s="7" t="inlineStr">
        <is>
          <t>AGEN</t>
        </is>
      </c>
      <c r="G332" s="18" t="inlineStr">
        <is>
          <t>OP02059</t>
        </is>
      </c>
      <c r="H332" s="19">
        <f>UPPER(Table3[[#This Row],[Agen id]]&amp;"-"&amp;VLOOKUP(Table3[[#This Row],[Agen id]],A:B,2,0)&amp;"("&amp;Table3[[#This Row],[Short]]&amp;")")</f>
        <v/>
      </c>
      <c r="J332" s="7">
        <f>VLOOKUP(Table3[[#This Row],[Agen id]],Agen!A:C,3,0)</f>
        <v/>
      </c>
      <c r="K332" s="37">
        <f>TRIM(LEFT(Table3[[#This Row],[Group]],2))</f>
        <v/>
      </c>
      <c r="L332" s="3" t="inlineStr">
        <is>
          <t>NON SALES</t>
        </is>
      </c>
    </row>
    <row r="333">
      <c r="A333" s="5" t="inlineStr">
        <is>
          <t>OP02064</t>
        </is>
      </c>
      <c r="B333" s="6" t="inlineStr">
        <is>
          <t>Selvi</t>
        </is>
      </c>
      <c r="C333" s="7" t="inlineStr">
        <is>
          <t>A - Agen</t>
        </is>
      </c>
      <c r="D333" s="1" t="inlineStr">
        <is>
          <t>OP00002</t>
        </is>
      </c>
      <c r="E333" s="8" t="n">
        <v>44821.63958333333</v>
      </c>
      <c r="F333" s="7" t="inlineStr">
        <is>
          <t>AGEN</t>
        </is>
      </c>
      <c r="G333" s="18" t="inlineStr">
        <is>
          <t>OP02064</t>
        </is>
      </c>
      <c r="H333" s="19">
        <f>UPPER(Table3[[#This Row],[Agen id]]&amp;"-"&amp;VLOOKUP(Table3[[#This Row],[Agen id]],A:B,2,0)&amp;"("&amp;Table3[[#This Row],[Short]]&amp;")")</f>
        <v/>
      </c>
      <c r="J333" s="7">
        <f>VLOOKUP(Table3[[#This Row],[Agen id]],Agen!A:C,3,0)</f>
        <v/>
      </c>
      <c r="K333" s="37">
        <f>TRIM(LEFT(Table3[[#This Row],[Group]],2))</f>
        <v/>
      </c>
      <c r="L333" s="3" t="inlineStr">
        <is>
          <t>NON SALES</t>
        </is>
      </c>
    </row>
    <row r="334">
      <c r="A334" s="5" t="inlineStr">
        <is>
          <t>OP02066</t>
        </is>
      </c>
      <c r="B334" s="6" t="inlineStr">
        <is>
          <t>myshacell2</t>
        </is>
      </c>
      <c r="C334" s="7" t="inlineStr">
        <is>
          <t>AV - Agen Verified</t>
        </is>
      </c>
      <c r="D334" s="1" t="inlineStr">
        <is>
          <t>OP01683</t>
        </is>
      </c>
      <c r="E334" s="8" t="n">
        <v>44821.7875</v>
      </c>
      <c r="F334" s="7" t="inlineStr">
        <is>
          <t>DOWNLINE</t>
        </is>
      </c>
      <c r="G334" s="18" t="inlineStr">
        <is>
          <t>OP01683</t>
        </is>
      </c>
      <c r="H334" s="19">
        <f>UPPER(Table3[[#This Row],[Agen id]]&amp;"-"&amp;VLOOKUP(Table3[[#This Row],[Agen id]],A:B,2,0)&amp;"("&amp;Table3[[#This Row],[Short]]&amp;")")</f>
        <v/>
      </c>
      <c r="J334" s="7">
        <f>VLOOKUP(Table3[[#This Row],[Agen id]],Agen!A:C,3,0)</f>
        <v/>
      </c>
      <c r="K334" s="37">
        <f>TRIM(LEFT(Table3[[#This Row],[Group]],2))</f>
        <v/>
      </c>
      <c r="L334" s="3" t="inlineStr">
        <is>
          <t>NON SALES</t>
        </is>
      </c>
    </row>
    <row r="335">
      <c r="A335" s="5" t="inlineStr">
        <is>
          <t>OP02073</t>
        </is>
      </c>
      <c r="B335" s="6" t="inlineStr">
        <is>
          <t>Jelsyn Ponsel 2</t>
        </is>
      </c>
      <c r="C335" s="7" t="inlineStr">
        <is>
          <t>A - Agen</t>
        </is>
      </c>
      <c r="D335" s="1" t="inlineStr">
        <is>
          <t>OP01689</t>
        </is>
      </c>
      <c r="E335" s="8" t="n">
        <v>44822.46388888889</v>
      </c>
      <c r="F335" s="7" t="inlineStr">
        <is>
          <t>DOWNLINE</t>
        </is>
      </c>
      <c r="G335" s="18" t="inlineStr">
        <is>
          <t>OP01689</t>
        </is>
      </c>
      <c r="H335" s="19">
        <f>UPPER(Table3[[#This Row],[Agen id]]&amp;"-"&amp;VLOOKUP(Table3[[#This Row],[Agen id]],A:B,2,0)&amp;"("&amp;Table3[[#This Row],[Short]]&amp;")")</f>
        <v/>
      </c>
      <c r="J335" s="7">
        <f>VLOOKUP(Table3[[#This Row],[Agen id]],Agen!A:C,3,0)</f>
        <v/>
      </c>
      <c r="K335" s="37">
        <f>TRIM(LEFT(Table3[[#This Row],[Group]],2))</f>
        <v/>
      </c>
      <c r="L335" s="3" t="inlineStr">
        <is>
          <t>NON SALES</t>
        </is>
      </c>
    </row>
    <row r="336">
      <c r="A336" s="5" t="inlineStr">
        <is>
          <t>OP02076</t>
        </is>
      </c>
      <c r="B336" s="6" t="inlineStr">
        <is>
          <t>Bambang Triono</t>
        </is>
      </c>
      <c r="C336" s="7" t="inlineStr">
        <is>
          <t>AV - Agen Verified</t>
        </is>
      </c>
      <c r="D336" s="1" t="inlineStr">
        <is>
          <t>OP00002</t>
        </is>
      </c>
      <c r="E336" s="8" t="n">
        <v>44822.68888888889</v>
      </c>
      <c r="F336" s="7" t="inlineStr">
        <is>
          <t>AGEN</t>
        </is>
      </c>
      <c r="G336" s="18" t="inlineStr">
        <is>
          <t>OP02076</t>
        </is>
      </c>
      <c r="H336" s="19">
        <f>UPPER(Table3[[#This Row],[Agen id]]&amp;"-"&amp;VLOOKUP(Table3[[#This Row],[Agen id]],A:B,2,0)&amp;"("&amp;Table3[[#This Row],[Short]]&amp;")")</f>
        <v/>
      </c>
      <c r="J336" s="7">
        <f>VLOOKUP(Table3[[#This Row],[Agen id]],Agen!A:C,3,0)</f>
        <v/>
      </c>
      <c r="K336" s="37">
        <f>TRIM(LEFT(Table3[[#This Row],[Group]],2))</f>
        <v/>
      </c>
      <c r="L336" s="3" t="inlineStr">
        <is>
          <t>NON SALES</t>
        </is>
      </c>
    </row>
    <row r="337">
      <c r="A337" s="5" t="inlineStr">
        <is>
          <t>OP02077</t>
        </is>
      </c>
      <c r="B337" s="6" t="inlineStr">
        <is>
          <t>KIOS BERKAT</t>
        </is>
      </c>
      <c r="C337" s="7" t="inlineStr">
        <is>
          <t>A - Agen</t>
        </is>
      </c>
      <c r="D337" s="1" t="inlineStr">
        <is>
          <t>OP01928</t>
        </is>
      </c>
      <c r="E337" s="8" t="n">
        <v>44822.84513888889</v>
      </c>
      <c r="F337" s="7" t="inlineStr">
        <is>
          <t>DOWNLINE</t>
        </is>
      </c>
      <c r="G337" s="18" t="inlineStr">
        <is>
          <t>OP01928</t>
        </is>
      </c>
      <c r="H337" s="19">
        <f>UPPER(Table3[[#This Row],[Agen id]]&amp;"-"&amp;VLOOKUP(Table3[[#This Row],[Agen id]],A:B,2,0)&amp;"("&amp;Table3[[#This Row],[Short]]&amp;")")</f>
        <v/>
      </c>
      <c r="J337" s="7">
        <f>VLOOKUP(Table3[[#This Row],[Agen id]],Agen!A:C,3,0)</f>
        <v/>
      </c>
      <c r="K337" s="37">
        <f>TRIM(LEFT(Table3[[#This Row],[Group]],2))</f>
        <v/>
      </c>
      <c r="L337" s="3" t="inlineStr">
        <is>
          <t>NON SALES</t>
        </is>
      </c>
    </row>
    <row r="338">
      <c r="A338" s="5" t="inlineStr">
        <is>
          <t>OP02078</t>
        </is>
      </c>
      <c r="B338" s="6" t="inlineStr">
        <is>
          <t>rinda</t>
        </is>
      </c>
      <c r="C338" s="7" t="inlineStr">
        <is>
          <t>AV - Agen Verified</t>
        </is>
      </c>
      <c r="D338" s="1" t="inlineStr">
        <is>
          <t>OP00761</t>
        </is>
      </c>
      <c r="E338" s="8" t="n">
        <v>44823.47083333333</v>
      </c>
      <c r="F338" s="7" t="inlineStr">
        <is>
          <t>DOWNLINE</t>
        </is>
      </c>
      <c r="G338" s="18" t="inlineStr">
        <is>
          <t>OP00761</t>
        </is>
      </c>
      <c r="H338" s="19">
        <f>UPPER(Table3[[#This Row],[Agen id]]&amp;"-"&amp;VLOOKUP(Table3[[#This Row],[Agen id]],A:B,2,0)&amp;"("&amp;Table3[[#This Row],[Short]]&amp;")")</f>
        <v/>
      </c>
      <c r="J338" s="7">
        <f>VLOOKUP(Table3[[#This Row],[Agen id]],Agen!A:C,3,0)</f>
        <v/>
      </c>
      <c r="K338" s="37">
        <f>TRIM(LEFT(Table3[[#This Row],[Group]],2))</f>
        <v/>
      </c>
      <c r="L338" s="3" t="inlineStr">
        <is>
          <t>NON SALES</t>
        </is>
      </c>
    </row>
    <row r="339">
      <c r="A339" s="5" t="inlineStr">
        <is>
          <t>OP02082</t>
        </is>
      </c>
      <c r="B339" s="6" t="inlineStr">
        <is>
          <t>Pulsa Mini</t>
        </is>
      </c>
      <c r="C339" s="7" t="inlineStr">
        <is>
          <t>MK - Marketing</t>
        </is>
      </c>
      <c r="D339" s="1" t="inlineStr">
        <is>
          <t>OP00002</t>
        </is>
      </c>
      <c r="E339" s="8" t="n">
        <v>44823.64930555555</v>
      </c>
      <c r="F339" s="7" t="inlineStr">
        <is>
          <t>AGEN</t>
        </is>
      </c>
      <c r="G339" s="18" t="inlineStr">
        <is>
          <t>OP02082</t>
        </is>
      </c>
      <c r="H339" s="19">
        <f>UPPER(Table3[[#This Row],[Agen id]]&amp;"-"&amp;VLOOKUP(Table3[[#This Row],[Agen id]],A:B,2,0)&amp;"("&amp;Table3[[#This Row],[Short]]&amp;")")</f>
        <v/>
      </c>
      <c r="J339" s="7">
        <f>VLOOKUP(Table3[[#This Row],[Agen id]],Agen!A:C,3,0)</f>
        <v/>
      </c>
      <c r="K339" s="37">
        <f>TRIM(LEFT(Table3[[#This Row],[Group]],2))</f>
        <v/>
      </c>
      <c r="L339" s="3" t="inlineStr">
        <is>
          <t>NON SALES</t>
        </is>
      </c>
    </row>
    <row r="340">
      <c r="A340" s="5" t="inlineStr">
        <is>
          <t>OP02088</t>
        </is>
      </c>
      <c r="B340" s="6" t="inlineStr">
        <is>
          <t>Tigaputra cell ptpn7</t>
        </is>
      </c>
      <c r="C340" s="7" t="inlineStr">
        <is>
          <t>AV - Agen Verified</t>
        </is>
      </c>
      <c r="D340" s="1" t="inlineStr">
        <is>
          <t>OP00996</t>
        </is>
      </c>
      <c r="E340" s="8" t="n">
        <v>44825.72777777778</v>
      </c>
      <c r="F340" s="7" t="inlineStr">
        <is>
          <t>DOWNLINE</t>
        </is>
      </c>
      <c r="G340" s="18" t="inlineStr">
        <is>
          <t>OP00996</t>
        </is>
      </c>
      <c r="H340" s="19">
        <f>UPPER(Table3[[#This Row],[Agen id]]&amp;"-"&amp;VLOOKUP(Table3[[#This Row],[Agen id]],A:B,2,0)&amp;"("&amp;Table3[[#This Row],[Short]]&amp;")")</f>
        <v/>
      </c>
      <c r="J340" s="7">
        <f>VLOOKUP(Table3[[#This Row],[Agen id]],Agen!A:C,3,0)</f>
        <v/>
      </c>
      <c r="K340" s="37">
        <f>TRIM(LEFT(Table3[[#This Row],[Group]],2))</f>
        <v/>
      </c>
      <c r="L340" s="3" t="inlineStr">
        <is>
          <t>NON SALES</t>
        </is>
      </c>
    </row>
    <row r="341">
      <c r="A341" s="5" t="inlineStr">
        <is>
          <t>OP02092</t>
        </is>
      </c>
      <c r="B341" s="6" t="inlineStr">
        <is>
          <t>Yadi</t>
        </is>
      </c>
      <c r="C341" s="7" t="inlineStr">
        <is>
          <t>A - Agen</t>
        </is>
      </c>
      <c r="D341" s="1" t="inlineStr">
        <is>
          <t>OP00996</t>
        </is>
      </c>
      <c r="E341" s="8" t="n">
        <v>44825.78263888889</v>
      </c>
      <c r="F341" s="7" t="inlineStr">
        <is>
          <t>DOWNLINE</t>
        </is>
      </c>
      <c r="G341" s="18" t="inlineStr">
        <is>
          <t>OP00996</t>
        </is>
      </c>
      <c r="H341" s="19">
        <f>UPPER(Table3[[#This Row],[Agen id]]&amp;"-"&amp;VLOOKUP(Table3[[#This Row],[Agen id]],A:B,2,0)&amp;"("&amp;Table3[[#This Row],[Short]]&amp;")")</f>
        <v/>
      </c>
      <c r="J341" s="7">
        <f>VLOOKUP(Table3[[#This Row],[Agen id]],Agen!A:C,3,0)</f>
        <v/>
      </c>
      <c r="K341" s="37">
        <f>TRIM(LEFT(Table3[[#This Row],[Group]],2))</f>
        <v/>
      </c>
      <c r="L341" s="3" t="inlineStr">
        <is>
          <t>NON SALES</t>
        </is>
      </c>
    </row>
    <row r="342">
      <c r="A342" s="5" t="inlineStr">
        <is>
          <t>OP02097</t>
        </is>
      </c>
      <c r="B342" s="6" t="inlineStr">
        <is>
          <t>Siregar Ahmad</t>
        </is>
      </c>
      <c r="C342" s="7" t="inlineStr">
        <is>
          <t>A - Agen</t>
        </is>
      </c>
      <c r="D342" s="1" t="inlineStr">
        <is>
          <t>OP00996</t>
        </is>
      </c>
      <c r="E342" s="8" t="n">
        <v>44826.07430555556</v>
      </c>
      <c r="F342" s="7" t="inlineStr">
        <is>
          <t>DOWNLINE</t>
        </is>
      </c>
      <c r="G342" s="18" t="inlineStr">
        <is>
          <t>OP00996</t>
        </is>
      </c>
      <c r="H342" s="19">
        <f>UPPER(Table3[[#This Row],[Agen id]]&amp;"-"&amp;VLOOKUP(Table3[[#This Row],[Agen id]],A:B,2,0)&amp;"("&amp;Table3[[#This Row],[Short]]&amp;")")</f>
        <v/>
      </c>
      <c r="J342" s="7">
        <f>VLOOKUP(Table3[[#This Row],[Agen id]],Agen!A:C,3,0)</f>
        <v/>
      </c>
      <c r="K342" s="37">
        <f>TRIM(LEFT(Table3[[#This Row],[Group]],2))</f>
        <v/>
      </c>
      <c r="L342" s="3" t="inlineStr">
        <is>
          <t>NON SALES</t>
        </is>
      </c>
    </row>
    <row r="343">
      <c r="A343" s="5" t="inlineStr">
        <is>
          <t>OP02110</t>
        </is>
      </c>
      <c r="B343" s="6" t="inlineStr">
        <is>
          <t>CANDRA PULSA</t>
        </is>
      </c>
      <c r="C343" s="7" t="inlineStr">
        <is>
          <t>A - Agen</t>
        </is>
      </c>
      <c r="D343" s="1" t="inlineStr">
        <is>
          <t>OP00091</t>
        </is>
      </c>
      <c r="E343" s="8" t="n">
        <v>44826.50138888889</v>
      </c>
      <c r="F343" s="7" t="inlineStr">
        <is>
          <t>DOWNLINE</t>
        </is>
      </c>
      <c r="G343" s="18" t="inlineStr">
        <is>
          <t>OP00091</t>
        </is>
      </c>
      <c r="H343" s="19">
        <f>UPPER(Table3[[#This Row],[Agen id]]&amp;"-"&amp;VLOOKUP(Table3[[#This Row],[Agen id]],A:B,2,0)&amp;"("&amp;Table3[[#This Row],[Short]]&amp;")")</f>
        <v/>
      </c>
      <c r="J343" s="7">
        <f>VLOOKUP(Table3[[#This Row],[Agen id]],Agen!A:C,3,0)</f>
        <v/>
      </c>
      <c r="K343" s="37">
        <f>TRIM(LEFT(Table3[[#This Row],[Group]],2))</f>
        <v/>
      </c>
      <c r="L343" s="3" t="inlineStr">
        <is>
          <t>NON SALES</t>
        </is>
      </c>
    </row>
    <row r="344">
      <c r="A344" s="5" t="inlineStr">
        <is>
          <t>OP02111</t>
        </is>
      </c>
      <c r="B344" s="6" t="inlineStr">
        <is>
          <t>Nasty</t>
        </is>
      </c>
      <c r="C344" s="7" t="inlineStr">
        <is>
          <t>A - Agen</t>
        </is>
      </c>
      <c r="D344" s="1" t="inlineStr">
        <is>
          <t>OP00996</t>
        </is>
      </c>
      <c r="E344" s="8" t="n">
        <v>44826.51736111111</v>
      </c>
      <c r="F344" s="7" t="inlineStr">
        <is>
          <t>DOWNLINE</t>
        </is>
      </c>
      <c r="G344" s="18" t="inlineStr">
        <is>
          <t>OP00996</t>
        </is>
      </c>
      <c r="H344" s="19">
        <f>UPPER(Table3[[#This Row],[Agen id]]&amp;"-"&amp;VLOOKUP(Table3[[#This Row],[Agen id]],A:B,2,0)&amp;"("&amp;Table3[[#This Row],[Short]]&amp;")")</f>
        <v/>
      </c>
      <c r="J344" s="7">
        <f>VLOOKUP(Table3[[#This Row],[Agen id]],Agen!A:C,3,0)</f>
        <v/>
      </c>
      <c r="K344" s="37">
        <f>TRIM(LEFT(Table3[[#This Row],[Group]],2))</f>
        <v/>
      </c>
      <c r="L344" s="3" t="inlineStr">
        <is>
          <t>NON SALES</t>
        </is>
      </c>
    </row>
    <row r="345">
      <c r="A345" s="5" t="inlineStr">
        <is>
          <t>OP02117</t>
        </is>
      </c>
      <c r="B345" s="6" t="inlineStr">
        <is>
          <t>Ayu</t>
        </is>
      </c>
      <c r="C345" s="7" t="inlineStr">
        <is>
          <t>A - Agen</t>
        </is>
      </c>
      <c r="D345" s="1" t="inlineStr">
        <is>
          <t>OP00996</t>
        </is>
      </c>
      <c r="E345" s="8" t="n">
        <v>44827.12708333333</v>
      </c>
      <c r="F345" s="7" t="inlineStr">
        <is>
          <t>DOWNLINE</t>
        </is>
      </c>
      <c r="G345" s="18" t="inlineStr">
        <is>
          <t>OP00996</t>
        </is>
      </c>
      <c r="H345" s="19">
        <f>UPPER(Table3[[#This Row],[Agen id]]&amp;"-"&amp;VLOOKUP(Table3[[#This Row],[Agen id]],A:B,2,0)&amp;"("&amp;Table3[[#This Row],[Short]]&amp;")")</f>
        <v/>
      </c>
      <c r="J345" s="7">
        <f>VLOOKUP(Table3[[#This Row],[Agen id]],Agen!A:C,3,0)</f>
        <v/>
      </c>
      <c r="K345" s="37">
        <f>TRIM(LEFT(Table3[[#This Row],[Group]],2))</f>
        <v/>
      </c>
      <c r="L345" s="3" t="inlineStr">
        <is>
          <t>NON SALES</t>
        </is>
      </c>
    </row>
    <row r="346">
      <c r="A346" s="5" t="inlineStr">
        <is>
          <t>OP02120</t>
        </is>
      </c>
      <c r="B346" s="6" t="inlineStr">
        <is>
          <t>REMBULAN.CELL</t>
        </is>
      </c>
      <c r="C346" s="7" t="inlineStr">
        <is>
          <t>A - Agen</t>
        </is>
      </c>
      <c r="D346" s="1" t="inlineStr">
        <is>
          <t>OP00401</t>
        </is>
      </c>
      <c r="E346" s="8" t="n">
        <v>44827.27361111111</v>
      </c>
      <c r="F346" s="7" t="inlineStr">
        <is>
          <t>DOWNLINE</t>
        </is>
      </c>
      <c r="G346" s="18" t="inlineStr">
        <is>
          <t>OP00401</t>
        </is>
      </c>
      <c r="H346" s="19">
        <f>UPPER(Table3[[#This Row],[Agen id]]&amp;"-"&amp;VLOOKUP(Table3[[#This Row],[Agen id]],A:B,2,0)&amp;"("&amp;Table3[[#This Row],[Short]]&amp;")")</f>
        <v/>
      </c>
      <c r="J346" s="7">
        <f>VLOOKUP(Table3[[#This Row],[Agen id]],Agen!A:C,3,0)</f>
        <v/>
      </c>
      <c r="K346" s="37">
        <f>TRIM(LEFT(Table3[[#This Row],[Group]],2))</f>
        <v/>
      </c>
      <c r="L346" s="3" t="inlineStr">
        <is>
          <t>NON SALES</t>
        </is>
      </c>
    </row>
    <row r="347">
      <c r="A347" s="5" t="inlineStr">
        <is>
          <t>OP02125</t>
        </is>
      </c>
      <c r="B347" s="6" t="inlineStr">
        <is>
          <t>ADI SUTRIADI PANGANDARAN</t>
        </is>
      </c>
      <c r="C347" s="7" t="inlineStr">
        <is>
          <t>AV - Agen Verified</t>
        </is>
      </c>
      <c r="D347" s="1" t="inlineStr">
        <is>
          <t>OP00002</t>
        </is>
      </c>
      <c r="E347" s="8" t="n">
        <v>44827.32013888889</v>
      </c>
      <c r="F347" s="7" t="inlineStr">
        <is>
          <t>AGEN</t>
        </is>
      </c>
      <c r="G347" s="18" t="inlineStr">
        <is>
          <t>OP02125</t>
        </is>
      </c>
      <c r="H347" s="19">
        <f>UPPER(Table3[[#This Row],[Agen id]]&amp;"-"&amp;VLOOKUP(Table3[[#This Row],[Agen id]],A:B,2,0)&amp;"("&amp;Table3[[#This Row],[Short]]&amp;")")</f>
        <v/>
      </c>
      <c r="J347" s="7">
        <f>VLOOKUP(Table3[[#This Row],[Agen id]],Agen!A:C,3,0)</f>
        <v/>
      </c>
      <c r="K347" s="37">
        <f>TRIM(LEFT(Table3[[#This Row],[Group]],2))</f>
        <v/>
      </c>
      <c r="L347" s="3" t="inlineStr">
        <is>
          <t>NON SALES</t>
        </is>
      </c>
    </row>
    <row r="348">
      <c r="A348" s="5" t="inlineStr">
        <is>
          <t>OP02144</t>
        </is>
      </c>
      <c r="B348" s="6" t="inlineStr">
        <is>
          <t>Khanza cell</t>
        </is>
      </c>
      <c r="C348" s="7" t="inlineStr">
        <is>
          <t>A - Agen</t>
        </is>
      </c>
      <c r="D348" s="1" t="inlineStr">
        <is>
          <t>OP00996</t>
        </is>
      </c>
      <c r="E348" s="8" t="n">
        <v>44827.70069444444</v>
      </c>
      <c r="F348" s="7" t="inlineStr">
        <is>
          <t>DOWNLINE</t>
        </is>
      </c>
      <c r="G348" s="18" t="inlineStr">
        <is>
          <t>OP00996</t>
        </is>
      </c>
      <c r="H348" s="19">
        <f>UPPER(Table3[[#This Row],[Agen id]]&amp;"-"&amp;VLOOKUP(Table3[[#This Row],[Agen id]],A:B,2,0)&amp;"("&amp;Table3[[#This Row],[Short]]&amp;")")</f>
        <v/>
      </c>
      <c r="J348" s="7">
        <f>VLOOKUP(Table3[[#This Row],[Agen id]],Agen!A:C,3,0)</f>
        <v/>
      </c>
      <c r="K348" s="37">
        <f>TRIM(LEFT(Table3[[#This Row],[Group]],2))</f>
        <v/>
      </c>
      <c r="L348" s="3" t="inlineStr">
        <is>
          <t>NON SALES</t>
        </is>
      </c>
    </row>
    <row r="349">
      <c r="A349" s="5" t="inlineStr">
        <is>
          <t>OP02146</t>
        </is>
      </c>
      <c r="B349" s="6" t="inlineStr">
        <is>
          <t>KIOS BINTANG</t>
        </is>
      </c>
      <c r="C349" s="7" t="inlineStr">
        <is>
          <t>A - Agen</t>
        </is>
      </c>
      <c r="D349" s="1" t="inlineStr">
        <is>
          <t>OP01928</t>
        </is>
      </c>
      <c r="E349" s="8" t="n">
        <v>44827.74305555555</v>
      </c>
      <c r="F349" s="7" t="inlineStr">
        <is>
          <t>DOWNLINE</t>
        </is>
      </c>
      <c r="G349" s="18" t="inlineStr">
        <is>
          <t>OP01928</t>
        </is>
      </c>
      <c r="H349" s="19">
        <f>UPPER(Table3[[#This Row],[Agen id]]&amp;"-"&amp;VLOOKUP(Table3[[#This Row],[Agen id]],A:B,2,0)&amp;"("&amp;Table3[[#This Row],[Short]]&amp;")")</f>
        <v/>
      </c>
      <c r="J349" s="7">
        <f>VLOOKUP(Table3[[#This Row],[Agen id]],Agen!A:C,3,0)</f>
        <v/>
      </c>
      <c r="K349" s="37">
        <f>TRIM(LEFT(Table3[[#This Row],[Group]],2))</f>
        <v/>
      </c>
      <c r="L349" s="3" t="inlineStr">
        <is>
          <t>NON SALES</t>
        </is>
      </c>
    </row>
    <row r="350">
      <c r="A350" s="5" t="inlineStr">
        <is>
          <t>OP02166</t>
        </is>
      </c>
      <c r="B350" s="6" t="inlineStr">
        <is>
          <t>Nia Risma</t>
        </is>
      </c>
      <c r="C350" s="7" t="inlineStr">
        <is>
          <t>A - Agen</t>
        </is>
      </c>
      <c r="D350" s="1" t="inlineStr">
        <is>
          <t>OP00996</t>
        </is>
      </c>
      <c r="E350" s="8" t="n">
        <v>44828.44097222222</v>
      </c>
      <c r="F350" s="7" t="inlineStr">
        <is>
          <t>DOWNLINE</t>
        </is>
      </c>
      <c r="G350" s="18" t="inlineStr">
        <is>
          <t>OP00996</t>
        </is>
      </c>
      <c r="H350" s="19">
        <f>UPPER(Table3[[#This Row],[Agen id]]&amp;"-"&amp;VLOOKUP(Table3[[#This Row],[Agen id]],A:B,2,0)&amp;"("&amp;Table3[[#This Row],[Short]]&amp;")")</f>
        <v/>
      </c>
      <c r="J350" s="7">
        <f>VLOOKUP(Table3[[#This Row],[Agen id]],Agen!A:C,3,0)</f>
        <v/>
      </c>
      <c r="K350" s="37">
        <f>TRIM(LEFT(Table3[[#This Row],[Group]],2))</f>
        <v/>
      </c>
      <c r="L350" s="3" t="inlineStr">
        <is>
          <t>NON SALES</t>
        </is>
      </c>
    </row>
    <row r="351">
      <c r="A351" s="5" t="inlineStr">
        <is>
          <t>OP02176</t>
        </is>
      </c>
      <c r="B351" s="6" t="inlineStr">
        <is>
          <t>LEMAN - KEY</t>
        </is>
      </c>
      <c r="C351" s="7" t="inlineStr">
        <is>
          <t>AV - Agen Verified</t>
        </is>
      </c>
      <c r="D351" s="1" t="inlineStr">
        <is>
          <t>OP00279</t>
        </is>
      </c>
      <c r="E351" s="8" t="n">
        <v>44828.72083333333</v>
      </c>
      <c r="F351" s="7" t="inlineStr">
        <is>
          <t>DOWNLINE</t>
        </is>
      </c>
      <c r="G351" s="18" t="inlineStr">
        <is>
          <t>OP00014</t>
        </is>
      </c>
      <c r="H351" s="19">
        <f>UPPER(Table3[[#This Row],[Agen id]]&amp;"-"&amp;VLOOKUP(Table3[[#This Row],[Agen id]],A:B,2,0)&amp;"("&amp;Table3[[#This Row],[Short]]&amp;")")</f>
        <v/>
      </c>
      <c r="J351" s="7">
        <f>VLOOKUP(Table3[[#This Row],[Agen id]],Agen!A:C,3,0)</f>
        <v/>
      </c>
      <c r="K351" s="37">
        <f>TRIM(LEFT(Table3[[#This Row],[Group]],2))</f>
        <v/>
      </c>
      <c r="L351" s="3" t="inlineStr">
        <is>
          <t>NON SALES</t>
        </is>
      </c>
    </row>
    <row r="352">
      <c r="A352" s="5" t="inlineStr">
        <is>
          <t>OP02182</t>
        </is>
      </c>
      <c r="B352" s="6" t="inlineStr">
        <is>
          <t>Toko Guntur</t>
        </is>
      </c>
      <c r="C352" s="7" t="inlineStr">
        <is>
          <t>AV - Agen Verified</t>
        </is>
      </c>
      <c r="D352" s="1" t="inlineStr">
        <is>
          <t>OP00002</t>
        </is>
      </c>
      <c r="E352" s="8" t="n">
        <v>44828.79166666666</v>
      </c>
      <c r="F352" s="7" t="inlineStr">
        <is>
          <t>AGEN</t>
        </is>
      </c>
      <c r="G352" s="18" t="inlineStr">
        <is>
          <t>OP02182</t>
        </is>
      </c>
      <c r="H352" s="19">
        <f>UPPER(Table3[[#This Row],[Agen id]]&amp;"-"&amp;VLOOKUP(Table3[[#This Row],[Agen id]],A:B,2,0)&amp;"("&amp;Table3[[#This Row],[Short]]&amp;")")</f>
        <v/>
      </c>
      <c r="J352" s="7">
        <f>VLOOKUP(Table3[[#This Row],[Agen id]],Agen!A:C,3,0)</f>
        <v/>
      </c>
      <c r="K352" s="37">
        <f>TRIM(LEFT(Table3[[#This Row],[Group]],2))</f>
        <v/>
      </c>
      <c r="L352" s="3" t="inlineStr">
        <is>
          <t>NON SALES</t>
        </is>
      </c>
    </row>
    <row r="353">
      <c r="A353" s="5" t="inlineStr">
        <is>
          <t>OP02189</t>
        </is>
      </c>
      <c r="B353" s="6" t="inlineStr">
        <is>
          <t>Harjoni Arif Wijaya</t>
        </is>
      </c>
      <c r="C353" s="7" t="inlineStr">
        <is>
          <t>A - Agen</t>
        </is>
      </c>
      <c r="D353" s="1" t="inlineStr">
        <is>
          <t>OP00002</t>
        </is>
      </c>
      <c r="E353" s="8" t="n">
        <v>44828.84652777778</v>
      </c>
      <c r="F353" s="7" t="inlineStr">
        <is>
          <t>AGEN</t>
        </is>
      </c>
      <c r="G353" s="18" t="inlineStr">
        <is>
          <t>OP02189</t>
        </is>
      </c>
      <c r="H353" s="19">
        <f>UPPER(Table3[[#This Row],[Agen id]]&amp;"-"&amp;VLOOKUP(Table3[[#This Row],[Agen id]],A:B,2,0)&amp;"("&amp;Table3[[#This Row],[Short]]&amp;")")</f>
        <v/>
      </c>
      <c r="J353" s="7">
        <f>VLOOKUP(Table3[[#This Row],[Agen id]],Agen!A:C,3,0)</f>
        <v/>
      </c>
      <c r="K353" s="37">
        <f>TRIM(LEFT(Table3[[#This Row],[Group]],2))</f>
        <v/>
      </c>
      <c r="L353" s="3" t="inlineStr">
        <is>
          <t>NON SALES</t>
        </is>
      </c>
    </row>
    <row r="354">
      <c r="A354" s="5" t="inlineStr">
        <is>
          <t>OP02195</t>
        </is>
      </c>
      <c r="B354" s="6" t="inlineStr">
        <is>
          <t>ABDIS CELL</t>
        </is>
      </c>
      <c r="C354" s="7" t="inlineStr">
        <is>
          <t>A - Agen</t>
        </is>
      </c>
      <c r="D354" s="1" t="inlineStr">
        <is>
          <t>OP00002</t>
        </is>
      </c>
      <c r="E354" s="8" t="n">
        <v>44829.02083333334</v>
      </c>
      <c r="F354" s="7" t="inlineStr">
        <is>
          <t>AGEN</t>
        </is>
      </c>
      <c r="G354" s="18" t="inlineStr">
        <is>
          <t>OP02195</t>
        </is>
      </c>
      <c r="H354" s="19">
        <f>UPPER(Table3[[#This Row],[Agen id]]&amp;"-"&amp;VLOOKUP(Table3[[#This Row],[Agen id]],A:B,2,0)&amp;"("&amp;Table3[[#This Row],[Short]]&amp;")")</f>
        <v/>
      </c>
      <c r="J354" s="7">
        <f>VLOOKUP(Table3[[#This Row],[Agen id]],Agen!A:C,3,0)</f>
        <v/>
      </c>
      <c r="K354" s="37">
        <f>TRIM(LEFT(Table3[[#This Row],[Group]],2))</f>
        <v/>
      </c>
      <c r="L354" s="3" t="inlineStr">
        <is>
          <t>NON SALES</t>
        </is>
      </c>
    </row>
    <row r="355">
      <c r="A355" s="5" t="inlineStr">
        <is>
          <t>OP02211</t>
        </is>
      </c>
      <c r="B355" s="6" t="inlineStr">
        <is>
          <t>Dadang Hernawan</t>
        </is>
      </c>
      <c r="C355" s="7" t="inlineStr">
        <is>
          <t>AV - Agen Verified</t>
        </is>
      </c>
      <c r="D355" s="1" t="inlineStr">
        <is>
          <t>OP00996</t>
        </is>
      </c>
      <c r="E355" s="8" t="n">
        <v>44829.4875</v>
      </c>
      <c r="F355" s="7" t="inlineStr">
        <is>
          <t>DOWNLINE</t>
        </is>
      </c>
      <c r="G355" s="18" t="inlineStr">
        <is>
          <t>OP00996</t>
        </is>
      </c>
      <c r="H355" s="19">
        <f>UPPER(Table3[[#This Row],[Agen id]]&amp;"-"&amp;VLOOKUP(Table3[[#This Row],[Agen id]],A:B,2,0)&amp;"("&amp;Table3[[#This Row],[Short]]&amp;")")</f>
        <v/>
      </c>
      <c r="J355" s="7">
        <f>VLOOKUP(Table3[[#This Row],[Agen id]],Agen!A:C,3,0)</f>
        <v/>
      </c>
      <c r="K355" s="37">
        <f>TRIM(LEFT(Table3[[#This Row],[Group]],2))</f>
        <v/>
      </c>
      <c r="L355" s="3" t="inlineStr">
        <is>
          <t>NON SALES</t>
        </is>
      </c>
    </row>
    <row r="356">
      <c r="A356" s="5" t="inlineStr">
        <is>
          <t>OP02218</t>
        </is>
      </c>
      <c r="B356" s="6" t="inlineStr">
        <is>
          <t>Reja</t>
        </is>
      </c>
      <c r="C356" s="7" t="inlineStr">
        <is>
          <t>AV - Agen Verified</t>
        </is>
      </c>
      <c r="D356" s="1" t="inlineStr">
        <is>
          <t>OP00002</t>
        </is>
      </c>
      <c r="E356" s="8" t="n">
        <v>44829.71180555555</v>
      </c>
      <c r="F356" s="7" t="inlineStr">
        <is>
          <t>AGEN</t>
        </is>
      </c>
      <c r="G356" s="18" t="inlineStr">
        <is>
          <t>OP02218</t>
        </is>
      </c>
      <c r="H356" s="19">
        <f>UPPER(Table3[[#This Row],[Agen id]]&amp;"-"&amp;VLOOKUP(Table3[[#This Row],[Agen id]],A:B,2,0)&amp;"("&amp;Table3[[#This Row],[Short]]&amp;")")</f>
        <v/>
      </c>
      <c r="J356" s="7">
        <f>VLOOKUP(Table3[[#This Row],[Agen id]],Agen!A:C,3,0)</f>
        <v/>
      </c>
      <c r="K356" s="37">
        <f>TRIM(LEFT(Table3[[#This Row],[Group]],2))</f>
        <v/>
      </c>
      <c r="L356" s="3" t="inlineStr">
        <is>
          <t>NON SALES</t>
        </is>
      </c>
    </row>
    <row r="357">
      <c r="A357" s="5" t="inlineStr">
        <is>
          <t>OP02225</t>
        </is>
      </c>
      <c r="B357" s="6" t="inlineStr">
        <is>
          <t>nazwahafiy</t>
        </is>
      </c>
      <c r="C357" s="7" t="inlineStr">
        <is>
          <t>AV - Agen Verified</t>
        </is>
      </c>
      <c r="D357" s="1" t="inlineStr">
        <is>
          <t>OP00236</t>
        </is>
      </c>
      <c r="E357" s="8" t="n">
        <v>44829.80069444444</v>
      </c>
      <c r="F357" s="7" t="inlineStr">
        <is>
          <t>DOWNLINE</t>
        </is>
      </c>
      <c r="G357" s="18" t="inlineStr">
        <is>
          <t>OP00236</t>
        </is>
      </c>
      <c r="H357" s="19">
        <f>UPPER(Table3[[#This Row],[Agen id]]&amp;"-"&amp;VLOOKUP(Table3[[#This Row],[Agen id]],A:B,2,0)&amp;"("&amp;Table3[[#This Row],[Short]]&amp;")")</f>
        <v/>
      </c>
      <c r="J357" s="7">
        <f>VLOOKUP(Table3[[#This Row],[Agen id]],Agen!A:C,3,0)</f>
        <v/>
      </c>
      <c r="K357" s="37">
        <f>TRIM(LEFT(Table3[[#This Row],[Group]],2))</f>
        <v/>
      </c>
      <c r="L357" s="3" t="inlineStr">
        <is>
          <t>NON SALES</t>
        </is>
      </c>
    </row>
    <row r="358">
      <c r="A358" s="5" t="inlineStr">
        <is>
          <t>OP02233</t>
        </is>
      </c>
      <c r="B358" s="6" t="inlineStr">
        <is>
          <t>WONDERWALL CELL</t>
        </is>
      </c>
      <c r="C358" s="7" t="inlineStr">
        <is>
          <t>AV - Agen Verified</t>
        </is>
      </c>
      <c r="D358" s="1" t="inlineStr">
        <is>
          <t>OP00002</t>
        </is>
      </c>
      <c r="E358" s="8" t="n">
        <v>44830.37430555555</v>
      </c>
      <c r="F358" s="7" t="inlineStr">
        <is>
          <t>AGEN</t>
        </is>
      </c>
      <c r="G358" s="18" t="inlineStr">
        <is>
          <t>OP02233</t>
        </is>
      </c>
      <c r="H358" s="19">
        <f>UPPER(Table3[[#This Row],[Agen id]]&amp;"-"&amp;VLOOKUP(Table3[[#This Row],[Agen id]],A:B,2,0)&amp;"("&amp;Table3[[#This Row],[Short]]&amp;")")</f>
        <v/>
      </c>
      <c r="J358" s="7">
        <f>VLOOKUP(Table3[[#This Row],[Agen id]],Agen!A:C,3,0)</f>
        <v/>
      </c>
      <c r="K358" s="37">
        <f>TRIM(LEFT(Table3[[#This Row],[Group]],2))</f>
        <v/>
      </c>
      <c r="L358" s="3" t="inlineStr">
        <is>
          <t>NON SALES</t>
        </is>
      </c>
    </row>
    <row r="359">
      <c r="A359" s="5" t="inlineStr">
        <is>
          <t>OP02236</t>
        </is>
      </c>
      <c r="B359" s="6" t="inlineStr">
        <is>
          <t>yonas</t>
        </is>
      </c>
      <c r="C359" s="7" t="inlineStr">
        <is>
          <t>A - Agen</t>
        </is>
      </c>
      <c r="D359" s="1" t="inlineStr">
        <is>
          <t>OP01689</t>
        </is>
      </c>
      <c r="E359" s="8" t="n">
        <v>44830.52708333333</v>
      </c>
      <c r="F359" s="7" t="inlineStr">
        <is>
          <t>DOWNLINE</t>
        </is>
      </c>
      <c r="G359" s="18" t="inlineStr">
        <is>
          <t>OP01689</t>
        </is>
      </c>
      <c r="H359" s="19">
        <f>UPPER(Table3[[#This Row],[Agen id]]&amp;"-"&amp;VLOOKUP(Table3[[#This Row],[Agen id]],A:B,2,0)&amp;"("&amp;Table3[[#This Row],[Short]]&amp;")")</f>
        <v/>
      </c>
      <c r="J359" s="7">
        <f>VLOOKUP(Table3[[#This Row],[Agen id]],Agen!A:C,3,0)</f>
        <v/>
      </c>
      <c r="K359" s="37">
        <f>TRIM(LEFT(Table3[[#This Row],[Group]],2))</f>
        <v/>
      </c>
      <c r="L359" s="3" t="inlineStr">
        <is>
          <t>NON SALES</t>
        </is>
      </c>
    </row>
    <row r="360">
      <c r="A360" s="5" t="inlineStr">
        <is>
          <t>OP02244</t>
        </is>
      </c>
      <c r="B360" s="6" t="inlineStr">
        <is>
          <t>Khairuddin</t>
        </is>
      </c>
      <c r="C360" s="7" t="inlineStr">
        <is>
          <t>A - Agen</t>
        </is>
      </c>
      <c r="D360" s="1" t="inlineStr">
        <is>
          <t>OP00996</t>
        </is>
      </c>
      <c r="E360" s="8" t="n">
        <v>44830.64375</v>
      </c>
      <c r="F360" s="7" t="inlineStr">
        <is>
          <t>DOWNLINE</t>
        </is>
      </c>
      <c r="G360" s="18" t="inlineStr">
        <is>
          <t>OP00996</t>
        </is>
      </c>
      <c r="H360" s="19">
        <f>UPPER(Table3[[#This Row],[Agen id]]&amp;"-"&amp;VLOOKUP(Table3[[#This Row],[Agen id]],A:B,2,0)&amp;"("&amp;Table3[[#This Row],[Short]]&amp;")")</f>
        <v/>
      </c>
      <c r="J360" s="7">
        <f>VLOOKUP(Table3[[#This Row],[Agen id]],Agen!A:C,3,0)</f>
        <v/>
      </c>
      <c r="K360" s="37">
        <f>TRIM(LEFT(Table3[[#This Row],[Group]],2))</f>
        <v/>
      </c>
      <c r="L360" s="3" t="inlineStr">
        <is>
          <t>NON SALES</t>
        </is>
      </c>
    </row>
    <row r="361">
      <c r="A361" s="5" t="inlineStr">
        <is>
          <t>OP02248</t>
        </is>
      </c>
      <c r="B361" s="6" t="inlineStr">
        <is>
          <t>Rpncell</t>
        </is>
      </c>
      <c r="C361" s="7" t="inlineStr">
        <is>
          <t>A - Agen</t>
        </is>
      </c>
      <c r="D361" s="1" t="inlineStr">
        <is>
          <t>OP00188</t>
        </is>
      </c>
      <c r="E361" s="8" t="n">
        <v>44830.70763888889</v>
      </c>
      <c r="F361" s="7" t="inlineStr">
        <is>
          <t>DOWNLINE</t>
        </is>
      </c>
      <c r="G361" s="18" t="inlineStr">
        <is>
          <t>OP00188</t>
        </is>
      </c>
      <c r="H361" s="19">
        <f>UPPER(Table3[[#This Row],[Agen id]]&amp;"-"&amp;VLOOKUP(Table3[[#This Row],[Agen id]],A:B,2,0)&amp;"("&amp;Table3[[#This Row],[Short]]&amp;")")</f>
        <v/>
      </c>
      <c r="J361" s="7">
        <f>VLOOKUP(Table3[[#This Row],[Agen id]],Agen!A:C,3,0)</f>
        <v/>
      </c>
      <c r="K361" s="37">
        <f>TRIM(LEFT(Table3[[#This Row],[Group]],2))</f>
        <v/>
      </c>
      <c r="L361" s="3" t="inlineStr">
        <is>
          <t>NON SALES</t>
        </is>
      </c>
    </row>
    <row r="362">
      <c r="A362" s="5" t="inlineStr">
        <is>
          <t>OP02252</t>
        </is>
      </c>
      <c r="B362" s="6" t="inlineStr">
        <is>
          <t>Amelia</t>
        </is>
      </c>
      <c r="C362" s="7" t="inlineStr">
        <is>
          <t>AV - Agen Verified</t>
        </is>
      </c>
      <c r="D362" s="1" t="inlineStr">
        <is>
          <t>OP00003</t>
        </is>
      </c>
      <c r="E362" s="8" t="n">
        <v>44830.775</v>
      </c>
      <c r="F362" s="7" t="inlineStr">
        <is>
          <t>AGEN</t>
        </is>
      </c>
      <c r="G362" s="18" t="inlineStr">
        <is>
          <t>OP02252</t>
        </is>
      </c>
      <c r="H362" s="19">
        <f>UPPER(Table3[[#This Row],[Agen id]]&amp;"-"&amp;VLOOKUP(Table3[[#This Row],[Agen id]],A:B,2,0)&amp;"("&amp;Table3[[#This Row],[Short]]&amp;")")</f>
        <v/>
      </c>
      <c r="J362" s="7">
        <f>VLOOKUP(Table3[[#This Row],[Agen id]],Agen!A:C,3,0)</f>
        <v/>
      </c>
      <c r="K362" s="37">
        <f>TRIM(LEFT(Table3[[#This Row],[Group]],2))</f>
        <v/>
      </c>
      <c r="L362" s="3" t="inlineStr">
        <is>
          <t>NON SALES</t>
        </is>
      </c>
    </row>
    <row r="363">
      <c r="A363" s="5" t="inlineStr">
        <is>
          <t>OP02276</t>
        </is>
      </c>
      <c r="B363" s="6" t="inlineStr">
        <is>
          <t>AP CELL</t>
        </is>
      </c>
      <c r="C363" s="7" t="inlineStr">
        <is>
          <t>AT1 - Agen Tangerang</t>
        </is>
      </c>
      <c r="D363" s="1" t="inlineStr">
        <is>
          <t>OP00996</t>
        </is>
      </c>
      <c r="E363" s="8" t="n">
        <v>44831.52361111111</v>
      </c>
      <c r="F363" s="7" t="inlineStr">
        <is>
          <t>DOWNLINE</t>
        </is>
      </c>
      <c r="G363" s="18" t="inlineStr">
        <is>
          <t>OP00996</t>
        </is>
      </c>
      <c r="H363" s="19">
        <f>UPPER(Table3[[#This Row],[Agen id]]&amp;"-"&amp;VLOOKUP(Table3[[#This Row],[Agen id]],A:B,2,0)&amp;"("&amp;Table3[[#This Row],[Short]]&amp;")")</f>
        <v/>
      </c>
      <c r="J363" s="7">
        <f>VLOOKUP(Table3[[#This Row],[Agen id]],Agen!A:C,3,0)</f>
        <v/>
      </c>
      <c r="K363" s="37">
        <f>TRIM(LEFT(Table3[[#This Row],[Group]],2))</f>
        <v/>
      </c>
      <c r="L363" s="3" t="inlineStr">
        <is>
          <t>NON SALES</t>
        </is>
      </c>
    </row>
    <row r="364">
      <c r="A364" s="5" t="inlineStr">
        <is>
          <t>OP02280</t>
        </is>
      </c>
      <c r="B364" s="6" t="inlineStr">
        <is>
          <t>Vithry Cell</t>
        </is>
      </c>
      <c r="C364" s="7" t="inlineStr">
        <is>
          <t>AV - Agen Verified</t>
        </is>
      </c>
      <c r="D364" s="1" t="inlineStr">
        <is>
          <t>OP00003</t>
        </is>
      </c>
      <c r="E364" s="8" t="n">
        <v>44831.61041666667</v>
      </c>
      <c r="F364" s="7" t="inlineStr">
        <is>
          <t>AGEN</t>
        </is>
      </c>
      <c r="G364" s="18" t="inlineStr">
        <is>
          <t>OP02280</t>
        </is>
      </c>
      <c r="H364" s="19">
        <f>UPPER(Table3[[#This Row],[Agen id]]&amp;"-"&amp;VLOOKUP(Table3[[#This Row],[Agen id]],A:B,2,0)&amp;"("&amp;Table3[[#This Row],[Short]]&amp;")")</f>
        <v/>
      </c>
      <c r="J364" s="7">
        <f>VLOOKUP(Table3[[#This Row],[Agen id]],Agen!A:C,3,0)</f>
        <v/>
      </c>
      <c r="K364" s="37">
        <f>TRIM(LEFT(Table3[[#This Row],[Group]],2))</f>
        <v/>
      </c>
      <c r="L364" s="3" t="inlineStr">
        <is>
          <t>NON SALES</t>
        </is>
      </c>
    </row>
    <row r="365">
      <c r="A365" s="5" t="inlineStr">
        <is>
          <t>OP02285</t>
        </is>
      </c>
      <c r="B365" s="6" t="inlineStr">
        <is>
          <t>Sugandi</t>
        </is>
      </c>
      <c r="C365" s="7" t="inlineStr">
        <is>
          <t>AT1 - Agen Tangerang</t>
        </is>
      </c>
      <c r="D365" s="1" t="inlineStr">
        <is>
          <t>OP00003</t>
        </is>
      </c>
      <c r="E365" s="8" t="n">
        <v>44831.73194444444</v>
      </c>
      <c r="F365" s="7" t="inlineStr">
        <is>
          <t>AGEN</t>
        </is>
      </c>
      <c r="G365" s="18" t="inlineStr">
        <is>
          <t>OP02285</t>
        </is>
      </c>
      <c r="H365" s="19">
        <f>UPPER(Table3[[#This Row],[Agen id]]&amp;"-"&amp;VLOOKUP(Table3[[#This Row],[Agen id]],A:B,2,0)&amp;"("&amp;Table3[[#This Row],[Short]]&amp;")")</f>
        <v/>
      </c>
      <c r="J365" s="7">
        <f>VLOOKUP(Table3[[#This Row],[Agen id]],Agen!A:C,3,0)</f>
        <v/>
      </c>
      <c r="K365" s="37">
        <f>TRIM(LEFT(Table3[[#This Row],[Group]],2))</f>
        <v/>
      </c>
      <c r="L365" s="3" t="inlineStr">
        <is>
          <t>NON SALES</t>
        </is>
      </c>
    </row>
    <row r="366">
      <c r="A366" s="5" t="inlineStr">
        <is>
          <t>OP02302</t>
        </is>
      </c>
      <c r="B366" s="6" t="inlineStr">
        <is>
          <t>MULYADI</t>
        </is>
      </c>
      <c r="C366" s="7" t="inlineStr">
        <is>
          <t>A - Agen</t>
        </is>
      </c>
      <c r="D366" s="1" t="inlineStr">
        <is>
          <t>OP00049</t>
        </is>
      </c>
      <c r="E366" s="8" t="n">
        <v>44832.29027777778</v>
      </c>
      <c r="F366" s="7" t="inlineStr">
        <is>
          <t>DOWNLINE</t>
        </is>
      </c>
      <c r="G366" s="18" t="inlineStr">
        <is>
          <t>OP00049</t>
        </is>
      </c>
      <c r="H366" s="19">
        <f>UPPER(Table3[[#This Row],[Agen id]]&amp;"-"&amp;VLOOKUP(Table3[[#This Row],[Agen id]],A:B,2,0)&amp;"("&amp;Table3[[#This Row],[Short]]&amp;")")</f>
        <v/>
      </c>
      <c r="J366" s="7">
        <f>VLOOKUP(Table3[[#This Row],[Agen id]],Agen!A:C,3,0)</f>
        <v/>
      </c>
      <c r="K366" s="37">
        <f>TRIM(LEFT(Table3[[#This Row],[Group]],2))</f>
        <v/>
      </c>
      <c r="L366" s="3" t="inlineStr">
        <is>
          <t>NON SALES</t>
        </is>
      </c>
    </row>
    <row r="367">
      <c r="A367" s="5" t="inlineStr">
        <is>
          <t>OP02323</t>
        </is>
      </c>
      <c r="B367" s="6" t="inlineStr">
        <is>
          <t>PUTERI TIPTOP 2</t>
        </is>
      </c>
      <c r="C367" s="7" t="inlineStr">
        <is>
          <t>A - Agen</t>
        </is>
      </c>
      <c r="D367" s="1" t="inlineStr">
        <is>
          <t>OP01817</t>
        </is>
      </c>
      <c r="E367" s="8" t="n">
        <v>44832.73541666667</v>
      </c>
      <c r="F367" s="7" t="inlineStr">
        <is>
          <t>DOWNLINE</t>
        </is>
      </c>
      <c r="G367" s="18" t="inlineStr">
        <is>
          <t>OP01817</t>
        </is>
      </c>
      <c r="H367" s="19">
        <f>UPPER(Table3[[#This Row],[Agen id]]&amp;"-"&amp;VLOOKUP(Table3[[#This Row],[Agen id]],A:B,2,0)&amp;"("&amp;Table3[[#This Row],[Short]]&amp;")")</f>
        <v/>
      </c>
      <c r="J367" s="7">
        <f>VLOOKUP(Table3[[#This Row],[Agen id]],Agen!A:C,3,0)</f>
        <v/>
      </c>
      <c r="K367" s="37">
        <f>TRIM(LEFT(Table3[[#This Row],[Group]],2))</f>
        <v/>
      </c>
      <c r="L367" s="3" t="inlineStr">
        <is>
          <t>NON SALES</t>
        </is>
      </c>
    </row>
    <row r="368">
      <c r="A368" s="5" t="inlineStr">
        <is>
          <t>OP02327</t>
        </is>
      </c>
      <c r="B368" s="6" t="inlineStr">
        <is>
          <t>SANTI</t>
        </is>
      </c>
      <c r="C368" s="7" t="inlineStr">
        <is>
          <t>A - Agen</t>
        </is>
      </c>
      <c r="D368" s="1" t="inlineStr">
        <is>
          <t>OP00002</t>
        </is>
      </c>
      <c r="E368" s="8" t="n">
        <v>44832.78680555556</v>
      </c>
      <c r="F368" s="7" t="inlineStr">
        <is>
          <t>AGEN</t>
        </is>
      </c>
      <c r="G368" s="18" t="inlineStr">
        <is>
          <t>OP02327</t>
        </is>
      </c>
      <c r="H368" s="19">
        <f>UPPER(Table3[[#This Row],[Agen id]]&amp;"-"&amp;VLOOKUP(Table3[[#This Row],[Agen id]],A:B,2,0)&amp;"("&amp;Table3[[#This Row],[Short]]&amp;")")</f>
        <v/>
      </c>
      <c r="J368" s="7">
        <f>VLOOKUP(Table3[[#This Row],[Agen id]],Agen!A:C,3,0)</f>
        <v/>
      </c>
      <c r="K368" s="37">
        <f>TRIM(LEFT(Table3[[#This Row],[Group]],2))</f>
        <v/>
      </c>
      <c r="L368" s="3" t="inlineStr">
        <is>
          <t>NON SALES</t>
        </is>
      </c>
    </row>
    <row r="369">
      <c r="A369" s="5" t="inlineStr">
        <is>
          <t>OP02328</t>
        </is>
      </c>
      <c r="B369" s="6" t="inlineStr">
        <is>
          <t>Sinta</t>
        </is>
      </c>
      <c r="C369" s="7" t="inlineStr">
        <is>
          <t>A - Agen</t>
        </is>
      </c>
      <c r="D369" s="1" t="inlineStr">
        <is>
          <t>OP00051</t>
        </is>
      </c>
      <c r="E369" s="8" t="n">
        <v>44832.79236111111</v>
      </c>
      <c r="F369" s="7" t="inlineStr">
        <is>
          <t>DOWNLINE</t>
        </is>
      </c>
      <c r="G369" s="18" t="inlineStr">
        <is>
          <t>OP00051</t>
        </is>
      </c>
      <c r="H369" s="19">
        <f>UPPER(Table3[[#This Row],[Agen id]]&amp;"-"&amp;VLOOKUP(Table3[[#This Row],[Agen id]],A:B,2,0)&amp;"("&amp;Table3[[#This Row],[Short]]&amp;")")</f>
        <v/>
      </c>
      <c r="J369" s="7">
        <f>VLOOKUP(Table3[[#This Row],[Agen id]],Agen!A:C,3,0)</f>
        <v/>
      </c>
      <c r="K369" s="37">
        <f>TRIM(LEFT(Table3[[#This Row],[Group]],2))</f>
        <v/>
      </c>
      <c r="L369" s="3" t="inlineStr">
        <is>
          <t>NON SALES</t>
        </is>
      </c>
    </row>
    <row r="370">
      <c r="A370" s="5" t="inlineStr">
        <is>
          <t>OP02329</t>
        </is>
      </c>
      <c r="B370" s="6" t="inlineStr">
        <is>
          <t>nurohman</t>
        </is>
      </c>
      <c r="C370" s="7" t="inlineStr">
        <is>
          <t>AV - Agen Verified</t>
        </is>
      </c>
      <c r="D370" s="1" t="inlineStr">
        <is>
          <t>OP00003</t>
        </is>
      </c>
      <c r="E370" s="8" t="n">
        <v>44832.81319444445</v>
      </c>
      <c r="F370" s="7" t="inlineStr">
        <is>
          <t>AGEN</t>
        </is>
      </c>
      <c r="G370" s="18" t="inlineStr">
        <is>
          <t>OP02329</t>
        </is>
      </c>
      <c r="H370" s="19">
        <f>UPPER(Table3[[#This Row],[Agen id]]&amp;"-"&amp;VLOOKUP(Table3[[#This Row],[Agen id]],A:B,2,0)&amp;"("&amp;Table3[[#This Row],[Short]]&amp;")")</f>
        <v/>
      </c>
      <c r="J370" s="7">
        <f>VLOOKUP(Table3[[#This Row],[Agen id]],Agen!A:C,3,0)</f>
        <v/>
      </c>
      <c r="K370" s="37">
        <f>TRIM(LEFT(Table3[[#This Row],[Group]],2))</f>
        <v/>
      </c>
      <c r="L370" s="3" t="inlineStr">
        <is>
          <t>NON SALES</t>
        </is>
      </c>
    </row>
    <row r="371">
      <c r="A371" s="5" t="inlineStr">
        <is>
          <t>OP02331</t>
        </is>
      </c>
      <c r="B371" s="6" t="inlineStr">
        <is>
          <t>EDY NUR CAHYONO</t>
        </is>
      </c>
      <c r="C371" s="7" t="inlineStr">
        <is>
          <t>AV - Agen Verified</t>
        </is>
      </c>
      <c r="D371" s="1" t="inlineStr">
        <is>
          <t>OP00003</t>
        </is>
      </c>
      <c r="E371" s="8" t="n">
        <v>44832.89861111111</v>
      </c>
      <c r="F371" s="7" t="inlineStr">
        <is>
          <t>AGEN</t>
        </is>
      </c>
      <c r="G371" s="18" t="inlineStr">
        <is>
          <t>OP02331</t>
        </is>
      </c>
      <c r="H371" s="19">
        <f>UPPER(Table3[[#This Row],[Agen id]]&amp;"-"&amp;VLOOKUP(Table3[[#This Row],[Agen id]],A:B,2,0)&amp;"("&amp;Table3[[#This Row],[Short]]&amp;")")</f>
        <v/>
      </c>
      <c r="J371" s="7">
        <f>VLOOKUP(Table3[[#This Row],[Agen id]],Agen!A:C,3,0)</f>
        <v/>
      </c>
      <c r="K371" s="37">
        <f>TRIM(LEFT(Table3[[#This Row],[Group]],2))</f>
        <v/>
      </c>
      <c r="L371" s="3" t="inlineStr">
        <is>
          <t>NON SALES</t>
        </is>
      </c>
    </row>
    <row r="372">
      <c r="A372" s="5" t="inlineStr">
        <is>
          <t>OP02332</t>
        </is>
      </c>
      <c r="B372" s="6" t="inlineStr">
        <is>
          <t>Opick Cell</t>
        </is>
      </c>
      <c r="C372" s="7" t="inlineStr">
        <is>
          <t>A - Agen</t>
        </is>
      </c>
      <c r="D372" s="1" t="inlineStr">
        <is>
          <t>OP00003</t>
        </is>
      </c>
      <c r="E372" s="8" t="n">
        <v>44832.91458333333</v>
      </c>
      <c r="F372" s="7" t="inlineStr">
        <is>
          <t>AGEN</t>
        </is>
      </c>
      <c r="G372" s="18" t="inlineStr">
        <is>
          <t>OP02332</t>
        </is>
      </c>
      <c r="H372" s="19">
        <f>UPPER(Table3[[#This Row],[Agen id]]&amp;"-"&amp;VLOOKUP(Table3[[#This Row],[Agen id]],A:B,2,0)&amp;"("&amp;Table3[[#This Row],[Short]]&amp;")")</f>
        <v/>
      </c>
      <c r="J372" s="7">
        <f>VLOOKUP(Table3[[#This Row],[Agen id]],Agen!A:C,3,0)</f>
        <v/>
      </c>
      <c r="K372" s="37">
        <f>TRIM(LEFT(Table3[[#This Row],[Group]],2))</f>
        <v/>
      </c>
      <c r="L372" s="3" t="inlineStr">
        <is>
          <t>NON SALES</t>
        </is>
      </c>
    </row>
    <row r="373">
      <c r="A373" s="5" t="inlineStr">
        <is>
          <t>OP02334</t>
        </is>
      </c>
      <c r="B373" s="6" t="inlineStr">
        <is>
          <t>Aini</t>
        </is>
      </c>
      <c r="C373" s="7" t="inlineStr">
        <is>
          <t>A - Agen</t>
        </is>
      </c>
      <c r="D373" s="1" t="inlineStr">
        <is>
          <t>OP00002</t>
        </is>
      </c>
      <c r="E373" s="8" t="n">
        <v>44832.95138888889</v>
      </c>
      <c r="F373" s="7" t="inlineStr">
        <is>
          <t>AGEN</t>
        </is>
      </c>
      <c r="G373" s="18" t="inlineStr">
        <is>
          <t>OP02334</t>
        </is>
      </c>
      <c r="H373" s="19">
        <f>UPPER(Table3[[#This Row],[Agen id]]&amp;"-"&amp;VLOOKUP(Table3[[#This Row],[Agen id]],A:B,2,0)&amp;"("&amp;Table3[[#This Row],[Short]]&amp;")")</f>
        <v/>
      </c>
      <c r="J373" s="7">
        <f>VLOOKUP(Table3[[#This Row],[Agen id]],Agen!A:C,3,0)</f>
        <v/>
      </c>
      <c r="K373" s="37">
        <f>TRIM(LEFT(Table3[[#This Row],[Group]],2))</f>
        <v/>
      </c>
      <c r="L373" s="3" t="inlineStr">
        <is>
          <t>NON SALES</t>
        </is>
      </c>
    </row>
    <row r="374">
      <c r="A374" s="5" t="inlineStr">
        <is>
          <t>OP02341</t>
        </is>
      </c>
      <c r="B374" s="6" t="inlineStr">
        <is>
          <t>Akbar pulsa</t>
        </is>
      </c>
      <c r="C374" s="7" t="inlineStr">
        <is>
          <t>A - Agen</t>
        </is>
      </c>
      <c r="D374" s="1" t="inlineStr">
        <is>
          <t>OP00003</t>
        </is>
      </c>
      <c r="E374" s="8" t="n">
        <v>44833.33680555555</v>
      </c>
      <c r="F374" s="7" t="inlineStr">
        <is>
          <t>AGEN</t>
        </is>
      </c>
      <c r="G374" s="18" t="inlineStr">
        <is>
          <t>OP02341</t>
        </is>
      </c>
      <c r="H374" s="19">
        <f>UPPER(Table3[[#This Row],[Agen id]]&amp;"-"&amp;VLOOKUP(Table3[[#This Row],[Agen id]],A:B,2,0)&amp;"("&amp;Table3[[#This Row],[Short]]&amp;")")</f>
        <v/>
      </c>
      <c r="J374" s="7">
        <f>VLOOKUP(Table3[[#This Row],[Agen id]],Agen!A:C,3,0)</f>
        <v/>
      </c>
      <c r="K374" s="37">
        <f>TRIM(LEFT(Table3[[#This Row],[Group]],2))</f>
        <v/>
      </c>
      <c r="L374" s="3" t="inlineStr">
        <is>
          <t>NON SALES</t>
        </is>
      </c>
    </row>
    <row r="375">
      <c r="A375" s="5" t="inlineStr">
        <is>
          <t>OP02351</t>
        </is>
      </c>
      <c r="B375" s="6" t="inlineStr">
        <is>
          <t>VIRNA.CELL</t>
        </is>
      </c>
      <c r="C375" s="7" t="inlineStr">
        <is>
          <t>A - Agen</t>
        </is>
      </c>
      <c r="D375" s="1" t="inlineStr">
        <is>
          <t>OP00014</t>
        </is>
      </c>
      <c r="E375" s="8" t="n">
        <v>44833.63819444444</v>
      </c>
      <c r="F375" s="7" t="inlineStr">
        <is>
          <t>DOWNLINE</t>
        </is>
      </c>
      <c r="G375" s="18" t="inlineStr">
        <is>
          <t>OP00014</t>
        </is>
      </c>
      <c r="H375" s="19">
        <f>UPPER(Table3[[#This Row],[Agen id]]&amp;"-"&amp;VLOOKUP(Table3[[#This Row],[Agen id]],A:B,2,0)&amp;"("&amp;Table3[[#This Row],[Short]]&amp;")")</f>
        <v/>
      </c>
      <c r="J375" s="7">
        <f>VLOOKUP(Table3[[#This Row],[Agen id]],Agen!A:C,3,0)</f>
        <v/>
      </c>
      <c r="K375" s="37">
        <f>TRIM(LEFT(Table3[[#This Row],[Group]],2))</f>
        <v/>
      </c>
      <c r="L375" s="3" t="inlineStr">
        <is>
          <t>NON SALES</t>
        </is>
      </c>
    </row>
    <row r="376">
      <c r="A376" s="5" t="inlineStr">
        <is>
          <t>OP02357</t>
        </is>
      </c>
      <c r="B376" s="6" t="inlineStr">
        <is>
          <t>Sintiya</t>
        </is>
      </c>
      <c r="C376" s="7" t="inlineStr">
        <is>
          <t>A - Agen</t>
        </is>
      </c>
      <c r="D376" s="1" t="inlineStr">
        <is>
          <t>OP00996</t>
        </is>
      </c>
      <c r="E376" s="8" t="n">
        <v>44833.89027777778</v>
      </c>
      <c r="F376" s="7" t="inlineStr">
        <is>
          <t>DOWNLINE</t>
        </is>
      </c>
      <c r="G376" s="18" t="inlineStr">
        <is>
          <t>OP00996</t>
        </is>
      </c>
      <c r="H376" s="19">
        <f>UPPER(Table3[[#This Row],[Agen id]]&amp;"-"&amp;VLOOKUP(Table3[[#This Row],[Agen id]],A:B,2,0)&amp;"("&amp;Table3[[#This Row],[Short]]&amp;")")</f>
        <v/>
      </c>
      <c r="J376" s="7">
        <f>VLOOKUP(Table3[[#This Row],[Agen id]],Agen!A:C,3,0)</f>
        <v/>
      </c>
      <c r="K376" s="37">
        <f>TRIM(LEFT(Table3[[#This Row],[Group]],2))</f>
        <v/>
      </c>
      <c r="L376" s="3" t="inlineStr">
        <is>
          <t>NON SALES</t>
        </is>
      </c>
    </row>
    <row r="377">
      <c r="A377" s="5" t="inlineStr">
        <is>
          <t>OP02362</t>
        </is>
      </c>
      <c r="B377" s="6" t="inlineStr">
        <is>
          <t>ALMUZAHID PULSA</t>
        </is>
      </c>
      <c r="C377" s="7" t="inlineStr">
        <is>
          <t>A - Agen</t>
        </is>
      </c>
      <c r="D377" s="1" t="inlineStr">
        <is>
          <t>OP00002</t>
        </is>
      </c>
      <c r="E377" s="8" t="n">
        <v>44834.28263888889</v>
      </c>
      <c r="F377" s="7" t="inlineStr">
        <is>
          <t>AGEN</t>
        </is>
      </c>
      <c r="G377" s="18" t="inlineStr">
        <is>
          <t>OP02362</t>
        </is>
      </c>
      <c r="H377" s="19">
        <f>UPPER(Table3[[#This Row],[Agen id]]&amp;"-"&amp;VLOOKUP(Table3[[#This Row],[Agen id]],A:B,2,0)&amp;"("&amp;Table3[[#This Row],[Short]]&amp;")")</f>
        <v/>
      </c>
      <c r="J377" s="7">
        <f>VLOOKUP(Table3[[#This Row],[Agen id]],Agen!A:C,3,0)</f>
        <v/>
      </c>
      <c r="K377" s="37">
        <f>TRIM(LEFT(Table3[[#This Row],[Group]],2))</f>
        <v/>
      </c>
      <c r="L377" s="3" t="inlineStr">
        <is>
          <t>NON SALES</t>
        </is>
      </c>
    </row>
    <row r="378">
      <c r="A378" s="5" t="inlineStr">
        <is>
          <t>OP02378</t>
        </is>
      </c>
      <c r="B378" s="6" t="inlineStr">
        <is>
          <t>vera</t>
        </is>
      </c>
      <c r="C378" s="7" t="inlineStr">
        <is>
          <t>A - Agen</t>
        </is>
      </c>
      <c r="D378" s="1" t="inlineStr">
        <is>
          <t>OP00304</t>
        </is>
      </c>
      <c r="E378" s="8" t="n">
        <v>44835.39166666667</v>
      </c>
      <c r="F378" s="7" t="inlineStr">
        <is>
          <t>DOWNLINE</t>
        </is>
      </c>
      <c r="G378" s="18" t="inlineStr">
        <is>
          <t>OP00304</t>
        </is>
      </c>
      <c r="H378" s="19">
        <f>UPPER(Table3[[#This Row],[Agen id]]&amp;"-"&amp;VLOOKUP(Table3[[#This Row],[Agen id]],A:B,2,0)&amp;"("&amp;Table3[[#This Row],[Short]]&amp;")")</f>
        <v/>
      </c>
      <c r="J378" s="7">
        <f>VLOOKUP(Table3[[#This Row],[Agen id]],Agen!A:C,3,0)</f>
        <v/>
      </c>
      <c r="K378" s="37">
        <f>TRIM(LEFT(Table3[[#This Row],[Group]],2))</f>
        <v/>
      </c>
      <c r="L378" s="3" t="inlineStr">
        <is>
          <t>NON SALES</t>
        </is>
      </c>
    </row>
    <row r="379">
      <c r="A379" s="5" t="inlineStr">
        <is>
          <t>OP02383</t>
        </is>
      </c>
      <c r="B379" s="6" t="inlineStr">
        <is>
          <t>Teguh Erry Sugiharto</t>
        </is>
      </c>
      <c r="C379" s="7" t="inlineStr">
        <is>
          <t>A - Agen</t>
        </is>
      </c>
      <c r="D379" s="1" t="inlineStr">
        <is>
          <t>OP00003</t>
        </is>
      </c>
      <c r="E379" s="8" t="n">
        <v>44835.70069444444</v>
      </c>
      <c r="F379" s="7" t="inlineStr">
        <is>
          <t>AGEN</t>
        </is>
      </c>
      <c r="G379" s="18" t="inlineStr">
        <is>
          <t>OP02383</t>
        </is>
      </c>
      <c r="H379" s="19">
        <f>UPPER(Table3[[#This Row],[Agen id]]&amp;"-"&amp;VLOOKUP(Table3[[#This Row],[Agen id]],A:B,2,0)&amp;"("&amp;Table3[[#This Row],[Short]]&amp;")")</f>
        <v/>
      </c>
      <c r="J379" s="7">
        <f>VLOOKUP(Table3[[#This Row],[Agen id]],Agen!A:C,3,0)</f>
        <v/>
      </c>
      <c r="K379" s="37">
        <f>TRIM(LEFT(Table3[[#This Row],[Group]],2))</f>
        <v/>
      </c>
      <c r="L379" s="3" t="inlineStr">
        <is>
          <t>NON SALES</t>
        </is>
      </c>
    </row>
    <row r="380">
      <c r="A380" s="5" t="inlineStr">
        <is>
          <t>OP02388</t>
        </is>
      </c>
      <c r="B380" s="6" t="inlineStr">
        <is>
          <t>Astria fiddiah</t>
        </is>
      </c>
      <c r="C380" s="7" t="inlineStr">
        <is>
          <t>A - Agen</t>
        </is>
      </c>
      <c r="D380" s="1" t="inlineStr">
        <is>
          <t>OP00003</t>
        </is>
      </c>
      <c r="E380" s="8" t="n">
        <v>44836.09444444445</v>
      </c>
      <c r="F380" s="7" t="inlineStr">
        <is>
          <t>AGEN</t>
        </is>
      </c>
      <c r="G380" s="18" t="inlineStr">
        <is>
          <t>OP02388</t>
        </is>
      </c>
      <c r="H380" s="19">
        <f>UPPER(Table3[[#This Row],[Agen id]]&amp;"-"&amp;VLOOKUP(Table3[[#This Row],[Agen id]],A:B,2,0)&amp;"("&amp;Table3[[#This Row],[Short]]&amp;")")</f>
        <v/>
      </c>
      <c r="J380" s="7">
        <f>VLOOKUP(Table3[[#This Row],[Agen id]],Agen!A:C,3,0)</f>
        <v/>
      </c>
      <c r="K380" s="37">
        <f>TRIM(LEFT(Table3[[#This Row],[Group]],2))</f>
        <v/>
      </c>
      <c r="L380" s="3" t="inlineStr">
        <is>
          <t>NON SALES</t>
        </is>
      </c>
    </row>
    <row r="381">
      <c r="A381" s="5" t="inlineStr">
        <is>
          <t>OP02397</t>
        </is>
      </c>
      <c r="B381" s="6" t="inlineStr">
        <is>
          <t>juragan</t>
        </is>
      </c>
      <c r="C381" s="7" t="inlineStr">
        <is>
          <t>A - Agen</t>
        </is>
      </c>
      <c r="D381" s="1" t="inlineStr">
        <is>
          <t>OP00003</t>
        </is>
      </c>
      <c r="E381" s="8" t="n">
        <v>44837.82986111111</v>
      </c>
      <c r="F381" s="7" t="inlineStr">
        <is>
          <t>AGEN</t>
        </is>
      </c>
      <c r="G381" s="18" t="inlineStr">
        <is>
          <t>OP02397</t>
        </is>
      </c>
      <c r="H381" s="19">
        <f>UPPER(Table3[[#This Row],[Agen id]]&amp;"-"&amp;VLOOKUP(Table3[[#This Row],[Agen id]],A:B,2,0)&amp;"("&amp;Table3[[#This Row],[Short]]&amp;")")</f>
        <v/>
      </c>
      <c r="J381" s="7">
        <f>VLOOKUP(Table3[[#This Row],[Agen id]],Agen!A:C,3,0)</f>
        <v/>
      </c>
      <c r="K381" s="37">
        <f>TRIM(LEFT(Table3[[#This Row],[Group]],2))</f>
        <v/>
      </c>
      <c r="L381" s="3" t="inlineStr">
        <is>
          <t>NON SALES</t>
        </is>
      </c>
    </row>
    <row r="382">
      <c r="A382" s="5" t="inlineStr">
        <is>
          <t>OP02409</t>
        </is>
      </c>
      <c r="B382" s="6" t="inlineStr">
        <is>
          <t>JIA CELL</t>
        </is>
      </c>
      <c r="C382" s="7" t="inlineStr">
        <is>
          <t>A - Agen</t>
        </is>
      </c>
      <c r="D382" s="1" t="inlineStr">
        <is>
          <t>OP00003</t>
        </is>
      </c>
      <c r="E382" s="8" t="n">
        <v>44838.5875</v>
      </c>
      <c r="F382" s="7" t="inlineStr">
        <is>
          <t>AGEN</t>
        </is>
      </c>
      <c r="G382" s="18" t="inlineStr">
        <is>
          <t>OP02409</t>
        </is>
      </c>
      <c r="H382" s="19">
        <f>UPPER(Table3[[#This Row],[Agen id]]&amp;"-"&amp;VLOOKUP(Table3[[#This Row],[Agen id]],A:B,2,0)&amp;"("&amp;Table3[[#This Row],[Short]]&amp;")")</f>
        <v/>
      </c>
      <c r="J382" s="7">
        <f>VLOOKUP(Table3[[#This Row],[Agen id]],Agen!A:C,3,0)</f>
        <v/>
      </c>
      <c r="K382" s="37">
        <f>TRIM(LEFT(Table3[[#This Row],[Group]],2))</f>
        <v/>
      </c>
      <c r="L382" s="3" t="inlineStr">
        <is>
          <t>NON SALES</t>
        </is>
      </c>
    </row>
    <row r="383">
      <c r="A383" s="5" t="inlineStr">
        <is>
          <t>OP02418</t>
        </is>
      </c>
      <c r="B383" s="6" t="inlineStr">
        <is>
          <t>Rosyana gobel</t>
        </is>
      </c>
      <c r="C383" s="7" t="inlineStr">
        <is>
          <t>A - Agen</t>
        </is>
      </c>
      <c r="D383" s="1" t="inlineStr">
        <is>
          <t>OP00003</t>
        </is>
      </c>
      <c r="E383" s="8" t="n">
        <v>44838.88611111111</v>
      </c>
      <c r="F383" s="7" t="inlineStr">
        <is>
          <t>AGEN</t>
        </is>
      </c>
      <c r="G383" s="18" t="inlineStr">
        <is>
          <t>OP02418</t>
        </is>
      </c>
      <c r="H383" s="19">
        <f>UPPER(Table3[[#This Row],[Agen id]]&amp;"-"&amp;VLOOKUP(Table3[[#This Row],[Agen id]],A:B,2,0)&amp;"("&amp;Table3[[#This Row],[Short]]&amp;")")</f>
        <v/>
      </c>
      <c r="J383" s="7">
        <f>VLOOKUP(Table3[[#This Row],[Agen id]],Agen!A:C,3,0)</f>
        <v/>
      </c>
      <c r="K383" s="37">
        <f>TRIM(LEFT(Table3[[#This Row],[Group]],2))</f>
        <v/>
      </c>
      <c r="L383" s="3" t="inlineStr">
        <is>
          <t>NON SALES</t>
        </is>
      </c>
    </row>
    <row r="384">
      <c r="A384" s="5" t="inlineStr">
        <is>
          <t>OP02420</t>
        </is>
      </c>
      <c r="B384" s="6" t="inlineStr">
        <is>
          <t>Away</t>
        </is>
      </c>
      <c r="C384" s="7" t="inlineStr">
        <is>
          <t>AT1 - Agen Tangerang</t>
        </is>
      </c>
      <c r="D384" s="1" t="inlineStr">
        <is>
          <t>OP00003</t>
        </is>
      </c>
      <c r="E384" s="8" t="n">
        <v>44838.89513888889</v>
      </c>
      <c r="F384" s="7" t="inlineStr">
        <is>
          <t>AGEN</t>
        </is>
      </c>
      <c r="G384" s="18" t="inlineStr">
        <is>
          <t>OP02420</t>
        </is>
      </c>
      <c r="H384" s="19">
        <f>UPPER(Table3[[#This Row],[Agen id]]&amp;"-"&amp;VLOOKUP(Table3[[#This Row],[Agen id]],A:B,2,0)&amp;"("&amp;Table3[[#This Row],[Short]]&amp;")")</f>
        <v/>
      </c>
      <c r="J384" s="7">
        <f>VLOOKUP(Table3[[#This Row],[Agen id]],Agen!A:C,3,0)</f>
        <v/>
      </c>
      <c r="K384" s="37">
        <f>TRIM(LEFT(Table3[[#This Row],[Group]],2))</f>
        <v/>
      </c>
      <c r="L384" s="3" t="inlineStr">
        <is>
          <t>NON SALES</t>
        </is>
      </c>
    </row>
    <row r="385">
      <c r="A385" s="5" t="inlineStr">
        <is>
          <t>OP02428</t>
        </is>
      </c>
      <c r="B385" s="6" t="inlineStr">
        <is>
          <t>Ika Nandari</t>
        </is>
      </c>
      <c r="C385" s="7" t="inlineStr">
        <is>
          <t>A - Agen</t>
        </is>
      </c>
      <c r="D385" s="1" t="inlineStr">
        <is>
          <t>OP00003</t>
        </is>
      </c>
      <c r="E385" s="8" t="n">
        <v>44839.45347222222</v>
      </c>
      <c r="F385" s="7" t="inlineStr">
        <is>
          <t>AGEN</t>
        </is>
      </c>
      <c r="G385" s="18" t="inlineStr">
        <is>
          <t>OP02428</t>
        </is>
      </c>
      <c r="H385" s="19">
        <f>UPPER(Table3[[#This Row],[Agen id]]&amp;"-"&amp;VLOOKUP(Table3[[#This Row],[Agen id]],A:B,2,0)&amp;"("&amp;Table3[[#This Row],[Short]]&amp;")")</f>
        <v/>
      </c>
      <c r="J385" s="7">
        <f>VLOOKUP(Table3[[#This Row],[Agen id]],Agen!A:C,3,0)</f>
        <v/>
      </c>
      <c r="K385" s="37">
        <f>TRIM(LEFT(Table3[[#This Row],[Group]],2))</f>
        <v/>
      </c>
      <c r="L385" s="3" t="inlineStr">
        <is>
          <t>NON SALES</t>
        </is>
      </c>
    </row>
    <row r="386">
      <c r="A386" s="5" t="inlineStr">
        <is>
          <t>OP02431</t>
        </is>
      </c>
      <c r="B386" s="6" t="inlineStr">
        <is>
          <t>AYYHU CELL</t>
        </is>
      </c>
      <c r="C386" s="7" t="inlineStr">
        <is>
          <t>AV - Agen Verified</t>
        </is>
      </c>
      <c r="D386" s="1" t="inlineStr">
        <is>
          <t>OP00003</t>
        </is>
      </c>
      <c r="E386" s="8" t="n">
        <v>44839.49305555555</v>
      </c>
      <c r="F386" s="7" t="inlineStr">
        <is>
          <t>AGEN</t>
        </is>
      </c>
      <c r="G386" s="18" t="inlineStr">
        <is>
          <t>OP02431</t>
        </is>
      </c>
      <c r="H386" s="19">
        <f>UPPER(Table3[[#This Row],[Agen id]]&amp;"-"&amp;VLOOKUP(Table3[[#This Row],[Agen id]],A:B,2,0)&amp;"("&amp;Table3[[#This Row],[Short]]&amp;")")</f>
        <v/>
      </c>
      <c r="J386" s="7">
        <f>VLOOKUP(Table3[[#This Row],[Agen id]],Agen!A:C,3,0)</f>
        <v/>
      </c>
      <c r="K386" s="37">
        <f>TRIM(LEFT(Table3[[#This Row],[Group]],2))</f>
        <v/>
      </c>
      <c r="L386" s="3" t="inlineStr">
        <is>
          <t>NON SALES</t>
        </is>
      </c>
    </row>
    <row r="387">
      <c r="A387" s="5" t="inlineStr">
        <is>
          <t>OP02440</t>
        </is>
      </c>
      <c r="B387" s="6" t="inlineStr">
        <is>
          <t>Nanda</t>
        </is>
      </c>
      <c r="C387" s="7" t="inlineStr">
        <is>
          <t>A - Agen</t>
        </is>
      </c>
      <c r="D387" s="1" t="inlineStr">
        <is>
          <t>OP02424</t>
        </is>
      </c>
      <c r="E387" s="8" t="n">
        <v>44839.78333333333</v>
      </c>
      <c r="F387" s="7" t="inlineStr">
        <is>
          <t>DOWNLINE</t>
        </is>
      </c>
      <c r="G387" s="18" t="inlineStr">
        <is>
          <t>OP00049</t>
        </is>
      </c>
      <c r="H387" s="19">
        <f>UPPER(Table3[[#This Row],[Agen id]]&amp;"-"&amp;VLOOKUP(Table3[[#This Row],[Agen id]],A:B,2,0)&amp;"("&amp;Table3[[#This Row],[Short]]&amp;")")</f>
        <v/>
      </c>
      <c r="J387" s="7">
        <f>VLOOKUP(Table3[[#This Row],[Agen id]],Agen!A:C,3,0)</f>
        <v/>
      </c>
      <c r="K387" s="37">
        <f>TRIM(LEFT(Table3[[#This Row],[Group]],2))</f>
        <v/>
      </c>
      <c r="L387" s="3" t="inlineStr">
        <is>
          <t>NON SALES</t>
        </is>
      </c>
    </row>
    <row r="388">
      <c r="A388" s="5" t="inlineStr">
        <is>
          <t>OP02441</t>
        </is>
      </c>
      <c r="B388" s="6" t="inlineStr">
        <is>
          <t>Dadang irwansyah</t>
        </is>
      </c>
      <c r="C388" s="7" t="inlineStr">
        <is>
          <t>A - Agen</t>
        </is>
      </c>
      <c r="D388" s="1" t="inlineStr">
        <is>
          <t>OP02195</t>
        </is>
      </c>
      <c r="E388" s="8" t="n">
        <v>44839.95833333334</v>
      </c>
      <c r="F388" s="7" t="inlineStr">
        <is>
          <t>DOWNLINE</t>
        </is>
      </c>
      <c r="G388" s="18" t="inlineStr">
        <is>
          <t>OP02195</t>
        </is>
      </c>
      <c r="H388" s="19">
        <f>UPPER(Table3[[#This Row],[Agen id]]&amp;"-"&amp;VLOOKUP(Table3[[#This Row],[Agen id]],A:B,2,0)&amp;"("&amp;Table3[[#This Row],[Short]]&amp;")")</f>
        <v/>
      </c>
      <c r="J388" s="7">
        <f>VLOOKUP(Table3[[#This Row],[Agen id]],Agen!A:C,3,0)</f>
        <v/>
      </c>
      <c r="K388" s="37">
        <f>TRIM(LEFT(Table3[[#This Row],[Group]],2))</f>
        <v/>
      </c>
      <c r="L388" s="3" t="inlineStr">
        <is>
          <t>NON SALES</t>
        </is>
      </c>
    </row>
    <row r="389">
      <c r="A389" s="5" t="inlineStr">
        <is>
          <t>OP02443</t>
        </is>
      </c>
      <c r="B389" s="6" t="inlineStr">
        <is>
          <t>Rizky septian anugrah</t>
        </is>
      </c>
      <c r="C389" s="7" t="inlineStr">
        <is>
          <t>AV - Agen Verified</t>
        </is>
      </c>
      <c r="D389" s="1" t="inlineStr">
        <is>
          <t>OP02182</t>
        </is>
      </c>
      <c r="E389" s="8" t="n">
        <v>44840.49861111111</v>
      </c>
      <c r="F389" s="7" t="inlineStr">
        <is>
          <t>DOWNLINE</t>
        </is>
      </c>
      <c r="G389" s="18" t="inlineStr">
        <is>
          <t>OP02182</t>
        </is>
      </c>
      <c r="H389" s="19">
        <f>UPPER(Table3[[#This Row],[Agen id]]&amp;"-"&amp;VLOOKUP(Table3[[#This Row],[Agen id]],A:B,2,0)&amp;"("&amp;Table3[[#This Row],[Short]]&amp;")")</f>
        <v/>
      </c>
      <c r="J389" s="7">
        <f>VLOOKUP(Table3[[#This Row],[Agen id]],Agen!A:C,3,0)</f>
        <v/>
      </c>
      <c r="K389" s="37">
        <f>TRIM(LEFT(Table3[[#This Row],[Group]],2))</f>
        <v/>
      </c>
      <c r="L389" s="3" t="inlineStr">
        <is>
          <t>NON SALES</t>
        </is>
      </c>
    </row>
    <row r="390">
      <c r="A390" s="5" t="inlineStr">
        <is>
          <t>OP02448</t>
        </is>
      </c>
      <c r="B390" s="6" t="inlineStr">
        <is>
          <t>Tien Augustinah</t>
        </is>
      </c>
      <c r="C390" s="7" t="inlineStr">
        <is>
          <t>A - Agen</t>
        </is>
      </c>
      <c r="D390" s="1" t="inlineStr">
        <is>
          <t>OP00002</t>
        </is>
      </c>
      <c r="E390" s="8" t="n">
        <v>44840.81805555556</v>
      </c>
      <c r="F390" s="7" t="inlineStr">
        <is>
          <t>AGEN</t>
        </is>
      </c>
      <c r="G390" s="18" t="inlineStr">
        <is>
          <t>OP02448</t>
        </is>
      </c>
      <c r="H390" s="19">
        <f>UPPER(Table3[[#This Row],[Agen id]]&amp;"-"&amp;VLOOKUP(Table3[[#This Row],[Agen id]],A:B,2,0)&amp;"("&amp;Table3[[#This Row],[Short]]&amp;")")</f>
        <v/>
      </c>
      <c r="J390" s="7">
        <f>VLOOKUP(Table3[[#This Row],[Agen id]],Agen!A:C,3,0)</f>
        <v/>
      </c>
      <c r="K390" s="37">
        <f>TRIM(LEFT(Table3[[#This Row],[Group]],2))</f>
        <v/>
      </c>
      <c r="L390" s="3" t="inlineStr">
        <is>
          <t>NON SALES</t>
        </is>
      </c>
    </row>
    <row r="391">
      <c r="A391" s="5" t="inlineStr">
        <is>
          <t>OP02454</t>
        </is>
      </c>
      <c r="B391" s="6" t="inlineStr">
        <is>
          <t>Abdul fauzi</t>
        </is>
      </c>
      <c r="C391" s="7" t="inlineStr">
        <is>
          <t>A - Agen</t>
        </is>
      </c>
      <c r="D391" s="1" t="inlineStr">
        <is>
          <t>OP00003</t>
        </is>
      </c>
      <c r="E391" s="8" t="n">
        <v>44841.39583333334</v>
      </c>
      <c r="F391" s="7" t="inlineStr">
        <is>
          <t>AGEN</t>
        </is>
      </c>
      <c r="G391" s="18" t="inlineStr">
        <is>
          <t>OP02454</t>
        </is>
      </c>
      <c r="H391" s="19">
        <f>UPPER(Table3[[#This Row],[Agen id]]&amp;"-"&amp;VLOOKUP(Table3[[#This Row],[Agen id]],A:B,2,0)&amp;"("&amp;Table3[[#This Row],[Short]]&amp;")")</f>
        <v/>
      </c>
      <c r="J391" s="7">
        <f>VLOOKUP(Table3[[#This Row],[Agen id]],Agen!A:C,3,0)</f>
        <v/>
      </c>
      <c r="K391" s="37">
        <f>TRIM(LEFT(Table3[[#This Row],[Group]],2))</f>
        <v/>
      </c>
      <c r="L391" s="3" t="inlineStr">
        <is>
          <t>NON SALES</t>
        </is>
      </c>
    </row>
    <row r="392">
      <c r="A392" s="5" t="inlineStr">
        <is>
          <t>OP02456</t>
        </is>
      </c>
      <c r="B392" s="6" t="inlineStr">
        <is>
          <t>Lanna</t>
        </is>
      </c>
      <c r="C392" s="7" t="inlineStr">
        <is>
          <t>A - Agen</t>
        </is>
      </c>
      <c r="D392" s="1" t="inlineStr">
        <is>
          <t>OP00049</t>
        </is>
      </c>
      <c r="E392" s="8" t="n">
        <v>44841.50138888889</v>
      </c>
      <c r="F392" s="7" t="inlineStr">
        <is>
          <t>DOWNLINE</t>
        </is>
      </c>
      <c r="G392" s="18" t="inlineStr">
        <is>
          <t>OP00049</t>
        </is>
      </c>
      <c r="H392" s="19">
        <f>UPPER(Table3[[#This Row],[Agen id]]&amp;"-"&amp;VLOOKUP(Table3[[#This Row],[Agen id]],A:B,2,0)&amp;"("&amp;Table3[[#This Row],[Short]]&amp;")")</f>
        <v/>
      </c>
      <c r="J392" s="7">
        <f>VLOOKUP(Table3[[#This Row],[Agen id]],Agen!A:C,3,0)</f>
        <v/>
      </c>
      <c r="K392" s="37">
        <f>TRIM(LEFT(Table3[[#This Row],[Group]],2))</f>
        <v/>
      </c>
      <c r="L392" s="3" t="inlineStr">
        <is>
          <t>NON SALES</t>
        </is>
      </c>
    </row>
    <row r="393">
      <c r="A393" s="5" t="inlineStr">
        <is>
          <t>OP02464</t>
        </is>
      </c>
      <c r="B393" s="6" t="inlineStr">
        <is>
          <t>Alvi Cell</t>
        </is>
      </c>
      <c r="C393" s="7" t="inlineStr">
        <is>
          <t>AV - Agen Verified</t>
        </is>
      </c>
      <c r="D393" s="1" t="inlineStr">
        <is>
          <t>OP00478</t>
        </is>
      </c>
      <c r="E393" s="8" t="n">
        <v>44841.78680555556</v>
      </c>
      <c r="F393" s="7" t="inlineStr">
        <is>
          <t>DOWNLINE</t>
        </is>
      </c>
      <c r="G393" s="18" t="inlineStr">
        <is>
          <t>OP00478</t>
        </is>
      </c>
      <c r="H393" s="19">
        <f>UPPER(Table3[[#This Row],[Agen id]]&amp;"-"&amp;VLOOKUP(Table3[[#This Row],[Agen id]],A:B,2,0)&amp;"("&amp;Table3[[#This Row],[Short]]&amp;")")</f>
        <v/>
      </c>
      <c r="J393" s="7">
        <f>VLOOKUP(Table3[[#This Row],[Agen id]],Agen!A:C,3,0)</f>
        <v/>
      </c>
      <c r="K393" s="37">
        <f>TRIM(LEFT(Table3[[#This Row],[Group]],2))</f>
        <v/>
      </c>
      <c r="L393" s="3" t="inlineStr">
        <is>
          <t>NON SALES</t>
        </is>
      </c>
    </row>
    <row r="394">
      <c r="A394" s="5" t="inlineStr">
        <is>
          <t>OP02466</t>
        </is>
      </c>
      <c r="B394" s="6" t="inlineStr">
        <is>
          <t>Hardin</t>
        </is>
      </c>
      <c r="C394" s="7" t="inlineStr">
        <is>
          <t>AV - Agen Verified</t>
        </is>
      </c>
      <c r="D394" s="1" t="inlineStr">
        <is>
          <t>OP00431</t>
        </is>
      </c>
      <c r="E394" s="8" t="n">
        <v>44841.80625</v>
      </c>
      <c r="F394" s="7" t="inlineStr">
        <is>
          <t>DOWNLINE</t>
        </is>
      </c>
      <c r="G394" s="18" t="inlineStr">
        <is>
          <t>OP00431</t>
        </is>
      </c>
      <c r="H394" s="19">
        <f>UPPER(Table3[[#This Row],[Agen id]]&amp;"-"&amp;VLOOKUP(Table3[[#This Row],[Agen id]],A:B,2,0)&amp;"("&amp;Table3[[#This Row],[Short]]&amp;")")</f>
        <v/>
      </c>
      <c r="J394" s="7">
        <f>VLOOKUP(Table3[[#This Row],[Agen id]],Agen!A:C,3,0)</f>
        <v/>
      </c>
      <c r="K394" s="37">
        <f>TRIM(LEFT(Table3[[#This Row],[Group]],2))</f>
        <v/>
      </c>
      <c r="L394" s="3" t="inlineStr">
        <is>
          <t>NON SALES</t>
        </is>
      </c>
    </row>
    <row r="395">
      <c r="A395" s="5" t="inlineStr">
        <is>
          <t>OP02467</t>
        </is>
      </c>
      <c r="B395" s="6" t="inlineStr">
        <is>
          <t>Ilham</t>
        </is>
      </c>
      <c r="C395" s="7" t="inlineStr">
        <is>
          <t>A - Agen</t>
        </is>
      </c>
      <c r="D395" s="1" t="inlineStr">
        <is>
          <t>OP00051</t>
        </is>
      </c>
      <c r="E395" s="8" t="n">
        <v>44841.87013888889</v>
      </c>
      <c r="F395" s="7" t="inlineStr">
        <is>
          <t>DOWNLINE</t>
        </is>
      </c>
      <c r="G395" s="18" t="inlineStr">
        <is>
          <t>OP00051</t>
        </is>
      </c>
      <c r="H395" s="19">
        <f>UPPER(Table3[[#This Row],[Agen id]]&amp;"-"&amp;VLOOKUP(Table3[[#This Row],[Agen id]],A:B,2,0)&amp;"("&amp;Table3[[#This Row],[Short]]&amp;")")</f>
        <v/>
      </c>
      <c r="J395" s="7">
        <f>VLOOKUP(Table3[[#This Row],[Agen id]],Agen!A:C,3,0)</f>
        <v/>
      </c>
      <c r="K395" s="37">
        <f>TRIM(LEFT(Table3[[#This Row],[Group]],2))</f>
        <v/>
      </c>
      <c r="L395" s="3" t="inlineStr">
        <is>
          <t>NON SALES</t>
        </is>
      </c>
    </row>
    <row r="396">
      <c r="A396" s="5" t="inlineStr">
        <is>
          <t>OP02471</t>
        </is>
      </c>
      <c r="B396" s="6" t="inlineStr">
        <is>
          <t>Uzal</t>
        </is>
      </c>
      <c r="C396" s="7" t="inlineStr">
        <is>
          <t>A - Agen</t>
        </is>
      </c>
      <c r="D396" s="1" t="inlineStr">
        <is>
          <t>OP00996</t>
        </is>
      </c>
      <c r="E396" s="8" t="n">
        <v>44842.21597222222</v>
      </c>
      <c r="F396" s="7" t="inlineStr">
        <is>
          <t>DOWNLINE</t>
        </is>
      </c>
      <c r="G396" s="18" t="inlineStr">
        <is>
          <t>OP00996</t>
        </is>
      </c>
      <c r="H396" s="19">
        <f>UPPER(Table3[[#This Row],[Agen id]]&amp;"-"&amp;VLOOKUP(Table3[[#This Row],[Agen id]],A:B,2,0)&amp;"("&amp;Table3[[#This Row],[Short]]&amp;")")</f>
        <v/>
      </c>
      <c r="J396" s="7">
        <f>VLOOKUP(Table3[[#This Row],[Agen id]],Agen!A:C,3,0)</f>
        <v/>
      </c>
      <c r="K396" s="37">
        <f>TRIM(LEFT(Table3[[#This Row],[Group]],2))</f>
        <v/>
      </c>
      <c r="L396" s="3" t="inlineStr">
        <is>
          <t>NON SALES</t>
        </is>
      </c>
    </row>
    <row r="397">
      <c r="A397" s="5" t="inlineStr">
        <is>
          <t>OP02475</t>
        </is>
      </c>
      <c r="B397" s="6" t="inlineStr">
        <is>
          <t>Skc cell</t>
        </is>
      </c>
      <c r="C397" s="7" t="inlineStr">
        <is>
          <t>AV - Agen Verified</t>
        </is>
      </c>
      <c r="D397" s="1" t="inlineStr">
        <is>
          <t>OP00996</t>
        </is>
      </c>
      <c r="E397" s="8" t="n">
        <v>44842.58541666667</v>
      </c>
      <c r="F397" s="7" t="inlineStr">
        <is>
          <t>DOWNLINE</t>
        </is>
      </c>
      <c r="G397" s="18" t="inlineStr">
        <is>
          <t>OP00996</t>
        </is>
      </c>
      <c r="H397" s="19">
        <f>UPPER(Table3[[#This Row],[Agen id]]&amp;"-"&amp;VLOOKUP(Table3[[#This Row],[Agen id]],A:B,2,0)&amp;"("&amp;Table3[[#This Row],[Short]]&amp;")")</f>
        <v/>
      </c>
      <c r="J397" s="7">
        <f>VLOOKUP(Table3[[#This Row],[Agen id]],Agen!A:C,3,0)</f>
        <v/>
      </c>
      <c r="K397" s="37">
        <f>TRIM(LEFT(Table3[[#This Row],[Group]],2))</f>
        <v/>
      </c>
      <c r="L397" s="3" t="inlineStr">
        <is>
          <t>NON SALES</t>
        </is>
      </c>
    </row>
    <row r="398">
      <c r="A398" s="5" t="inlineStr">
        <is>
          <t>OP02480</t>
        </is>
      </c>
      <c r="B398" s="6" t="inlineStr">
        <is>
          <t>Armayani</t>
        </is>
      </c>
      <c r="C398" s="7" t="inlineStr">
        <is>
          <t>AV - Agen Verified</t>
        </is>
      </c>
      <c r="D398" s="1" t="inlineStr">
        <is>
          <t>OP00003</t>
        </is>
      </c>
      <c r="E398" s="8" t="n">
        <v>44842.75555555556</v>
      </c>
      <c r="F398" s="7" t="inlineStr">
        <is>
          <t>AGEN</t>
        </is>
      </c>
      <c r="G398" s="18" t="inlineStr">
        <is>
          <t>OP02480</t>
        </is>
      </c>
      <c r="H398" s="19">
        <f>UPPER(Table3[[#This Row],[Agen id]]&amp;"-"&amp;VLOOKUP(Table3[[#This Row],[Agen id]],A:B,2,0)&amp;"("&amp;Table3[[#This Row],[Short]]&amp;")")</f>
        <v/>
      </c>
      <c r="J398" s="7">
        <f>VLOOKUP(Table3[[#This Row],[Agen id]],Agen!A:C,3,0)</f>
        <v/>
      </c>
      <c r="K398" s="37">
        <f>TRIM(LEFT(Table3[[#This Row],[Group]],2))</f>
        <v/>
      </c>
      <c r="L398" s="3" t="inlineStr">
        <is>
          <t>NON SALES</t>
        </is>
      </c>
    </row>
    <row r="399">
      <c r="A399" s="5" t="inlineStr">
        <is>
          <t>OP02485</t>
        </is>
      </c>
      <c r="B399" s="6" t="inlineStr">
        <is>
          <t>SULSEL CELL</t>
        </is>
      </c>
      <c r="C399" s="7" t="inlineStr">
        <is>
          <t>AV - Agen Verified</t>
        </is>
      </c>
      <c r="D399" s="1" t="inlineStr">
        <is>
          <t>OP00003</t>
        </is>
      </c>
      <c r="E399" s="8" t="n">
        <v>44842.98194444444</v>
      </c>
      <c r="F399" s="7" t="inlineStr">
        <is>
          <t>AGEN</t>
        </is>
      </c>
      <c r="G399" s="18" t="inlineStr">
        <is>
          <t>OP02485</t>
        </is>
      </c>
      <c r="H399" s="19">
        <f>UPPER(Table3[[#This Row],[Agen id]]&amp;"-"&amp;VLOOKUP(Table3[[#This Row],[Agen id]],A:B,2,0)&amp;"("&amp;Table3[[#This Row],[Short]]&amp;")")</f>
        <v/>
      </c>
      <c r="J399" s="7">
        <f>VLOOKUP(Table3[[#This Row],[Agen id]],Agen!A:C,3,0)</f>
        <v/>
      </c>
      <c r="K399" s="37">
        <f>TRIM(LEFT(Table3[[#This Row],[Group]],2))</f>
        <v/>
      </c>
      <c r="L399" s="3" t="inlineStr">
        <is>
          <t>NON SALES</t>
        </is>
      </c>
    </row>
    <row r="400">
      <c r="A400" s="5" t="inlineStr">
        <is>
          <t>OP02494</t>
        </is>
      </c>
      <c r="B400" s="6" t="inlineStr">
        <is>
          <t>KIOS BERKAT</t>
        </is>
      </c>
      <c r="C400" s="7" t="inlineStr">
        <is>
          <t>A - Agen</t>
        </is>
      </c>
      <c r="D400" s="1" t="inlineStr">
        <is>
          <t>OP01928</t>
        </is>
      </c>
      <c r="E400" s="8" t="n">
        <v>44844.78194444445</v>
      </c>
      <c r="F400" s="7" t="inlineStr">
        <is>
          <t>DOWNLINE</t>
        </is>
      </c>
      <c r="G400" s="18" t="inlineStr">
        <is>
          <t>OP01928</t>
        </is>
      </c>
      <c r="H400" s="19">
        <f>UPPER(Table3[[#This Row],[Agen id]]&amp;"-"&amp;VLOOKUP(Table3[[#This Row],[Agen id]],A:B,2,0)&amp;"("&amp;Table3[[#This Row],[Short]]&amp;")")</f>
        <v/>
      </c>
      <c r="J400" s="7">
        <f>VLOOKUP(Table3[[#This Row],[Agen id]],Agen!A:C,3,0)</f>
        <v/>
      </c>
      <c r="K400" s="37">
        <f>TRIM(LEFT(Table3[[#This Row],[Group]],2))</f>
        <v/>
      </c>
      <c r="L400" s="3" t="inlineStr">
        <is>
          <t>NON SALES</t>
        </is>
      </c>
    </row>
    <row r="401">
      <c r="A401" s="5" t="inlineStr">
        <is>
          <t>OP02498</t>
        </is>
      </c>
      <c r="B401" s="6" t="inlineStr">
        <is>
          <t>Irfan Setiyadi</t>
        </is>
      </c>
      <c r="C401" s="7" t="inlineStr">
        <is>
          <t>A - Agen</t>
        </is>
      </c>
      <c r="D401" s="1" t="inlineStr">
        <is>
          <t>OP00003</t>
        </is>
      </c>
      <c r="E401" s="8" t="n">
        <v>44845.46319444444</v>
      </c>
      <c r="F401" s="7" t="inlineStr">
        <is>
          <t>AGEN</t>
        </is>
      </c>
      <c r="G401" s="18" t="inlineStr">
        <is>
          <t>OP02498</t>
        </is>
      </c>
      <c r="H401" s="19">
        <f>UPPER(Table3[[#This Row],[Agen id]]&amp;"-"&amp;VLOOKUP(Table3[[#This Row],[Agen id]],A:B,2,0)&amp;"("&amp;Table3[[#This Row],[Short]]&amp;")")</f>
        <v/>
      </c>
      <c r="J401" s="7">
        <f>VLOOKUP(Table3[[#This Row],[Agen id]],Agen!A:C,3,0)</f>
        <v/>
      </c>
      <c r="K401" s="37">
        <f>TRIM(LEFT(Table3[[#This Row],[Group]],2))</f>
        <v/>
      </c>
      <c r="L401" s="3" t="inlineStr">
        <is>
          <t>NON SALES</t>
        </is>
      </c>
    </row>
    <row r="402">
      <c r="A402" s="5" t="inlineStr">
        <is>
          <t>OP02512</t>
        </is>
      </c>
      <c r="B402" s="6" t="inlineStr">
        <is>
          <t>Devana</t>
        </is>
      </c>
      <c r="C402" s="7" t="inlineStr">
        <is>
          <t>A - Agen</t>
        </is>
      </c>
      <c r="D402" s="1" t="inlineStr">
        <is>
          <t>OP00003</t>
        </is>
      </c>
      <c r="E402" s="8" t="n">
        <v>44846.42638888889</v>
      </c>
      <c r="F402" s="7" t="inlineStr">
        <is>
          <t>AGEN</t>
        </is>
      </c>
      <c r="G402" s="18" t="inlineStr">
        <is>
          <t>OP02512</t>
        </is>
      </c>
      <c r="H402" s="19">
        <f>UPPER(Table3[[#This Row],[Agen id]]&amp;"-"&amp;VLOOKUP(Table3[[#This Row],[Agen id]],A:B,2,0)&amp;"("&amp;Table3[[#This Row],[Short]]&amp;")")</f>
        <v/>
      </c>
      <c r="J402" s="7">
        <f>VLOOKUP(Table3[[#This Row],[Agen id]],Agen!A:C,3,0)</f>
        <v/>
      </c>
      <c r="K402" s="37">
        <f>TRIM(LEFT(Table3[[#This Row],[Group]],2))</f>
        <v/>
      </c>
      <c r="L402" s="3" t="inlineStr">
        <is>
          <t>NON SALES</t>
        </is>
      </c>
    </row>
    <row r="403">
      <c r="A403" s="5" t="inlineStr">
        <is>
          <t>OP02536</t>
        </is>
      </c>
      <c r="B403" s="6" t="inlineStr">
        <is>
          <t>Ima</t>
        </is>
      </c>
      <c r="C403" s="7" t="inlineStr">
        <is>
          <t>A - Agen</t>
        </is>
      </c>
      <c r="D403" s="1" t="inlineStr">
        <is>
          <t>OP00003</t>
        </is>
      </c>
      <c r="E403" s="8" t="n">
        <v>44848.73472222222</v>
      </c>
      <c r="F403" s="7" t="inlineStr">
        <is>
          <t>AGEN</t>
        </is>
      </c>
      <c r="G403" s="18" t="inlineStr">
        <is>
          <t>OP02536</t>
        </is>
      </c>
      <c r="H403" s="19">
        <f>UPPER(Table3[[#This Row],[Agen id]]&amp;"-"&amp;VLOOKUP(Table3[[#This Row],[Agen id]],A:B,2,0)&amp;"("&amp;Table3[[#This Row],[Short]]&amp;")")</f>
        <v/>
      </c>
      <c r="J403" s="7">
        <f>VLOOKUP(Table3[[#This Row],[Agen id]],Agen!A:C,3,0)</f>
        <v/>
      </c>
      <c r="K403" s="37">
        <f>TRIM(LEFT(Table3[[#This Row],[Group]],2))</f>
        <v/>
      </c>
      <c r="L403" s="3" t="inlineStr">
        <is>
          <t>NON SALES</t>
        </is>
      </c>
    </row>
    <row r="404">
      <c r="A404" s="5" t="inlineStr">
        <is>
          <t>OP02537</t>
        </is>
      </c>
      <c r="B404" s="6" t="inlineStr">
        <is>
          <t>Shofiana</t>
        </is>
      </c>
      <c r="C404" s="7" t="inlineStr">
        <is>
          <t>AV - Agen Verified</t>
        </is>
      </c>
      <c r="D404" s="1" t="inlineStr">
        <is>
          <t>OP00003</t>
        </is>
      </c>
      <c r="E404" s="8" t="n">
        <v>44848.7625</v>
      </c>
      <c r="F404" s="7" t="inlineStr">
        <is>
          <t>AGEN</t>
        </is>
      </c>
      <c r="G404" s="18" t="inlineStr">
        <is>
          <t>OP02537</t>
        </is>
      </c>
      <c r="H404" s="19">
        <f>UPPER(Table3[[#This Row],[Agen id]]&amp;"-"&amp;VLOOKUP(Table3[[#This Row],[Agen id]],A:B,2,0)&amp;"("&amp;Table3[[#This Row],[Short]]&amp;")")</f>
        <v/>
      </c>
      <c r="J404" s="7">
        <f>VLOOKUP(Table3[[#This Row],[Agen id]],Agen!A:C,3,0)</f>
        <v/>
      </c>
      <c r="K404" s="37">
        <f>TRIM(LEFT(Table3[[#This Row],[Group]],2))</f>
        <v/>
      </c>
      <c r="L404" s="3" t="inlineStr">
        <is>
          <t>NON SALES</t>
        </is>
      </c>
    </row>
    <row r="405">
      <c r="A405" s="5" t="inlineStr">
        <is>
          <t>OP02543</t>
        </is>
      </c>
      <c r="B405" s="6" t="inlineStr">
        <is>
          <t>Shofiana</t>
        </is>
      </c>
      <c r="C405" s="7" t="inlineStr">
        <is>
          <t>AV - Agen Verified</t>
        </is>
      </c>
      <c r="D405" s="1" t="inlineStr">
        <is>
          <t>OP00003</t>
        </is>
      </c>
      <c r="E405" s="8" t="n">
        <v>44849.28263888889</v>
      </c>
      <c r="F405" s="7" t="inlineStr">
        <is>
          <t>AGEN</t>
        </is>
      </c>
      <c r="G405" s="18" t="inlineStr">
        <is>
          <t>OP02543</t>
        </is>
      </c>
      <c r="H405" s="19">
        <f>UPPER(Table3[[#This Row],[Agen id]]&amp;"-"&amp;VLOOKUP(Table3[[#This Row],[Agen id]],A:B,2,0)&amp;"("&amp;Table3[[#This Row],[Short]]&amp;")")</f>
        <v/>
      </c>
      <c r="J405" s="7">
        <f>VLOOKUP(Table3[[#This Row],[Agen id]],Agen!A:C,3,0)</f>
        <v/>
      </c>
      <c r="K405" s="37">
        <f>TRIM(LEFT(Table3[[#This Row],[Group]],2))</f>
        <v/>
      </c>
      <c r="L405" s="3" t="inlineStr">
        <is>
          <t>NON SALES</t>
        </is>
      </c>
    </row>
    <row r="406">
      <c r="A406" s="5" t="inlineStr">
        <is>
          <t>OP02548</t>
        </is>
      </c>
      <c r="B406" s="6" t="inlineStr">
        <is>
          <t>Celsi Cell</t>
        </is>
      </c>
      <c r="C406" s="7" t="inlineStr">
        <is>
          <t>AV - Agen Verified</t>
        </is>
      </c>
      <c r="D406" s="1" t="inlineStr">
        <is>
          <t>OP00478</t>
        </is>
      </c>
      <c r="E406" s="8" t="n">
        <v>44849.53541666667</v>
      </c>
      <c r="F406" s="7" t="inlineStr">
        <is>
          <t>DOWNLINE</t>
        </is>
      </c>
      <c r="G406" s="18" t="inlineStr">
        <is>
          <t>OP00478</t>
        </is>
      </c>
      <c r="H406" s="19">
        <f>UPPER(Table3[[#This Row],[Agen id]]&amp;"-"&amp;VLOOKUP(Table3[[#This Row],[Agen id]],A:B,2,0)&amp;"("&amp;Table3[[#This Row],[Short]]&amp;")")</f>
        <v/>
      </c>
      <c r="J406" s="7">
        <f>VLOOKUP(Table3[[#This Row],[Agen id]],Agen!A:C,3,0)</f>
        <v/>
      </c>
      <c r="K406" s="37">
        <f>TRIM(LEFT(Table3[[#This Row],[Group]],2))</f>
        <v/>
      </c>
      <c r="L406" s="3" t="inlineStr">
        <is>
          <t>NON SALES</t>
        </is>
      </c>
    </row>
    <row r="407">
      <c r="A407" s="5" t="inlineStr">
        <is>
          <t>OP02550</t>
        </is>
      </c>
      <c r="B407" s="6" t="inlineStr">
        <is>
          <t>Khoiri</t>
        </is>
      </c>
      <c r="C407" s="7" t="inlineStr">
        <is>
          <t>AV - Agen Verified</t>
        </is>
      </c>
      <c r="D407" s="1" t="inlineStr">
        <is>
          <t>OP00002</t>
        </is>
      </c>
      <c r="E407" s="8" t="n">
        <v>44849.65138888889</v>
      </c>
      <c r="F407" s="7" t="inlineStr">
        <is>
          <t>AGEN</t>
        </is>
      </c>
      <c r="G407" s="18" t="inlineStr">
        <is>
          <t>OP02550</t>
        </is>
      </c>
      <c r="H407" s="19">
        <f>UPPER(Table3[[#This Row],[Agen id]]&amp;"-"&amp;VLOOKUP(Table3[[#This Row],[Agen id]],A:B,2,0)&amp;"("&amp;Table3[[#This Row],[Short]]&amp;")")</f>
        <v/>
      </c>
      <c r="J407" s="7">
        <f>VLOOKUP(Table3[[#This Row],[Agen id]],Agen!A:C,3,0)</f>
        <v/>
      </c>
      <c r="K407" s="37">
        <f>TRIM(LEFT(Table3[[#This Row],[Group]],2))</f>
        <v/>
      </c>
      <c r="L407" s="3" t="inlineStr">
        <is>
          <t>NON SALES</t>
        </is>
      </c>
    </row>
    <row r="408">
      <c r="A408" s="5" t="inlineStr">
        <is>
          <t>OP02551</t>
        </is>
      </c>
      <c r="B408" s="6" t="inlineStr">
        <is>
          <t>Ama cell</t>
        </is>
      </c>
      <c r="C408" s="7" t="inlineStr">
        <is>
          <t>A - Agen</t>
        </is>
      </c>
      <c r="D408" s="1" t="inlineStr">
        <is>
          <t>OP00003</t>
        </is>
      </c>
      <c r="E408" s="8" t="n">
        <v>44849.75277777778</v>
      </c>
      <c r="F408" s="7" t="inlineStr">
        <is>
          <t>AGEN</t>
        </is>
      </c>
      <c r="G408" s="18" t="inlineStr">
        <is>
          <t>OP02551</t>
        </is>
      </c>
      <c r="H408" s="19">
        <f>UPPER(Table3[[#This Row],[Agen id]]&amp;"-"&amp;VLOOKUP(Table3[[#This Row],[Agen id]],A:B,2,0)&amp;"("&amp;Table3[[#This Row],[Short]]&amp;")")</f>
        <v/>
      </c>
      <c r="J408" s="7">
        <f>VLOOKUP(Table3[[#This Row],[Agen id]],Agen!A:C,3,0)</f>
        <v/>
      </c>
      <c r="K408" s="37">
        <f>TRIM(LEFT(Table3[[#This Row],[Group]],2))</f>
        <v/>
      </c>
      <c r="L408" s="3" t="inlineStr">
        <is>
          <t>NON SALES</t>
        </is>
      </c>
    </row>
    <row r="409">
      <c r="A409" s="5" t="inlineStr">
        <is>
          <t>OP02552</t>
        </is>
      </c>
      <c r="B409" s="6" t="inlineStr">
        <is>
          <t>Sulkifli</t>
        </is>
      </c>
      <c r="C409" s="7" t="inlineStr">
        <is>
          <t>AV - Agen Verified</t>
        </is>
      </c>
      <c r="D409" s="1" t="inlineStr">
        <is>
          <t>OP00051</t>
        </is>
      </c>
      <c r="E409" s="8" t="n">
        <v>44849.75833333333</v>
      </c>
      <c r="F409" s="7" t="inlineStr">
        <is>
          <t>DOWNLINE</t>
        </is>
      </c>
      <c r="G409" s="18" t="inlineStr">
        <is>
          <t>OP00051</t>
        </is>
      </c>
      <c r="H409" s="19">
        <f>UPPER(Table3[[#This Row],[Agen id]]&amp;"-"&amp;VLOOKUP(Table3[[#This Row],[Agen id]],A:B,2,0)&amp;"("&amp;Table3[[#This Row],[Short]]&amp;")")</f>
        <v/>
      </c>
      <c r="J409" s="7">
        <f>VLOOKUP(Table3[[#This Row],[Agen id]],Agen!A:C,3,0)</f>
        <v/>
      </c>
      <c r="K409" s="37">
        <f>TRIM(LEFT(Table3[[#This Row],[Group]],2))</f>
        <v/>
      </c>
      <c r="L409" s="3" t="inlineStr">
        <is>
          <t>NON SALES</t>
        </is>
      </c>
    </row>
    <row r="410">
      <c r="A410" s="5" t="inlineStr">
        <is>
          <t>OP02554</t>
        </is>
      </c>
      <c r="B410" s="6" t="inlineStr">
        <is>
          <t>Rini</t>
        </is>
      </c>
      <c r="C410" s="7" t="inlineStr">
        <is>
          <t>AV - Agen Verified</t>
        </is>
      </c>
      <c r="D410" s="1" t="inlineStr">
        <is>
          <t>OP00003</t>
        </is>
      </c>
      <c r="E410" s="8" t="n">
        <v>44849.81319444445</v>
      </c>
      <c r="F410" s="7" t="inlineStr">
        <is>
          <t>AGEN</t>
        </is>
      </c>
      <c r="G410" s="18" t="inlineStr">
        <is>
          <t>OP02554</t>
        </is>
      </c>
      <c r="H410" s="19">
        <f>UPPER(Table3[[#This Row],[Agen id]]&amp;"-"&amp;VLOOKUP(Table3[[#This Row],[Agen id]],A:B,2,0)&amp;"("&amp;Table3[[#This Row],[Short]]&amp;")")</f>
        <v/>
      </c>
      <c r="J410" s="7">
        <f>VLOOKUP(Table3[[#This Row],[Agen id]],Agen!A:C,3,0)</f>
        <v/>
      </c>
      <c r="K410" s="37">
        <f>TRIM(LEFT(Table3[[#This Row],[Group]],2))</f>
        <v/>
      </c>
      <c r="L410" s="3" t="inlineStr">
        <is>
          <t>NON SALES</t>
        </is>
      </c>
    </row>
    <row r="411">
      <c r="A411" s="5" t="inlineStr">
        <is>
          <t>OP02558</t>
        </is>
      </c>
      <c r="B411" s="6" t="inlineStr">
        <is>
          <t>Berkah Lancar Jaya</t>
        </is>
      </c>
      <c r="C411" s="7" t="inlineStr">
        <is>
          <t>AV - Agen Verified</t>
        </is>
      </c>
      <c r="D411" s="1" t="inlineStr">
        <is>
          <t>OP00003</t>
        </is>
      </c>
      <c r="E411" s="8" t="n">
        <v>44850.33402777778</v>
      </c>
      <c r="F411" s="7" t="inlineStr">
        <is>
          <t>AGEN</t>
        </is>
      </c>
      <c r="G411" s="18" t="inlineStr">
        <is>
          <t>OP02558</t>
        </is>
      </c>
      <c r="H411" s="19">
        <f>UPPER(Table3[[#This Row],[Agen id]]&amp;"-"&amp;VLOOKUP(Table3[[#This Row],[Agen id]],A:B,2,0)&amp;"("&amp;Table3[[#This Row],[Short]]&amp;")")</f>
        <v/>
      </c>
      <c r="J411" s="7">
        <f>VLOOKUP(Table3[[#This Row],[Agen id]],Agen!A:C,3,0)</f>
        <v/>
      </c>
      <c r="K411" s="37">
        <f>TRIM(LEFT(Table3[[#This Row],[Group]],2))</f>
        <v/>
      </c>
      <c r="L411" s="3" t="inlineStr">
        <is>
          <t>NON SALES</t>
        </is>
      </c>
    </row>
    <row r="412">
      <c r="A412" s="5" t="inlineStr">
        <is>
          <t>OP02567</t>
        </is>
      </c>
      <c r="B412" s="6" t="inlineStr">
        <is>
          <t>Fely cell</t>
        </is>
      </c>
      <c r="C412" s="7" t="inlineStr">
        <is>
          <t>A - Agen</t>
        </is>
      </c>
      <c r="D412" s="1" t="inlineStr">
        <is>
          <t>OP02233</t>
        </is>
      </c>
      <c r="E412" s="8" t="n">
        <v>44850.71597222222</v>
      </c>
      <c r="F412" s="7" t="inlineStr">
        <is>
          <t>DOWNLINE</t>
        </is>
      </c>
      <c r="G412" s="18" t="inlineStr">
        <is>
          <t>OP02233</t>
        </is>
      </c>
      <c r="H412" s="19">
        <f>UPPER(Table3[[#This Row],[Agen id]]&amp;"-"&amp;VLOOKUP(Table3[[#This Row],[Agen id]],A:B,2,0)&amp;"("&amp;Table3[[#This Row],[Short]]&amp;")")</f>
        <v/>
      </c>
      <c r="J412" s="7">
        <f>VLOOKUP(Table3[[#This Row],[Agen id]],Agen!A:C,3,0)</f>
        <v/>
      </c>
      <c r="K412" s="37">
        <f>TRIM(LEFT(Table3[[#This Row],[Group]],2))</f>
        <v/>
      </c>
      <c r="L412" s="3" t="inlineStr">
        <is>
          <t>NON SALES</t>
        </is>
      </c>
    </row>
    <row r="413">
      <c r="A413" s="5" t="inlineStr">
        <is>
          <t>OP02569</t>
        </is>
      </c>
      <c r="B413" s="6" t="inlineStr">
        <is>
          <t>Minda</t>
        </is>
      </c>
      <c r="C413" s="7" t="inlineStr">
        <is>
          <t>A - Agen</t>
        </is>
      </c>
      <c r="D413" s="1" t="inlineStr">
        <is>
          <t>OP00238</t>
        </is>
      </c>
      <c r="E413" s="8" t="n">
        <v>44851.69027777778</v>
      </c>
      <c r="F413" s="7" t="inlineStr">
        <is>
          <t>DOWNLINE</t>
        </is>
      </c>
      <c r="G413" s="18" t="inlineStr">
        <is>
          <t>OP00238</t>
        </is>
      </c>
      <c r="H413" s="19">
        <f>UPPER(Table3[[#This Row],[Agen id]]&amp;"-"&amp;VLOOKUP(Table3[[#This Row],[Agen id]],A:B,2,0)&amp;"("&amp;Table3[[#This Row],[Short]]&amp;")")</f>
        <v/>
      </c>
      <c r="J413" s="7">
        <f>VLOOKUP(Table3[[#This Row],[Agen id]],Agen!A:C,3,0)</f>
        <v/>
      </c>
      <c r="K413" s="37">
        <f>TRIM(LEFT(Table3[[#This Row],[Group]],2))</f>
        <v/>
      </c>
      <c r="L413" s="3" t="inlineStr">
        <is>
          <t>NON SALES</t>
        </is>
      </c>
    </row>
    <row r="414">
      <c r="A414" s="5" t="inlineStr">
        <is>
          <t>OP02584</t>
        </is>
      </c>
      <c r="B414" s="6" t="inlineStr">
        <is>
          <t>Hendra making</t>
        </is>
      </c>
      <c r="C414" s="7" t="inlineStr">
        <is>
          <t>AV - Agen Verified</t>
        </is>
      </c>
      <c r="D414" s="1" t="inlineStr">
        <is>
          <t>OP00996</t>
        </is>
      </c>
      <c r="E414" s="8" t="n">
        <v>44852.64097222222</v>
      </c>
      <c r="F414" s="7" t="inlineStr">
        <is>
          <t>DOWNLINE</t>
        </is>
      </c>
      <c r="G414" s="18" t="inlineStr">
        <is>
          <t>OP00996</t>
        </is>
      </c>
      <c r="H414" s="19">
        <f>UPPER(Table3[[#This Row],[Agen id]]&amp;"-"&amp;VLOOKUP(Table3[[#This Row],[Agen id]],A:B,2,0)&amp;"("&amp;Table3[[#This Row],[Short]]&amp;")")</f>
        <v/>
      </c>
      <c r="J414" s="7">
        <f>VLOOKUP(Table3[[#This Row],[Agen id]],Agen!A:C,3,0)</f>
        <v/>
      </c>
      <c r="K414" s="37">
        <f>TRIM(LEFT(Table3[[#This Row],[Group]],2))</f>
        <v/>
      </c>
      <c r="L414" s="3" t="inlineStr">
        <is>
          <t>NON SALES</t>
        </is>
      </c>
    </row>
    <row r="415">
      <c r="A415" s="5" t="inlineStr">
        <is>
          <t>OP02600</t>
        </is>
      </c>
      <c r="B415" s="6" t="inlineStr">
        <is>
          <t>Rosita</t>
        </is>
      </c>
      <c r="C415" s="7" t="inlineStr">
        <is>
          <t>A - Agen</t>
        </is>
      </c>
      <c r="D415" s="1" t="inlineStr">
        <is>
          <t>OP00003</t>
        </is>
      </c>
      <c r="E415" s="8" t="n">
        <v>44854.5</v>
      </c>
      <c r="F415" s="7" t="inlineStr">
        <is>
          <t>AGEN</t>
        </is>
      </c>
      <c r="G415" s="18" t="inlineStr">
        <is>
          <t>OP02600</t>
        </is>
      </c>
      <c r="H415" s="19">
        <f>UPPER(Table3[[#This Row],[Agen id]]&amp;"-"&amp;VLOOKUP(Table3[[#This Row],[Agen id]],A:B,2,0)&amp;"("&amp;Table3[[#This Row],[Short]]&amp;")")</f>
        <v/>
      </c>
      <c r="J415" s="7">
        <f>VLOOKUP(Table3[[#This Row],[Agen id]],Agen!A:C,3,0)</f>
        <v/>
      </c>
      <c r="K415" s="37">
        <f>TRIM(LEFT(Table3[[#This Row],[Group]],2))</f>
        <v/>
      </c>
      <c r="L415" s="3" t="inlineStr">
        <is>
          <t>NON SALES</t>
        </is>
      </c>
    </row>
    <row r="416">
      <c r="A416" s="5" t="inlineStr">
        <is>
          <t>OP02609</t>
        </is>
      </c>
      <c r="B416" s="6" t="inlineStr">
        <is>
          <t>Maya bauana</t>
        </is>
      </c>
      <c r="C416" s="7" t="inlineStr">
        <is>
          <t>A - Agen</t>
        </is>
      </c>
      <c r="D416" s="1" t="inlineStr">
        <is>
          <t>OP02551</t>
        </is>
      </c>
      <c r="E416" s="8" t="n">
        <v>44854.79583333333</v>
      </c>
      <c r="F416" s="7" t="inlineStr">
        <is>
          <t>DOWNLINE</t>
        </is>
      </c>
      <c r="G416" s="18" t="inlineStr">
        <is>
          <t>OP02551</t>
        </is>
      </c>
      <c r="H416" s="19">
        <f>UPPER(Table3[[#This Row],[Agen id]]&amp;"-"&amp;VLOOKUP(Table3[[#This Row],[Agen id]],A:B,2,0)&amp;"("&amp;Table3[[#This Row],[Short]]&amp;")")</f>
        <v/>
      </c>
      <c r="J416" s="7">
        <f>VLOOKUP(Table3[[#This Row],[Agen id]],Agen!A:C,3,0)</f>
        <v/>
      </c>
      <c r="K416" s="37">
        <f>TRIM(LEFT(Table3[[#This Row],[Group]],2))</f>
        <v/>
      </c>
      <c r="L416" s="3" t="inlineStr">
        <is>
          <t>NON SALES</t>
        </is>
      </c>
    </row>
    <row r="417">
      <c r="A417" s="5" t="inlineStr">
        <is>
          <t>OP02616</t>
        </is>
      </c>
      <c r="B417" s="6" t="inlineStr">
        <is>
          <t>Nuryanto</t>
        </is>
      </c>
      <c r="C417" s="7" t="inlineStr">
        <is>
          <t>AV - Agen Verified</t>
        </is>
      </c>
      <c r="D417" s="1" t="inlineStr">
        <is>
          <t>OP0003</t>
        </is>
      </c>
      <c r="E417" s="8" t="n">
        <v>44855.26041666666</v>
      </c>
      <c r="F417" s="7" t="inlineStr">
        <is>
          <t>DOWNLINE</t>
        </is>
      </c>
      <c r="G417" s="18" t="inlineStr">
        <is>
          <t>OP02616</t>
        </is>
      </c>
      <c r="H417" s="19">
        <f>UPPER(Table3[[#This Row],[Agen id]]&amp;"-"&amp;VLOOKUP(Table3[[#This Row],[Agen id]],A:B,2,0)&amp;"("&amp;Table3[[#This Row],[Short]]&amp;")")</f>
        <v/>
      </c>
      <c r="J417" s="7">
        <f>VLOOKUP(Table3[[#This Row],[Agen id]],Agen!A:C,3,0)</f>
        <v/>
      </c>
      <c r="K417" s="37">
        <f>TRIM(LEFT(Table3[[#This Row],[Group]],2))</f>
        <v/>
      </c>
      <c r="L417" s="3" t="inlineStr">
        <is>
          <t>NON SALES</t>
        </is>
      </c>
    </row>
    <row r="418">
      <c r="A418" s="5" t="inlineStr">
        <is>
          <t>OP02633</t>
        </is>
      </c>
      <c r="B418" s="6" t="inlineStr">
        <is>
          <t>Jumanir</t>
        </is>
      </c>
      <c r="C418" s="7" t="inlineStr">
        <is>
          <t>A - Agen</t>
        </is>
      </c>
      <c r="D418" s="1" t="inlineStr">
        <is>
          <t>OP00996</t>
        </is>
      </c>
      <c r="E418" s="8" t="n">
        <v>44857.12361111111</v>
      </c>
      <c r="F418" s="7" t="inlineStr">
        <is>
          <t>DOWNLINE</t>
        </is>
      </c>
      <c r="G418" s="18" t="inlineStr">
        <is>
          <t>OP00996</t>
        </is>
      </c>
      <c r="H418" s="19">
        <f>UPPER(Table3[[#This Row],[Agen id]]&amp;"-"&amp;VLOOKUP(Table3[[#This Row],[Agen id]],A:B,2,0)&amp;"("&amp;Table3[[#This Row],[Short]]&amp;")")</f>
        <v/>
      </c>
      <c r="J418" s="7">
        <f>VLOOKUP(Table3[[#This Row],[Agen id]],Agen!A:C,3,0)</f>
        <v/>
      </c>
      <c r="K418" s="37">
        <f>TRIM(LEFT(Table3[[#This Row],[Group]],2))</f>
        <v/>
      </c>
      <c r="L418" s="3" t="inlineStr">
        <is>
          <t>NON SALES</t>
        </is>
      </c>
    </row>
    <row r="419">
      <c r="A419" s="5" t="inlineStr">
        <is>
          <t>OP02634</t>
        </is>
      </c>
      <c r="B419" s="6" t="inlineStr">
        <is>
          <t>Abdul Rahman</t>
        </is>
      </c>
      <c r="C419" s="7" t="inlineStr">
        <is>
          <t>A - Agen</t>
        </is>
      </c>
      <c r="D419" s="1" t="inlineStr">
        <is>
          <t>OP00996</t>
        </is>
      </c>
      <c r="E419" s="8" t="n">
        <v>44857.15277777778</v>
      </c>
      <c r="F419" s="7" t="inlineStr">
        <is>
          <t>DOWNLINE</t>
        </is>
      </c>
      <c r="G419" s="18" t="inlineStr">
        <is>
          <t>OP00996</t>
        </is>
      </c>
      <c r="H419" s="19">
        <f>UPPER(Table3[[#This Row],[Agen id]]&amp;"-"&amp;VLOOKUP(Table3[[#This Row],[Agen id]],A:B,2,0)&amp;"("&amp;Table3[[#This Row],[Short]]&amp;")")</f>
        <v/>
      </c>
      <c r="J419" s="7">
        <f>VLOOKUP(Table3[[#This Row],[Agen id]],Agen!A:C,3,0)</f>
        <v/>
      </c>
      <c r="K419" s="37">
        <f>TRIM(LEFT(Table3[[#This Row],[Group]],2))</f>
        <v/>
      </c>
      <c r="L419" s="3" t="inlineStr">
        <is>
          <t>NON SALES</t>
        </is>
      </c>
    </row>
    <row r="420">
      <c r="A420" s="5" t="inlineStr">
        <is>
          <t>OP02650</t>
        </is>
      </c>
      <c r="B420" s="6" t="inlineStr">
        <is>
          <t>Densa</t>
        </is>
      </c>
      <c r="C420" s="7" t="inlineStr">
        <is>
          <t>A - Agen</t>
        </is>
      </c>
      <c r="D420" s="1" t="inlineStr">
        <is>
          <t>OP00996</t>
        </is>
      </c>
      <c r="E420" s="8" t="n">
        <v>44858.78819444445</v>
      </c>
      <c r="F420" s="7" t="inlineStr">
        <is>
          <t>DOWNLINE</t>
        </is>
      </c>
      <c r="G420" s="18" t="inlineStr">
        <is>
          <t>OP00996</t>
        </is>
      </c>
      <c r="H420" s="19">
        <f>UPPER(Table3[[#This Row],[Agen id]]&amp;"-"&amp;VLOOKUP(Table3[[#This Row],[Agen id]],A:B,2,0)&amp;"("&amp;Table3[[#This Row],[Short]]&amp;")")</f>
        <v/>
      </c>
      <c r="J420" s="7">
        <f>VLOOKUP(Table3[[#This Row],[Agen id]],Agen!A:C,3,0)</f>
        <v/>
      </c>
      <c r="K420" s="37">
        <f>TRIM(LEFT(Table3[[#This Row],[Group]],2))</f>
        <v/>
      </c>
      <c r="L420" s="3" t="inlineStr">
        <is>
          <t>NON SALES</t>
        </is>
      </c>
    </row>
    <row r="421">
      <c r="A421" s="5" t="inlineStr">
        <is>
          <t>OP02651</t>
        </is>
      </c>
      <c r="B421" s="6" t="inlineStr">
        <is>
          <t>Kahfi</t>
        </is>
      </c>
      <c r="C421" s="7" t="inlineStr">
        <is>
          <t>A - Agen</t>
        </is>
      </c>
      <c r="D421" s="1" t="inlineStr">
        <is>
          <t>OP00996</t>
        </is>
      </c>
      <c r="E421" s="8" t="n">
        <v>44858.81319444445</v>
      </c>
      <c r="F421" s="7" t="inlineStr">
        <is>
          <t>DOWNLINE</t>
        </is>
      </c>
      <c r="G421" s="18" t="inlineStr">
        <is>
          <t>OP00996</t>
        </is>
      </c>
      <c r="H421" s="19">
        <f>UPPER(Table3[[#This Row],[Agen id]]&amp;"-"&amp;VLOOKUP(Table3[[#This Row],[Agen id]],A:B,2,0)&amp;"("&amp;Table3[[#This Row],[Short]]&amp;")")</f>
        <v/>
      </c>
      <c r="J421" s="7">
        <f>VLOOKUP(Table3[[#This Row],[Agen id]],Agen!A:C,3,0)</f>
        <v/>
      </c>
      <c r="K421" s="37">
        <f>TRIM(LEFT(Table3[[#This Row],[Group]],2))</f>
        <v/>
      </c>
      <c r="L421" s="3" t="inlineStr">
        <is>
          <t>NON SALES</t>
        </is>
      </c>
    </row>
    <row r="422">
      <c r="A422" s="5" t="inlineStr">
        <is>
          <t>OP02665</t>
        </is>
      </c>
      <c r="B422" s="6" t="inlineStr">
        <is>
          <t>Mellan nahas</t>
        </is>
      </c>
      <c r="C422" s="7" t="inlineStr">
        <is>
          <t>A - Agen</t>
        </is>
      </c>
      <c r="D422" s="1" t="inlineStr">
        <is>
          <t>OP00996</t>
        </is>
      </c>
      <c r="E422" s="8" t="n">
        <v>44859.89583333334</v>
      </c>
      <c r="F422" s="7" t="inlineStr">
        <is>
          <t>DOWNLINE</t>
        </is>
      </c>
      <c r="G422" s="18" t="inlineStr">
        <is>
          <t>OP00996</t>
        </is>
      </c>
      <c r="H422" s="19">
        <f>UPPER(Table3[[#This Row],[Agen id]]&amp;"-"&amp;VLOOKUP(Table3[[#This Row],[Agen id]],A:B,2,0)&amp;"("&amp;Table3[[#This Row],[Short]]&amp;")")</f>
        <v/>
      </c>
      <c r="J422" s="7">
        <f>VLOOKUP(Table3[[#This Row],[Agen id]],Agen!A:C,3,0)</f>
        <v/>
      </c>
      <c r="K422" s="37">
        <f>TRIM(LEFT(Table3[[#This Row],[Group]],2))</f>
        <v/>
      </c>
      <c r="L422" s="3" t="inlineStr">
        <is>
          <t>NON SALES</t>
        </is>
      </c>
    </row>
    <row r="423">
      <c r="A423" s="5" t="inlineStr">
        <is>
          <t>OP02673</t>
        </is>
      </c>
      <c r="B423" s="6" t="inlineStr">
        <is>
          <t>Adar madrudin</t>
        </is>
      </c>
      <c r="C423" s="7" t="inlineStr">
        <is>
          <t>AV - Agen Verified</t>
        </is>
      </c>
      <c r="D423" s="1" t="inlineStr">
        <is>
          <t>OP00003</t>
        </is>
      </c>
      <c r="E423" s="8" t="n">
        <v>44860.34861111111</v>
      </c>
      <c r="F423" s="7" t="inlineStr">
        <is>
          <t>AGEN</t>
        </is>
      </c>
      <c r="G423" s="18" t="inlineStr">
        <is>
          <t>OP02673</t>
        </is>
      </c>
      <c r="H423" s="19">
        <f>UPPER(Table3[[#This Row],[Agen id]]&amp;"-"&amp;VLOOKUP(Table3[[#This Row],[Agen id]],A:B,2,0)&amp;"("&amp;Table3[[#This Row],[Short]]&amp;")")</f>
        <v/>
      </c>
      <c r="J423" s="7">
        <f>VLOOKUP(Table3[[#This Row],[Agen id]],Agen!A:C,3,0)</f>
        <v/>
      </c>
      <c r="K423" s="37">
        <f>TRIM(LEFT(Table3[[#This Row],[Group]],2))</f>
        <v/>
      </c>
      <c r="L423" s="3" t="inlineStr">
        <is>
          <t>NON SALES</t>
        </is>
      </c>
    </row>
    <row r="424">
      <c r="A424" s="5" t="inlineStr">
        <is>
          <t>OP02684</t>
        </is>
      </c>
      <c r="B424" s="6" t="inlineStr">
        <is>
          <t>AWI PAY M3</t>
        </is>
      </c>
      <c r="C424" s="7" t="inlineStr">
        <is>
          <t>AV - Agen Verified</t>
        </is>
      </c>
      <c r="D424" s="1" t="inlineStr">
        <is>
          <t>OP02182</t>
        </is>
      </c>
      <c r="E424" s="8" t="n">
        <v>44860.66666666666</v>
      </c>
      <c r="F424" s="7" t="inlineStr">
        <is>
          <t>DOWNLINE</t>
        </is>
      </c>
      <c r="G424" s="18" t="inlineStr">
        <is>
          <t>OP02182</t>
        </is>
      </c>
      <c r="H424" s="19">
        <f>UPPER(Table3[[#This Row],[Agen id]]&amp;"-"&amp;VLOOKUP(Table3[[#This Row],[Agen id]],A:B,2,0)&amp;"("&amp;Table3[[#This Row],[Short]]&amp;")")</f>
        <v/>
      </c>
      <c r="J424" s="7">
        <f>VLOOKUP(Table3[[#This Row],[Agen id]],Agen!A:C,3,0)</f>
        <v/>
      </c>
      <c r="K424" s="37">
        <f>TRIM(LEFT(Table3[[#This Row],[Group]],2))</f>
        <v/>
      </c>
      <c r="L424" s="3" t="inlineStr">
        <is>
          <t>NON SALES</t>
        </is>
      </c>
    </row>
    <row r="425">
      <c r="A425" s="5" t="inlineStr">
        <is>
          <t>OP02685</t>
        </is>
      </c>
      <c r="B425" s="6" t="inlineStr">
        <is>
          <t>INDRA WADI PONCEL</t>
        </is>
      </c>
      <c r="C425" s="7" t="inlineStr">
        <is>
          <t>AV - Agen Verified</t>
        </is>
      </c>
      <c r="D425" s="1" t="inlineStr">
        <is>
          <t>OP00003</t>
        </is>
      </c>
      <c r="E425" s="8" t="n">
        <v>44860.68055555555</v>
      </c>
      <c r="F425" s="7" t="inlineStr">
        <is>
          <t>AGEN</t>
        </is>
      </c>
      <c r="G425" s="18" t="inlineStr">
        <is>
          <t>OP02685</t>
        </is>
      </c>
      <c r="H425" s="19">
        <f>UPPER(Table3[[#This Row],[Agen id]]&amp;"-"&amp;VLOOKUP(Table3[[#This Row],[Agen id]],A:B,2,0)&amp;"("&amp;Table3[[#This Row],[Short]]&amp;")")</f>
        <v/>
      </c>
      <c r="J425" s="7">
        <f>VLOOKUP(Table3[[#This Row],[Agen id]],Agen!A:C,3,0)</f>
        <v/>
      </c>
      <c r="K425" s="37">
        <f>TRIM(LEFT(Table3[[#This Row],[Group]],2))</f>
        <v/>
      </c>
      <c r="L425" s="3" t="inlineStr">
        <is>
          <t>NON SALES</t>
        </is>
      </c>
    </row>
    <row r="426">
      <c r="A426" s="5" t="inlineStr">
        <is>
          <t>OP02699</t>
        </is>
      </c>
      <c r="B426" s="6" t="inlineStr">
        <is>
          <t>cinta yuniwni</t>
        </is>
      </c>
      <c r="C426" s="7" t="inlineStr">
        <is>
          <t>A - Agen</t>
        </is>
      </c>
      <c r="D426" s="1" t="inlineStr">
        <is>
          <t>OP01847</t>
        </is>
      </c>
      <c r="E426" s="8" t="n">
        <v>44861.51666666667</v>
      </c>
      <c r="F426" s="7" t="inlineStr">
        <is>
          <t>DOWNLINE</t>
        </is>
      </c>
      <c r="G426" s="18" t="inlineStr">
        <is>
          <t>OP01847</t>
        </is>
      </c>
      <c r="H426" s="19">
        <f>UPPER(Table3[[#This Row],[Agen id]]&amp;"-"&amp;VLOOKUP(Table3[[#This Row],[Agen id]],A:B,2,0)&amp;"("&amp;Table3[[#This Row],[Short]]&amp;")")</f>
        <v/>
      </c>
      <c r="J426" s="7">
        <f>VLOOKUP(Table3[[#This Row],[Agen id]],Agen!A:C,3,0)</f>
        <v/>
      </c>
      <c r="K426" s="37">
        <f>TRIM(LEFT(Table3[[#This Row],[Group]],2))</f>
        <v/>
      </c>
      <c r="L426" s="3" t="inlineStr">
        <is>
          <t>NON SALES</t>
        </is>
      </c>
    </row>
    <row r="427">
      <c r="A427" s="5" t="inlineStr">
        <is>
          <t>OP02705</t>
        </is>
      </c>
      <c r="B427" s="6" t="inlineStr">
        <is>
          <t>Siti nur kofifah</t>
        </is>
      </c>
      <c r="C427" s="7" t="inlineStr">
        <is>
          <t>A - Agen</t>
        </is>
      </c>
      <c r="D427" s="1" t="inlineStr">
        <is>
          <t>OP00003</t>
        </is>
      </c>
      <c r="E427" s="8" t="n">
        <v>44861.83472222222</v>
      </c>
      <c r="F427" s="7" t="inlineStr">
        <is>
          <t>AGEN</t>
        </is>
      </c>
      <c r="G427" s="18" t="inlineStr">
        <is>
          <t>OP02705</t>
        </is>
      </c>
      <c r="H427" s="19">
        <f>UPPER(Table3[[#This Row],[Agen id]]&amp;"-"&amp;VLOOKUP(Table3[[#This Row],[Agen id]],A:B,2,0)&amp;"("&amp;Table3[[#This Row],[Short]]&amp;")")</f>
        <v/>
      </c>
      <c r="J427" s="7">
        <f>VLOOKUP(Table3[[#This Row],[Agen id]],Agen!A:C,3,0)</f>
        <v/>
      </c>
      <c r="K427" s="37">
        <f>TRIM(LEFT(Table3[[#This Row],[Group]],2))</f>
        <v/>
      </c>
      <c r="L427" s="3" t="inlineStr">
        <is>
          <t>NON SALES</t>
        </is>
      </c>
    </row>
    <row r="428">
      <c r="A428" s="5" t="inlineStr">
        <is>
          <t>OP02706</t>
        </is>
      </c>
      <c r="B428" s="6" t="inlineStr">
        <is>
          <t>Adeeva</t>
        </is>
      </c>
      <c r="C428" s="7" t="inlineStr">
        <is>
          <t>A - Agen</t>
        </is>
      </c>
      <c r="D428" s="1" t="inlineStr">
        <is>
          <t>OP00003</t>
        </is>
      </c>
      <c r="E428" s="8" t="n">
        <v>44861.84791666667</v>
      </c>
      <c r="F428" s="7" t="inlineStr">
        <is>
          <t>AGEN</t>
        </is>
      </c>
      <c r="G428" s="18" t="inlineStr">
        <is>
          <t>OP02706</t>
        </is>
      </c>
      <c r="H428" s="19">
        <f>UPPER(Table3[[#This Row],[Agen id]]&amp;"-"&amp;VLOOKUP(Table3[[#This Row],[Agen id]],A:B,2,0)&amp;"("&amp;Table3[[#This Row],[Short]]&amp;")")</f>
        <v/>
      </c>
      <c r="J428" s="7">
        <f>VLOOKUP(Table3[[#This Row],[Agen id]],Agen!A:C,3,0)</f>
        <v/>
      </c>
      <c r="K428" s="37">
        <f>TRIM(LEFT(Table3[[#This Row],[Group]],2))</f>
        <v/>
      </c>
      <c r="L428" s="3" t="inlineStr">
        <is>
          <t>NON SALES</t>
        </is>
      </c>
    </row>
    <row r="429">
      <c r="A429" s="5" t="inlineStr">
        <is>
          <t>OP02718</t>
        </is>
      </c>
      <c r="B429" s="6" t="inlineStr">
        <is>
          <t>Amanan</t>
        </is>
      </c>
      <c r="C429" s="7" t="inlineStr">
        <is>
          <t>A - Agen</t>
        </is>
      </c>
      <c r="D429" s="1" t="inlineStr">
        <is>
          <t>OP00003</t>
        </is>
      </c>
      <c r="E429" s="8" t="n">
        <v>44862.42777777778</v>
      </c>
      <c r="F429" s="7" t="inlineStr">
        <is>
          <t>AGEN</t>
        </is>
      </c>
      <c r="G429" s="18" t="inlineStr">
        <is>
          <t>OP02718</t>
        </is>
      </c>
      <c r="H429" s="19">
        <f>UPPER(Table3[[#This Row],[Agen id]]&amp;"-"&amp;VLOOKUP(Table3[[#This Row],[Agen id]],A:B,2,0)&amp;"("&amp;Table3[[#This Row],[Short]]&amp;")")</f>
        <v/>
      </c>
      <c r="J429" s="7">
        <f>VLOOKUP(Table3[[#This Row],[Agen id]],Agen!A:C,3,0)</f>
        <v/>
      </c>
      <c r="K429" s="37">
        <f>TRIM(LEFT(Table3[[#This Row],[Group]],2))</f>
        <v/>
      </c>
      <c r="L429" s="3" t="inlineStr">
        <is>
          <t>NON SALES</t>
        </is>
      </c>
    </row>
    <row r="430">
      <c r="A430" s="5" t="inlineStr">
        <is>
          <t>OP02722</t>
        </is>
      </c>
      <c r="B430" s="6" t="inlineStr">
        <is>
          <t>Emiliana Mako</t>
        </is>
      </c>
      <c r="C430" s="7" t="inlineStr">
        <is>
          <t>A - Agen</t>
        </is>
      </c>
      <c r="D430" s="1" t="inlineStr">
        <is>
          <t>OP00996</t>
        </is>
      </c>
      <c r="E430" s="8" t="n">
        <v>44862.48194444444</v>
      </c>
      <c r="F430" s="7" t="inlineStr">
        <is>
          <t>DOWNLINE</t>
        </is>
      </c>
      <c r="G430" s="18" t="inlineStr">
        <is>
          <t>OP00996</t>
        </is>
      </c>
      <c r="H430" s="19">
        <f>UPPER(Table3[[#This Row],[Agen id]]&amp;"-"&amp;VLOOKUP(Table3[[#This Row],[Agen id]],A:B,2,0)&amp;"("&amp;Table3[[#This Row],[Short]]&amp;")")</f>
        <v/>
      </c>
      <c r="J430" s="7">
        <f>VLOOKUP(Table3[[#This Row],[Agen id]],Agen!A:C,3,0)</f>
        <v/>
      </c>
      <c r="K430" s="37">
        <f>TRIM(LEFT(Table3[[#This Row],[Group]],2))</f>
        <v/>
      </c>
      <c r="L430" s="3" t="inlineStr">
        <is>
          <t>NON SALES</t>
        </is>
      </c>
    </row>
    <row r="431">
      <c r="A431" s="5" t="inlineStr">
        <is>
          <t>OP02726</t>
        </is>
      </c>
      <c r="B431" s="6" t="inlineStr">
        <is>
          <t>Suparni</t>
        </is>
      </c>
      <c r="C431" s="7" t="inlineStr">
        <is>
          <t>AV - Agen Verified</t>
        </is>
      </c>
      <c r="D431" s="1" t="inlineStr">
        <is>
          <t>OP02233</t>
        </is>
      </c>
      <c r="E431" s="8" t="n">
        <v>44862.56527777778</v>
      </c>
      <c r="F431" s="7" t="inlineStr">
        <is>
          <t>DOWNLINE</t>
        </is>
      </c>
      <c r="G431" s="18" t="inlineStr">
        <is>
          <t>OP02233</t>
        </is>
      </c>
      <c r="H431" s="19">
        <f>UPPER(Table3[[#This Row],[Agen id]]&amp;"-"&amp;VLOOKUP(Table3[[#This Row],[Agen id]],A:B,2,0)&amp;"("&amp;Table3[[#This Row],[Short]]&amp;")")</f>
        <v/>
      </c>
      <c r="J431" s="7">
        <f>VLOOKUP(Table3[[#This Row],[Agen id]],Agen!A:C,3,0)</f>
        <v/>
      </c>
      <c r="K431" s="37">
        <f>TRIM(LEFT(Table3[[#This Row],[Group]],2))</f>
        <v/>
      </c>
      <c r="L431" s="3" t="inlineStr">
        <is>
          <t>NON SALES</t>
        </is>
      </c>
    </row>
    <row r="432">
      <c r="A432" s="5" t="inlineStr">
        <is>
          <t>OP02730</t>
        </is>
      </c>
      <c r="B432" s="6" t="inlineStr">
        <is>
          <t>Susi susanti</t>
        </is>
      </c>
      <c r="C432" s="7" t="inlineStr">
        <is>
          <t>A - Agen</t>
        </is>
      </c>
      <c r="D432" s="1" t="inlineStr">
        <is>
          <t>OP00003</t>
        </is>
      </c>
      <c r="E432" s="8" t="n">
        <v>44862.82291666666</v>
      </c>
      <c r="F432" s="7" t="inlineStr">
        <is>
          <t>AGEN</t>
        </is>
      </c>
      <c r="G432" s="18" t="inlineStr">
        <is>
          <t>OP02730</t>
        </is>
      </c>
      <c r="H432" s="19">
        <f>UPPER(Table3[[#This Row],[Agen id]]&amp;"-"&amp;VLOOKUP(Table3[[#This Row],[Agen id]],A:B,2,0)&amp;"("&amp;Table3[[#This Row],[Short]]&amp;")")</f>
        <v/>
      </c>
      <c r="J432" s="7">
        <f>VLOOKUP(Table3[[#This Row],[Agen id]],Agen!A:C,3,0)</f>
        <v/>
      </c>
      <c r="K432" s="37">
        <f>TRIM(LEFT(Table3[[#This Row],[Group]],2))</f>
        <v/>
      </c>
      <c r="L432" s="3" t="inlineStr">
        <is>
          <t>NON SALES</t>
        </is>
      </c>
    </row>
    <row r="433">
      <c r="A433" s="5" t="inlineStr">
        <is>
          <t>OP02749</t>
        </is>
      </c>
      <c r="B433" s="6" t="inlineStr">
        <is>
          <t>Dede dayat</t>
        </is>
      </c>
      <c r="C433" s="7" t="inlineStr">
        <is>
          <t>AV - Agen Verified</t>
        </is>
      </c>
      <c r="D433" s="1" t="inlineStr">
        <is>
          <t>OP00003</t>
        </is>
      </c>
      <c r="E433" s="8" t="n">
        <v>44863.62986111111</v>
      </c>
      <c r="F433" s="7" t="inlineStr">
        <is>
          <t>AGEN</t>
        </is>
      </c>
      <c r="G433" s="18" t="inlineStr">
        <is>
          <t>OP02749</t>
        </is>
      </c>
      <c r="H433" s="19">
        <f>UPPER(Table3[[#This Row],[Agen id]]&amp;"-"&amp;VLOOKUP(Table3[[#This Row],[Agen id]],A:B,2,0)&amp;"("&amp;Table3[[#This Row],[Short]]&amp;")")</f>
        <v/>
      </c>
      <c r="J433" s="7">
        <f>VLOOKUP(Table3[[#This Row],[Agen id]],Agen!A:C,3,0)</f>
        <v/>
      </c>
      <c r="K433" s="37">
        <f>TRIM(LEFT(Table3[[#This Row],[Group]],2))</f>
        <v/>
      </c>
      <c r="L433" s="3" t="inlineStr">
        <is>
          <t>NON SALES</t>
        </is>
      </c>
    </row>
    <row r="434">
      <c r="A434" s="5" t="inlineStr">
        <is>
          <t>OP02759</t>
        </is>
      </c>
      <c r="B434" s="6" t="inlineStr">
        <is>
          <t>Hamdan</t>
        </is>
      </c>
      <c r="C434" s="7" t="inlineStr">
        <is>
          <t>A - Agen</t>
        </is>
      </c>
      <c r="D434" s="1" t="inlineStr">
        <is>
          <t>OP00003</t>
        </is>
      </c>
      <c r="E434" s="8" t="n">
        <v>44863.98125</v>
      </c>
      <c r="F434" s="7" t="inlineStr">
        <is>
          <t>AGEN</t>
        </is>
      </c>
      <c r="G434" s="18" t="inlineStr">
        <is>
          <t>OP02759</t>
        </is>
      </c>
      <c r="H434" s="19">
        <f>UPPER(Table3[[#This Row],[Agen id]]&amp;"-"&amp;VLOOKUP(Table3[[#This Row],[Agen id]],A:B,2,0)&amp;"("&amp;Table3[[#This Row],[Short]]&amp;")")</f>
        <v/>
      </c>
      <c r="J434" s="7">
        <f>VLOOKUP(Table3[[#This Row],[Agen id]],Agen!A:C,3,0)</f>
        <v/>
      </c>
      <c r="K434" s="37">
        <f>TRIM(LEFT(Table3[[#This Row],[Group]],2))</f>
        <v/>
      </c>
      <c r="L434" s="3" t="inlineStr">
        <is>
          <t>NON SALES</t>
        </is>
      </c>
    </row>
    <row r="435">
      <c r="A435" s="5" t="inlineStr">
        <is>
          <t>OP02770</t>
        </is>
      </c>
      <c r="B435" s="6" t="inlineStr">
        <is>
          <t>Ririn alasta</t>
        </is>
      </c>
      <c r="C435" s="7" t="inlineStr">
        <is>
          <t>A - Agen</t>
        </is>
      </c>
      <c r="D435" s="1" t="inlineStr">
        <is>
          <t>OP02233</t>
        </is>
      </c>
      <c r="E435" s="8" t="n">
        <v>44864.42777777778</v>
      </c>
      <c r="F435" s="7" t="inlineStr">
        <is>
          <t>DOWNLINE</t>
        </is>
      </c>
      <c r="G435" s="18" t="inlineStr">
        <is>
          <t>OP02233</t>
        </is>
      </c>
      <c r="H435" s="19">
        <f>UPPER(Table3[[#This Row],[Agen id]]&amp;"-"&amp;VLOOKUP(Table3[[#This Row],[Agen id]],A:B,2,0)&amp;"("&amp;Table3[[#This Row],[Short]]&amp;")")</f>
        <v/>
      </c>
      <c r="J435" s="7">
        <f>VLOOKUP(Table3[[#This Row],[Agen id]],Agen!A:C,3,0)</f>
        <v/>
      </c>
      <c r="K435" s="37">
        <f>TRIM(LEFT(Table3[[#This Row],[Group]],2))</f>
        <v/>
      </c>
      <c r="L435" s="3" t="inlineStr">
        <is>
          <t>NON SALES</t>
        </is>
      </c>
    </row>
    <row r="436">
      <c r="A436" s="5" t="inlineStr">
        <is>
          <t>OP02785</t>
        </is>
      </c>
      <c r="B436" s="6" t="inlineStr">
        <is>
          <t>Miranti</t>
        </is>
      </c>
      <c r="C436" s="7" t="inlineStr">
        <is>
          <t>AV - Agen Verified</t>
        </is>
      </c>
      <c r="D436" s="1" t="inlineStr">
        <is>
          <t>OP00266</t>
        </is>
      </c>
      <c r="E436" s="8" t="n">
        <v>44864.93472222222</v>
      </c>
      <c r="F436" s="7" t="inlineStr">
        <is>
          <t>DOWNLINE</t>
        </is>
      </c>
      <c r="G436" s="18" t="inlineStr">
        <is>
          <t>OP00015</t>
        </is>
      </c>
      <c r="H436" s="19">
        <f>UPPER(Table3[[#This Row],[Agen id]]&amp;"-"&amp;VLOOKUP(Table3[[#This Row],[Agen id]],A:B,2,0)&amp;"("&amp;Table3[[#This Row],[Short]]&amp;")")</f>
        <v/>
      </c>
      <c r="J436" s="7">
        <f>VLOOKUP(Table3[[#This Row],[Agen id]],Agen!A:C,3,0)</f>
        <v/>
      </c>
      <c r="K436" s="37">
        <f>TRIM(LEFT(Table3[[#This Row],[Group]],2))</f>
        <v/>
      </c>
      <c r="L436" s="3" t="inlineStr">
        <is>
          <t>NON SALES</t>
        </is>
      </c>
    </row>
    <row r="437">
      <c r="A437" s="5" t="inlineStr">
        <is>
          <t>OP02796</t>
        </is>
      </c>
      <c r="B437" s="6" t="inlineStr">
        <is>
          <t>ESTON SATRIA BAYO</t>
        </is>
      </c>
      <c r="C437" s="7" t="inlineStr">
        <is>
          <t>A - Agen</t>
        </is>
      </c>
      <c r="D437" s="1" t="inlineStr">
        <is>
          <t>OP00002</t>
        </is>
      </c>
      <c r="E437" s="8" t="n">
        <v>44866.425</v>
      </c>
      <c r="F437" s="7" t="inlineStr">
        <is>
          <t>AGEN</t>
        </is>
      </c>
      <c r="G437" s="18" t="inlineStr">
        <is>
          <t>OP02796</t>
        </is>
      </c>
      <c r="H437" s="19">
        <f>UPPER(Table3[[#This Row],[Agen id]]&amp;"-"&amp;VLOOKUP(Table3[[#This Row],[Agen id]],A:B,2,0)&amp;"("&amp;Table3[[#This Row],[Short]]&amp;")")</f>
        <v/>
      </c>
      <c r="J437" s="7">
        <f>VLOOKUP(Table3[[#This Row],[Agen id]],Agen!A:C,3,0)</f>
        <v/>
      </c>
      <c r="K437" s="37">
        <f>TRIM(LEFT(Table3[[#This Row],[Group]],2))</f>
        <v/>
      </c>
      <c r="L437" s="3" t="inlineStr">
        <is>
          <t>NON SALES</t>
        </is>
      </c>
    </row>
    <row r="438">
      <c r="A438" s="5" t="inlineStr">
        <is>
          <t>OP02800</t>
        </is>
      </c>
      <c r="B438" s="6" t="inlineStr">
        <is>
          <t>Maria Rosadalima Mude</t>
        </is>
      </c>
      <c r="C438" s="7" t="inlineStr">
        <is>
          <t>A - Agen</t>
        </is>
      </c>
      <c r="D438" s="1" t="inlineStr">
        <is>
          <t>OP00996</t>
        </is>
      </c>
      <c r="E438" s="8" t="n">
        <v>44866.5375</v>
      </c>
      <c r="F438" s="7" t="inlineStr">
        <is>
          <t>DOWNLINE</t>
        </is>
      </c>
      <c r="G438" s="18" t="inlineStr">
        <is>
          <t>OP00996</t>
        </is>
      </c>
      <c r="H438" s="19">
        <f>UPPER(Table3[[#This Row],[Agen id]]&amp;"-"&amp;VLOOKUP(Table3[[#This Row],[Agen id]],A:B,2,0)&amp;"("&amp;Table3[[#This Row],[Short]]&amp;")")</f>
        <v/>
      </c>
      <c r="J438" s="7">
        <f>VLOOKUP(Table3[[#This Row],[Agen id]],Agen!A:C,3,0)</f>
        <v/>
      </c>
      <c r="K438" s="37">
        <f>TRIM(LEFT(Table3[[#This Row],[Group]],2))</f>
        <v/>
      </c>
      <c r="L438" s="3" t="inlineStr">
        <is>
          <t>NON SALES</t>
        </is>
      </c>
    </row>
    <row r="439">
      <c r="A439" s="5" t="inlineStr">
        <is>
          <t>OP02814</t>
        </is>
      </c>
      <c r="B439" s="6" t="inlineStr">
        <is>
          <t>ELLVANO CHELL</t>
        </is>
      </c>
      <c r="C439" s="7" t="inlineStr">
        <is>
          <t>AV - Agen Verified</t>
        </is>
      </c>
      <c r="D439" s="1" t="inlineStr">
        <is>
          <t>OP00284</t>
        </is>
      </c>
      <c r="E439" s="8" t="n">
        <v>44866.96736111111</v>
      </c>
      <c r="F439" s="7" t="inlineStr">
        <is>
          <t>DOWNLINE</t>
        </is>
      </c>
      <c r="G439" s="18" t="inlineStr">
        <is>
          <t>OP00014</t>
        </is>
      </c>
      <c r="H439" s="19">
        <f>UPPER(Table3[[#This Row],[Agen id]]&amp;"-"&amp;VLOOKUP(Table3[[#This Row],[Agen id]],A:B,2,0)&amp;"("&amp;Table3[[#This Row],[Short]]&amp;")")</f>
        <v/>
      </c>
      <c r="J439" s="7">
        <f>VLOOKUP(Table3[[#This Row],[Agen id]],Agen!A:C,3,0)</f>
        <v/>
      </c>
      <c r="K439" s="37">
        <f>TRIM(LEFT(Table3[[#This Row],[Group]],2))</f>
        <v/>
      </c>
      <c r="L439" s="3" t="inlineStr">
        <is>
          <t>NON SALES</t>
        </is>
      </c>
    </row>
    <row r="440">
      <c r="A440" s="5" t="inlineStr">
        <is>
          <t>OP02819</t>
        </is>
      </c>
      <c r="B440" s="6" t="inlineStr">
        <is>
          <t>INDRA</t>
        </is>
      </c>
      <c r="C440" s="7" t="inlineStr">
        <is>
          <t>A - Agen</t>
        </is>
      </c>
      <c r="D440" s="1" t="inlineStr">
        <is>
          <t>OP01566</t>
        </is>
      </c>
      <c r="E440" s="8" t="n">
        <v>44867.50625</v>
      </c>
      <c r="F440" s="7" t="inlineStr">
        <is>
          <t>AGEN</t>
        </is>
      </c>
      <c r="G440" s="18" t="inlineStr">
        <is>
          <t>OP02819</t>
        </is>
      </c>
      <c r="H440" s="19">
        <f>UPPER(Table3[[#This Row],[Agen id]]&amp;"-"&amp;VLOOKUP(Table3[[#This Row],[Agen id]],A:B,2,0)&amp;"("&amp;Table3[[#This Row],[Short]]&amp;")")</f>
        <v/>
      </c>
      <c r="J440" s="7">
        <f>VLOOKUP(Table3[[#This Row],[Agen id]],Agen!A:C,3,0)</f>
        <v/>
      </c>
      <c r="K440" s="37">
        <f>TRIM(LEFT(Table3[[#This Row],[Group]],2))</f>
        <v/>
      </c>
      <c r="L440" s="3" t="inlineStr">
        <is>
          <t>NON SALES</t>
        </is>
      </c>
    </row>
    <row r="441">
      <c r="A441" s="5" t="inlineStr">
        <is>
          <t>OP02834</t>
        </is>
      </c>
      <c r="B441" s="6" t="inlineStr">
        <is>
          <t>Ramli</t>
        </is>
      </c>
      <c r="C441" s="7" t="inlineStr">
        <is>
          <t>A - Agen</t>
        </is>
      </c>
      <c r="D441" s="1" t="inlineStr">
        <is>
          <t>OP01735</t>
        </is>
      </c>
      <c r="E441" s="8" t="n">
        <v>44868.76875</v>
      </c>
      <c r="F441" s="7" t="inlineStr">
        <is>
          <t>DOWNLINE</t>
        </is>
      </c>
      <c r="G441" s="18" t="inlineStr">
        <is>
          <t>OP01735</t>
        </is>
      </c>
      <c r="H441" s="19">
        <f>UPPER(Table3[[#This Row],[Agen id]]&amp;"-"&amp;VLOOKUP(Table3[[#This Row],[Agen id]],A:B,2,0)&amp;"("&amp;Table3[[#This Row],[Short]]&amp;")")</f>
        <v/>
      </c>
      <c r="J441" s="7">
        <f>VLOOKUP(Table3[[#This Row],[Agen id]],Agen!A:C,3,0)</f>
        <v/>
      </c>
      <c r="K441" s="37">
        <f>TRIM(LEFT(Table3[[#This Row],[Group]],2))</f>
        <v/>
      </c>
      <c r="L441" s="3" t="inlineStr">
        <is>
          <t>NON SALES</t>
        </is>
      </c>
    </row>
    <row r="442">
      <c r="A442" s="5" t="inlineStr">
        <is>
          <t>OP02846</t>
        </is>
      </c>
      <c r="B442" s="6" t="inlineStr">
        <is>
          <t>Munawaroh sakinah</t>
        </is>
      </c>
      <c r="C442" s="7" t="inlineStr">
        <is>
          <t>A - Agen</t>
        </is>
      </c>
      <c r="D442" s="1" t="inlineStr">
        <is>
          <t>OP00003</t>
        </is>
      </c>
      <c r="E442" s="8" t="n">
        <v>44870.78402777778</v>
      </c>
      <c r="F442" s="7" t="inlineStr">
        <is>
          <t>AGEN</t>
        </is>
      </c>
      <c r="G442" s="18" t="inlineStr">
        <is>
          <t>OP02846</t>
        </is>
      </c>
      <c r="H442" s="19">
        <f>UPPER(Table3[[#This Row],[Agen id]]&amp;"-"&amp;VLOOKUP(Table3[[#This Row],[Agen id]],A:B,2,0)&amp;"("&amp;Table3[[#This Row],[Short]]&amp;")")</f>
        <v/>
      </c>
      <c r="J442" s="7">
        <f>VLOOKUP(Table3[[#This Row],[Agen id]],Agen!A:C,3,0)</f>
        <v/>
      </c>
      <c r="K442" s="37">
        <f>TRIM(LEFT(Table3[[#This Row],[Group]],2))</f>
        <v/>
      </c>
      <c r="L442" s="3" t="inlineStr">
        <is>
          <t>NON SALES</t>
        </is>
      </c>
    </row>
    <row r="443">
      <c r="A443" s="5" t="inlineStr">
        <is>
          <t>OP02853</t>
        </is>
      </c>
      <c r="B443" s="6" t="inlineStr">
        <is>
          <t>Salwa</t>
        </is>
      </c>
      <c r="C443" s="7" t="inlineStr">
        <is>
          <t>AV - Agen Verified</t>
        </is>
      </c>
      <c r="D443" s="1" t="inlineStr">
        <is>
          <t>OP00014</t>
        </is>
      </c>
      <c r="E443" s="8" t="n">
        <v>44872.86180555556</v>
      </c>
      <c r="F443" s="7" t="inlineStr">
        <is>
          <t>DOWNLINE</t>
        </is>
      </c>
      <c r="G443" s="18" t="inlineStr">
        <is>
          <t>OP00014</t>
        </is>
      </c>
      <c r="H443" s="19">
        <f>UPPER(Table3[[#This Row],[Agen id]]&amp;"-"&amp;VLOOKUP(Table3[[#This Row],[Agen id]],A:B,2,0)&amp;"("&amp;Table3[[#This Row],[Short]]&amp;")")</f>
        <v/>
      </c>
      <c r="J443" s="7">
        <f>VLOOKUP(Table3[[#This Row],[Agen id]],Agen!A:C,3,0)</f>
        <v/>
      </c>
      <c r="K443" s="37">
        <f>TRIM(LEFT(Table3[[#This Row],[Group]],2))</f>
        <v/>
      </c>
      <c r="L443" s="3" t="inlineStr">
        <is>
          <t>NON SALES</t>
        </is>
      </c>
    </row>
    <row r="444">
      <c r="A444" s="5" t="inlineStr">
        <is>
          <t>OP02855</t>
        </is>
      </c>
      <c r="B444" s="6" t="inlineStr">
        <is>
          <t>Azahra pessek</t>
        </is>
      </c>
      <c r="C444" s="7" t="inlineStr">
        <is>
          <t>A - Agen</t>
        </is>
      </c>
      <c r="D444" s="1" t="inlineStr">
        <is>
          <t>OP00003</t>
        </is>
      </c>
      <c r="E444" s="8" t="n">
        <v>44873.47847222222</v>
      </c>
      <c r="F444" s="7" t="inlineStr">
        <is>
          <t>AGEN</t>
        </is>
      </c>
      <c r="G444" s="18" t="inlineStr">
        <is>
          <t>OP02855</t>
        </is>
      </c>
      <c r="H444" s="19">
        <f>UPPER(Table3[[#This Row],[Agen id]]&amp;"-"&amp;VLOOKUP(Table3[[#This Row],[Agen id]],A:B,2,0)&amp;"("&amp;Table3[[#This Row],[Short]]&amp;")")</f>
        <v/>
      </c>
      <c r="J444" s="7">
        <f>VLOOKUP(Table3[[#This Row],[Agen id]],Agen!A:C,3,0)</f>
        <v/>
      </c>
      <c r="K444" s="37">
        <f>TRIM(LEFT(Table3[[#This Row],[Group]],2))</f>
        <v/>
      </c>
      <c r="L444" s="3" t="inlineStr">
        <is>
          <t>NON SALES</t>
        </is>
      </c>
    </row>
    <row r="445">
      <c r="A445" s="5" t="inlineStr">
        <is>
          <t>OP02859</t>
        </is>
      </c>
      <c r="B445" s="6" t="inlineStr">
        <is>
          <t>HADI CELL</t>
        </is>
      </c>
      <c r="C445" s="7" t="inlineStr">
        <is>
          <t>A - Agen</t>
        </is>
      </c>
      <c r="D445" s="1" t="inlineStr">
        <is>
          <t>OP00003</t>
        </is>
      </c>
      <c r="E445" s="8" t="n">
        <v>44874.3375</v>
      </c>
      <c r="F445" s="7" t="inlineStr">
        <is>
          <t>AGEN</t>
        </is>
      </c>
      <c r="G445" s="18" t="inlineStr">
        <is>
          <t>OP02859</t>
        </is>
      </c>
      <c r="H445" s="19">
        <f>UPPER(Table3[[#This Row],[Agen id]]&amp;"-"&amp;VLOOKUP(Table3[[#This Row],[Agen id]],A:B,2,0)&amp;"("&amp;Table3[[#This Row],[Short]]&amp;")")</f>
        <v/>
      </c>
      <c r="J445" s="7">
        <f>VLOOKUP(Table3[[#This Row],[Agen id]],Agen!A:C,3,0)</f>
        <v/>
      </c>
      <c r="K445" s="37">
        <f>TRIM(LEFT(Table3[[#This Row],[Group]],2))</f>
        <v/>
      </c>
      <c r="L445" s="3" t="inlineStr">
        <is>
          <t>NON SALES</t>
        </is>
      </c>
    </row>
    <row r="446">
      <c r="A446" s="5" t="inlineStr">
        <is>
          <t>OP02878</t>
        </is>
      </c>
      <c r="B446" s="6" t="inlineStr">
        <is>
          <t>Muhamad aceng</t>
        </is>
      </c>
      <c r="C446" s="7" t="inlineStr">
        <is>
          <t>A - Agen</t>
        </is>
      </c>
      <c r="D446" s="1" t="inlineStr">
        <is>
          <t>OP00003</t>
        </is>
      </c>
      <c r="E446" s="8" t="n">
        <v>44876.63888888889</v>
      </c>
      <c r="F446" s="7" t="inlineStr">
        <is>
          <t>AGEN</t>
        </is>
      </c>
      <c r="G446" s="18" t="inlineStr">
        <is>
          <t>OP02878</t>
        </is>
      </c>
      <c r="H446" s="19">
        <f>UPPER(Table3[[#This Row],[Agen id]]&amp;"-"&amp;VLOOKUP(Table3[[#This Row],[Agen id]],A:B,2,0)&amp;"("&amp;Table3[[#This Row],[Short]]&amp;")")</f>
        <v/>
      </c>
      <c r="J446" s="7">
        <f>VLOOKUP(Table3[[#This Row],[Agen id]],Agen!A:C,3,0)</f>
        <v/>
      </c>
      <c r="K446" s="37">
        <f>TRIM(LEFT(Table3[[#This Row],[Group]],2))</f>
        <v/>
      </c>
      <c r="L446" s="3" t="inlineStr">
        <is>
          <t>NON SALES</t>
        </is>
      </c>
    </row>
    <row r="447">
      <c r="A447" s="5" t="inlineStr">
        <is>
          <t>OP02884</t>
        </is>
      </c>
      <c r="B447" s="6" t="inlineStr">
        <is>
          <t>anisanurhayati</t>
        </is>
      </c>
      <c r="C447" s="7" t="inlineStr">
        <is>
          <t>AV - Agen Verified</t>
        </is>
      </c>
      <c r="D447" s="1" t="inlineStr">
        <is>
          <t>OP00023</t>
        </is>
      </c>
      <c r="E447" s="8" t="n">
        <v>44876.78541666667</v>
      </c>
      <c r="F447" s="7" t="inlineStr">
        <is>
          <t>DOWNLINE</t>
        </is>
      </c>
      <c r="G447" s="18" t="inlineStr">
        <is>
          <t>OP00023</t>
        </is>
      </c>
      <c r="H447" s="19">
        <f>UPPER(Table3[[#This Row],[Agen id]]&amp;"-"&amp;VLOOKUP(Table3[[#This Row],[Agen id]],A:B,2,0)&amp;"("&amp;Table3[[#This Row],[Short]]&amp;")")</f>
        <v/>
      </c>
      <c r="J447" s="7">
        <f>VLOOKUP(Table3[[#This Row],[Agen id]],Agen!A:C,3,0)</f>
        <v/>
      </c>
      <c r="K447" s="37">
        <f>TRIM(LEFT(Table3[[#This Row],[Group]],2))</f>
        <v/>
      </c>
      <c r="L447" s="3" t="inlineStr">
        <is>
          <t>NON SALES</t>
        </is>
      </c>
    </row>
    <row r="448">
      <c r="A448" s="5" t="inlineStr">
        <is>
          <t>OP02896</t>
        </is>
      </c>
      <c r="B448" s="6" t="inlineStr">
        <is>
          <t>eva</t>
        </is>
      </c>
      <c r="C448" s="7" t="inlineStr">
        <is>
          <t>A - Agen</t>
        </is>
      </c>
      <c r="D448" s="1" t="inlineStr">
        <is>
          <t>OP00003</t>
        </is>
      </c>
      <c r="E448" s="8" t="n">
        <v>44877.31458333333</v>
      </c>
      <c r="F448" s="7" t="inlineStr">
        <is>
          <t>AGEN</t>
        </is>
      </c>
      <c r="G448" s="18" t="inlineStr">
        <is>
          <t>OP02896</t>
        </is>
      </c>
      <c r="H448" s="19">
        <f>UPPER(Table3[[#This Row],[Agen id]]&amp;"-"&amp;VLOOKUP(Table3[[#This Row],[Agen id]],A:B,2,0)&amp;"("&amp;Table3[[#This Row],[Short]]&amp;")")</f>
        <v/>
      </c>
      <c r="J448" s="7">
        <f>VLOOKUP(Table3[[#This Row],[Agen id]],Agen!A:C,3,0)</f>
        <v/>
      </c>
      <c r="K448" s="37">
        <f>TRIM(LEFT(Table3[[#This Row],[Group]],2))</f>
        <v/>
      </c>
      <c r="L448" s="3" t="inlineStr">
        <is>
          <t>NON SALES</t>
        </is>
      </c>
    </row>
    <row r="449">
      <c r="A449" s="5" t="inlineStr">
        <is>
          <t>OP02897</t>
        </is>
      </c>
      <c r="B449" s="6" t="inlineStr">
        <is>
          <t>Feri</t>
        </is>
      </c>
      <c r="C449" s="7" t="inlineStr">
        <is>
          <t>A - Agen</t>
        </is>
      </c>
      <c r="D449" s="1" t="inlineStr">
        <is>
          <t>OP00002</t>
        </is>
      </c>
      <c r="E449" s="8" t="n">
        <v>44877.44791666666</v>
      </c>
      <c r="F449" s="7" t="inlineStr">
        <is>
          <t>AGEN</t>
        </is>
      </c>
      <c r="G449" s="18" t="inlineStr">
        <is>
          <t>OP02897</t>
        </is>
      </c>
      <c r="H449" s="19">
        <f>UPPER(Table3[[#This Row],[Agen id]]&amp;"-"&amp;VLOOKUP(Table3[[#This Row],[Agen id]],A:B,2,0)&amp;"("&amp;Table3[[#This Row],[Short]]&amp;")")</f>
        <v/>
      </c>
      <c r="J449" s="7">
        <f>VLOOKUP(Table3[[#This Row],[Agen id]],Agen!A:C,3,0)</f>
        <v/>
      </c>
      <c r="K449" s="37">
        <f>TRIM(LEFT(Table3[[#This Row],[Group]],2))</f>
        <v/>
      </c>
      <c r="L449" s="3" t="inlineStr">
        <is>
          <t>NON SALES</t>
        </is>
      </c>
    </row>
    <row r="450">
      <c r="A450" s="5" t="inlineStr">
        <is>
          <t>OP02898</t>
        </is>
      </c>
      <c r="B450" s="6" t="inlineStr">
        <is>
          <t>ABADI JAYA PERKASA</t>
        </is>
      </c>
      <c r="C450" s="7" t="inlineStr">
        <is>
          <t>AV - Agen Verified</t>
        </is>
      </c>
      <c r="D450" s="1" t="inlineStr">
        <is>
          <t>OP00284</t>
        </is>
      </c>
      <c r="E450" s="8" t="n">
        <v>44877.46111111111</v>
      </c>
      <c r="F450" s="7" t="inlineStr">
        <is>
          <t>DOWNLINE</t>
        </is>
      </c>
      <c r="G450" s="18" t="inlineStr">
        <is>
          <t>OP00014</t>
        </is>
      </c>
      <c r="H450" s="19">
        <f>UPPER(Table3[[#This Row],[Agen id]]&amp;"-"&amp;VLOOKUP(Table3[[#This Row],[Agen id]],A:B,2,0)&amp;"("&amp;Table3[[#This Row],[Short]]&amp;")")</f>
        <v/>
      </c>
      <c r="J450" s="7">
        <f>VLOOKUP(Table3[[#This Row],[Agen id]],Agen!A:C,3,0)</f>
        <v/>
      </c>
      <c r="K450" s="37">
        <f>TRIM(LEFT(Table3[[#This Row],[Group]],2))</f>
        <v/>
      </c>
      <c r="L450" s="3" t="inlineStr">
        <is>
          <t>NON SALES</t>
        </is>
      </c>
    </row>
    <row r="451">
      <c r="A451" s="5" t="inlineStr">
        <is>
          <t>OP02901</t>
        </is>
      </c>
      <c r="B451" s="6" t="inlineStr">
        <is>
          <t>Hery Rupawan</t>
        </is>
      </c>
      <c r="C451" s="7" t="inlineStr">
        <is>
          <t>A - Agen</t>
        </is>
      </c>
      <c r="D451" s="1" t="inlineStr">
        <is>
          <t>OP00003</t>
        </is>
      </c>
      <c r="E451" s="8" t="n">
        <v>44877.51180555556</v>
      </c>
      <c r="F451" s="7" t="inlineStr">
        <is>
          <t>AGEN</t>
        </is>
      </c>
      <c r="G451" s="18" t="inlineStr">
        <is>
          <t>OP02901</t>
        </is>
      </c>
      <c r="H451" s="19">
        <f>UPPER(Table3[[#This Row],[Agen id]]&amp;"-"&amp;VLOOKUP(Table3[[#This Row],[Agen id]],A:B,2,0)&amp;"("&amp;Table3[[#This Row],[Short]]&amp;")")</f>
        <v/>
      </c>
      <c r="J451" s="7">
        <f>VLOOKUP(Table3[[#This Row],[Agen id]],Agen!A:C,3,0)</f>
        <v/>
      </c>
      <c r="K451" s="37">
        <f>TRIM(LEFT(Table3[[#This Row],[Group]],2))</f>
        <v/>
      </c>
      <c r="L451" s="3" t="inlineStr">
        <is>
          <t>NON SALES</t>
        </is>
      </c>
    </row>
    <row r="452">
      <c r="A452" s="5" t="inlineStr">
        <is>
          <t>OP02902</t>
        </is>
      </c>
      <c r="B452" s="6" t="inlineStr">
        <is>
          <t>Servitia Cell</t>
        </is>
      </c>
      <c r="C452" s="7" t="inlineStr">
        <is>
          <t>A - Agen</t>
        </is>
      </c>
      <c r="D452" s="1" t="inlineStr">
        <is>
          <t>OP01842</t>
        </is>
      </c>
      <c r="E452" s="8" t="n">
        <v>44877.55</v>
      </c>
      <c r="F452" s="7" t="inlineStr">
        <is>
          <t>DOWNLINE</t>
        </is>
      </c>
      <c r="G452" s="18" t="inlineStr">
        <is>
          <t>OP01842</t>
        </is>
      </c>
      <c r="H452" s="19">
        <f>UPPER(Table3[[#This Row],[Agen id]]&amp;"-"&amp;VLOOKUP(Table3[[#This Row],[Agen id]],A:B,2,0)&amp;"("&amp;Table3[[#This Row],[Short]]&amp;")")</f>
        <v/>
      </c>
      <c r="J452" s="7">
        <f>VLOOKUP(Table3[[#This Row],[Agen id]],Agen!A:C,3,0)</f>
        <v/>
      </c>
      <c r="K452" s="37">
        <f>TRIM(LEFT(Table3[[#This Row],[Group]],2))</f>
        <v/>
      </c>
      <c r="L452" s="3" t="inlineStr">
        <is>
          <t>NON SALES</t>
        </is>
      </c>
    </row>
    <row r="453">
      <c r="A453" s="5" t="inlineStr">
        <is>
          <t>OP02904</t>
        </is>
      </c>
      <c r="B453" s="6" t="inlineStr">
        <is>
          <t>Farrel Cellular</t>
        </is>
      </c>
      <c r="C453" s="7" t="inlineStr">
        <is>
          <t>A - Agen</t>
        </is>
      </c>
      <c r="D453" s="1" t="inlineStr">
        <is>
          <t>OP00023</t>
        </is>
      </c>
      <c r="E453" s="8" t="n">
        <v>44877.63055555556</v>
      </c>
      <c r="F453" s="7" t="inlineStr">
        <is>
          <t>DOWNLINE</t>
        </is>
      </c>
      <c r="G453" s="18" t="inlineStr">
        <is>
          <t>OP00023</t>
        </is>
      </c>
      <c r="H453" s="19">
        <f>UPPER(Table3[[#This Row],[Agen id]]&amp;"-"&amp;VLOOKUP(Table3[[#This Row],[Agen id]],A:B,2,0)&amp;"("&amp;Table3[[#This Row],[Short]]&amp;")")</f>
        <v/>
      </c>
      <c r="J453" s="7">
        <f>VLOOKUP(Table3[[#This Row],[Agen id]],Agen!A:C,3,0)</f>
        <v/>
      </c>
      <c r="K453" s="37">
        <f>TRIM(LEFT(Table3[[#This Row],[Group]],2))</f>
        <v/>
      </c>
      <c r="L453" s="3" t="inlineStr">
        <is>
          <t>NON SALES</t>
        </is>
      </c>
    </row>
    <row r="454">
      <c r="A454" s="5" t="inlineStr">
        <is>
          <t>OP02907</t>
        </is>
      </c>
      <c r="B454" s="6" t="inlineStr">
        <is>
          <t>Maleeq Coffee Shop</t>
        </is>
      </c>
      <c r="C454" s="7" t="inlineStr">
        <is>
          <t>AV - Agen Verified</t>
        </is>
      </c>
      <c r="D454" s="1" t="inlineStr">
        <is>
          <t>OP02904</t>
        </is>
      </c>
      <c r="E454" s="8" t="n">
        <v>44877.81180555555</v>
      </c>
      <c r="F454" s="7" t="inlineStr">
        <is>
          <t>DOWNLINE</t>
        </is>
      </c>
      <c r="G454" s="18" t="inlineStr">
        <is>
          <t>OP00023</t>
        </is>
      </c>
      <c r="H454" s="19">
        <f>UPPER(Table3[[#This Row],[Agen id]]&amp;"-"&amp;VLOOKUP(Table3[[#This Row],[Agen id]],A:B,2,0)&amp;"("&amp;Table3[[#This Row],[Short]]&amp;")")</f>
        <v/>
      </c>
      <c r="J454" s="7">
        <f>VLOOKUP(Table3[[#This Row],[Agen id]],Agen!A:C,3,0)</f>
        <v/>
      </c>
      <c r="K454" s="37">
        <f>TRIM(LEFT(Table3[[#This Row],[Group]],2))</f>
        <v/>
      </c>
      <c r="L454" s="3" t="inlineStr">
        <is>
          <t>NON SALES</t>
        </is>
      </c>
    </row>
    <row r="455">
      <c r="A455" s="5" t="inlineStr">
        <is>
          <t>OP02912</t>
        </is>
      </c>
      <c r="B455" s="6" t="inlineStr">
        <is>
          <t>Hilwa Faradhilla Sugeha</t>
        </is>
      </c>
      <c r="C455" s="7" t="inlineStr">
        <is>
          <t>A - Agen</t>
        </is>
      </c>
      <c r="D455" s="1" t="inlineStr">
        <is>
          <t>OP02884</t>
        </is>
      </c>
      <c r="E455" s="8" t="n">
        <v>44877.85486111111</v>
      </c>
      <c r="F455" s="7" t="inlineStr">
        <is>
          <t>DOWNLINE</t>
        </is>
      </c>
      <c r="G455" s="18" t="inlineStr">
        <is>
          <t>OP00014</t>
        </is>
      </c>
      <c r="H455" s="19">
        <f>UPPER(Table3[[#This Row],[Agen id]]&amp;"-"&amp;VLOOKUP(Table3[[#This Row],[Agen id]],A:B,2,0)&amp;"("&amp;Table3[[#This Row],[Short]]&amp;")")</f>
        <v/>
      </c>
      <c r="J455" s="7">
        <f>VLOOKUP(Table3[[#This Row],[Agen id]],Agen!A:C,3,0)</f>
        <v/>
      </c>
      <c r="K455" s="37">
        <f>TRIM(LEFT(Table3[[#This Row],[Group]],2))</f>
        <v/>
      </c>
      <c r="L455" s="3" t="inlineStr">
        <is>
          <t>NON SALES</t>
        </is>
      </c>
    </row>
    <row r="456">
      <c r="A456" s="5" t="inlineStr">
        <is>
          <t>OP02924</t>
        </is>
      </c>
      <c r="B456" s="6" t="inlineStr">
        <is>
          <t>Live</t>
        </is>
      </c>
      <c r="C456" s="7" t="inlineStr">
        <is>
          <t>A - Agen</t>
        </is>
      </c>
      <c r="D456" s="1" t="inlineStr">
        <is>
          <t>OP00236</t>
        </is>
      </c>
      <c r="E456" s="8" t="n">
        <v>44878.21319444444</v>
      </c>
      <c r="F456" s="7" t="inlineStr">
        <is>
          <t>DOWNLINE</t>
        </is>
      </c>
      <c r="G456" s="18" t="inlineStr">
        <is>
          <t>OP00236</t>
        </is>
      </c>
      <c r="H456" s="19">
        <f>UPPER(Table3[[#This Row],[Agen id]]&amp;"-"&amp;VLOOKUP(Table3[[#This Row],[Agen id]],A:B,2,0)&amp;"("&amp;Table3[[#This Row],[Short]]&amp;")")</f>
        <v/>
      </c>
      <c r="J456" s="7">
        <f>VLOOKUP(Table3[[#This Row],[Agen id]],Agen!A:C,3,0)</f>
        <v/>
      </c>
      <c r="K456" s="37">
        <f>TRIM(LEFT(Table3[[#This Row],[Group]],2))</f>
        <v/>
      </c>
      <c r="L456" s="3" t="inlineStr">
        <is>
          <t>NON SALES</t>
        </is>
      </c>
    </row>
    <row r="457">
      <c r="A457" s="5" t="inlineStr">
        <is>
          <t>OP02926</t>
        </is>
      </c>
      <c r="B457" s="6" t="inlineStr">
        <is>
          <t>ikin cell</t>
        </is>
      </c>
      <c r="C457" s="7" t="inlineStr">
        <is>
          <t>A - Agen</t>
        </is>
      </c>
      <c r="D457" s="1" t="inlineStr">
        <is>
          <t>OP00036</t>
        </is>
      </c>
      <c r="E457" s="8" t="n">
        <v>44878.28888888889</v>
      </c>
      <c r="F457" s="7" t="inlineStr">
        <is>
          <t>DOWNLINE</t>
        </is>
      </c>
      <c r="G457" s="18" t="inlineStr">
        <is>
          <t>OP00036</t>
        </is>
      </c>
      <c r="H457" s="19">
        <f>UPPER(Table3[[#This Row],[Agen id]]&amp;"-"&amp;VLOOKUP(Table3[[#This Row],[Agen id]],A:B,2,0)&amp;"("&amp;Table3[[#This Row],[Short]]&amp;")")</f>
        <v/>
      </c>
      <c r="J457" s="7">
        <f>VLOOKUP(Table3[[#This Row],[Agen id]],Agen!A:C,3,0)</f>
        <v/>
      </c>
      <c r="K457" s="37">
        <f>TRIM(LEFT(Table3[[#This Row],[Group]],2))</f>
        <v/>
      </c>
      <c r="L457" s="3" t="inlineStr">
        <is>
          <t>NON SALES</t>
        </is>
      </c>
    </row>
    <row r="458">
      <c r="A458" s="5" t="inlineStr">
        <is>
          <t>OP02933</t>
        </is>
      </c>
      <c r="B458" s="6" t="inlineStr">
        <is>
          <t>Shakila Az-zahwa</t>
        </is>
      </c>
      <c r="C458" s="7" t="inlineStr">
        <is>
          <t>AT1 - Agen Tangerang</t>
        </is>
      </c>
      <c r="D458" s="1" t="inlineStr">
        <is>
          <t>OP00003</t>
        </is>
      </c>
      <c r="E458" s="8" t="n">
        <v>44878.60069444445</v>
      </c>
      <c r="F458" s="7" t="inlineStr">
        <is>
          <t>AGEN</t>
        </is>
      </c>
      <c r="G458" s="18" t="inlineStr">
        <is>
          <t>OP02933</t>
        </is>
      </c>
      <c r="H458" s="19">
        <f>UPPER(Table3[[#This Row],[Agen id]]&amp;"-"&amp;VLOOKUP(Table3[[#This Row],[Agen id]],A:B,2,0)&amp;"("&amp;Table3[[#This Row],[Short]]&amp;")")</f>
        <v/>
      </c>
      <c r="J458" s="7">
        <f>VLOOKUP(Table3[[#This Row],[Agen id]],Agen!A:C,3,0)</f>
        <v/>
      </c>
      <c r="K458" s="37">
        <f>TRIM(LEFT(Table3[[#This Row],[Group]],2))</f>
        <v/>
      </c>
      <c r="L458" s="3" t="inlineStr">
        <is>
          <t>NON SALES</t>
        </is>
      </c>
    </row>
    <row r="459">
      <c r="A459" s="5" t="inlineStr">
        <is>
          <t>OP02936</t>
        </is>
      </c>
      <c r="B459" s="6" t="inlineStr">
        <is>
          <t>NabilaCell</t>
        </is>
      </c>
      <c r="C459" s="7" t="inlineStr">
        <is>
          <t>A - Agen</t>
        </is>
      </c>
      <c r="D459" s="1" t="inlineStr">
        <is>
          <t>OP00003</t>
        </is>
      </c>
      <c r="E459" s="8" t="n">
        <v>44878.75347222222</v>
      </c>
      <c r="F459" s="7" t="inlineStr">
        <is>
          <t>AGEN</t>
        </is>
      </c>
      <c r="G459" s="18" t="inlineStr">
        <is>
          <t>OP02936</t>
        </is>
      </c>
      <c r="H459" s="19">
        <f>UPPER(Table3[[#This Row],[Agen id]]&amp;"-"&amp;VLOOKUP(Table3[[#This Row],[Agen id]],A:B,2,0)&amp;"("&amp;Table3[[#This Row],[Short]]&amp;")")</f>
        <v/>
      </c>
      <c r="J459" s="7">
        <f>VLOOKUP(Table3[[#This Row],[Agen id]],Agen!A:C,3,0)</f>
        <v/>
      </c>
      <c r="K459" s="37">
        <f>TRIM(LEFT(Table3[[#This Row],[Group]],2))</f>
        <v/>
      </c>
      <c r="L459" s="3" t="inlineStr">
        <is>
          <t>NON SALES</t>
        </is>
      </c>
    </row>
    <row r="460">
      <c r="A460" s="5" t="inlineStr">
        <is>
          <t>OP02941</t>
        </is>
      </c>
      <c r="B460" s="6" t="inlineStr">
        <is>
          <t>Andy</t>
        </is>
      </c>
      <c r="C460" s="7" t="inlineStr">
        <is>
          <t>A - Agen</t>
        </is>
      </c>
      <c r="D460" s="1" t="inlineStr">
        <is>
          <t>OP00996</t>
        </is>
      </c>
      <c r="E460" s="8" t="n">
        <v>44878.79791666667</v>
      </c>
      <c r="F460" s="7" t="inlineStr">
        <is>
          <t>DOWNLINE</t>
        </is>
      </c>
      <c r="G460" s="18" t="inlineStr">
        <is>
          <t>OP00996</t>
        </is>
      </c>
      <c r="H460" s="19">
        <f>UPPER(Table3[[#This Row],[Agen id]]&amp;"-"&amp;VLOOKUP(Table3[[#This Row],[Agen id]],A:B,2,0)&amp;"("&amp;Table3[[#This Row],[Short]]&amp;")")</f>
        <v/>
      </c>
      <c r="J460" s="7">
        <f>VLOOKUP(Table3[[#This Row],[Agen id]],Agen!A:C,3,0)</f>
        <v/>
      </c>
      <c r="K460" s="37">
        <f>TRIM(LEFT(Table3[[#This Row],[Group]],2))</f>
        <v/>
      </c>
      <c r="L460" s="3" t="inlineStr">
        <is>
          <t>NON SALES</t>
        </is>
      </c>
    </row>
    <row r="461">
      <c r="A461" s="5" t="inlineStr">
        <is>
          <t>OP02947</t>
        </is>
      </c>
      <c r="B461" s="6" t="inlineStr">
        <is>
          <t>Qiyahcall</t>
        </is>
      </c>
      <c r="C461" s="7" t="inlineStr">
        <is>
          <t>A - Agen</t>
        </is>
      </c>
      <c r="D461" s="1" t="inlineStr">
        <is>
          <t>OP02233</t>
        </is>
      </c>
      <c r="E461" s="8" t="n">
        <v>44879.26944444444</v>
      </c>
      <c r="F461" s="7" t="inlineStr">
        <is>
          <t>DOWNLINE</t>
        </is>
      </c>
      <c r="G461" s="18" t="inlineStr">
        <is>
          <t>OP02233</t>
        </is>
      </c>
      <c r="H461" s="19">
        <f>UPPER(Table3[[#This Row],[Agen id]]&amp;"-"&amp;VLOOKUP(Table3[[#This Row],[Agen id]],A:B,2,0)&amp;"("&amp;Table3[[#This Row],[Short]]&amp;")")</f>
        <v/>
      </c>
      <c r="J461" s="7">
        <f>VLOOKUP(Table3[[#This Row],[Agen id]],Agen!A:C,3,0)</f>
        <v/>
      </c>
      <c r="K461" s="37">
        <f>TRIM(LEFT(Table3[[#This Row],[Group]],2))</f>
        <v/>
      </c>
      <c r="L461" s="3" t="inlineStr">
        <is>
          <t>NON SALES</t>
        </is>
      </c>
    </row>
    <row r="462">
      <c r="A462" s="5" t="inlineStr">
        <is>
          <t>OP02953</t>
        </is>
      </c>
      <c r="B462" s="6" t="inlineStr">
        <is>
          <t>Cecep agustina</t>
        </is>
      </c>
      <c r="C462" s="7" t="inlineStr">
        <is>
          <t>A - Agen</t>
        </is>
      </c>
      <c r="D462" s="1" t="inlineStr">
        <is>
          <t>OP00151</t>
        </is>
      </c>
      <c r="E462" s="8" t="n">
        <v>44879.49652777778</v>
      </c>
      <c r="F462" s="7" t="inlineStr">
        <is>
          <t>DOWNLINE</t>
        </is>
      </c>
      <c r="G462" s="18" t="inlineStr">
        <is>
          <t>OP00151</t>
        </is>
      </c>
      <c r="H462" s="19">
        <f>UPPER(Table3[[#This Row],[Agen id]]&amp;"-"&amp;VLOOKUP(Table3[[#This Row],[Agen id]],A:B,2,0)&amp;"("&amp;Table3[[#This Row],[Short]]&amp;")")</f>
        <v/>
      </c>
      <c r="J462" s="7">
        <f>VLOOKUP(Table3[[#This Row],[Agen id]],Agen!A:C,3,0)</f>
        <v/>
      </c>
      <c r="K462" s="37">
        <f>TRIM(LEFT(Table3[[#This Row],[Group]],2))</f>
        <v/>
      </c>
      <c r="L462" s="3" t="inlineStr">
        <is>
          <t>NON SALES</t>
        </is>
      </c>
    </row>
    <row r="463">
      <c r="A463" s="5" t="inlineStr">
        <is>
          <t>OP02966</t>
        </is>
      </c>
      <c r="B463" s="6" t="inlineStr">
        <is>
          <t>Abie17</t>
        </is>
      </c>
      <c r="C463" s="7" t="inlineStr">
        <is>
          <t>A - Agen</t>
        </is>
      </c>
      <c r="D463" s="1" t="inlineStr">
        <is>
          <t>OP00014</t>
        </is>
      </c>
      <c r="E463" s="8" t="n">
        <v>44880.21319444444</v>
      </c>
      <c r="F463" s="7" t="inlineStr">
        <is>
          <t>DOWNLINE</t>
        </is>
      </c>
      <c r="G463" s="18" t="inlineStr">
        <is>
          <t>OP00014</t>
        </is>
      </c>
      <c r="H463" s="19">
        <f>UPPER(Table3[[#This Row],[Agen id]]&amp;"-"&amp;VLOOKUP(Table3[[#This Row],[Agen id]],A:B,2,0)&amp;"("&amp;Table3[[#This Row],[Short]]&amp;")")</f>
        <v/>
      </c>
      <c r="J463" s="7">
        <f>VLOOKUP(Table3[[#This Row],[Agen id]],Agen!A:C,3,0)</f>
        <v/>
      </c>
      <c r="K463" s="37">
        <f>TRIM(LEFT(Table3[[#This Row],[Group]],2))</f>
        <v/>
      </c>
      <c r="L463" s="3" t="inlineStr">
        <is>
          <t>NON SALES</t>
        </is>
      </c>
    </row>
    <row r="464">
      <c r="A464" s="5" t="inlineStr">
        <is>
          <t>OP02968</t>
        </is>
      </c>
      <c r="B464" s="6" t="inlineStr">
        <is>
          <t>Akhmad Yunus</t>
        </is>
      </c>
      <c r="C464" s="7" t="inlineStr">
        <is>
          <t>AV - Agen Verified</t>
        </is>
      </c>
      <c r="D464" s="1" t="inlineStr">
        <is>
          <t>OP00049</t>
        </is>
      </c>
      <c r="E464" s="8" t="n">
        <v>44880.29583333333</v>
      </c>
      <c r="F464" s="7" t="inlineStr">
        <is>
          <t>DOWNLINE</t>
        </is>
      </c>
      <c r="G464" s="18" t="inlineStr">
        <is>
          <t>OP00049</t>
        </is>
      </c>
      <c r="H464" s="19">
        <f>UPPER(Table3[[#This Row],[Agen id]]&amp;"-"&amp;VLOOKUP(Table3[[#This Row],[Agen id]],A:B,2,0)&amp;"("&amp;Table3[[#This Row],[Short]]&amp;")")</f>
        <v/>
      </c>
      <c r="J464" s="7">
        <f>VLOOKUP(Table3[[#This Row],[Agen id]],Agen!A:C,3,0)</f>
        <v/>
      </c>
      <c r="K464" s="37">
        <f>TRIM(LEFT(Table3[[#This Row],[Group]],2))</f>
        <v/>
      </c>
      <c r="L464" s="3" t="inlineStr">
        <is>
          <t>NON SALES</t>
        </is>
      </c>
    </row>
    <row r="465">
      <c r="A465" s="5" t="inlineStr">
        <is>
          <t>OP02970</t>
        </is>
      </c>
      <c r="B465" s="6" t="inlineStr">
        <is>
          <t>GAMERCELL</t>
        </is>
      </c>
      <c r="C465" s="7" t="inlineStr">
        <is>
          <t>A - Agen</t>
        </is>
      </c>
      <c r="D465" s="1" t="inlineStr">
        <is>
          <t>OP00284</t>
        </is>
      </c>
      <c r="E465" s="8" t="n">
        <v>44880.41597222222</v>
      </c>
      <c r="F465" s="7" t="inlineStr">
        <is>
          <t>DOWNLINE</t>
        </is>
      </c>
      <c r="G465" s="18" t="inlineStr">
        <is>
          <t>OP00014</t>
        </is>
      </c>
      <c r="H465" s="19">
        <f>UPPER(Table3[[#This Row],[Agen id]]&amp;"-"&amp;VLOOKUP(Table3[[#This Row],[Agen id]],A:B,2,0)&amp;"("&amp;Table3[[#This Row],[Short]]&amp;")")</f>
        <v/>
      </c>
      <c r="J465" s="7">
        <f>VLOOKUP(Table3[[#This Row],[Agen id]],Agen!A:C,3,0)</f>
        <v/>
      </c>
      <c r="K465" s="37">
        <f>TRIM(LEFT(Table3[[#This Row],[Group]],2))</f>
        <v/>
      </c>
      <c r="L465" s="3" t="inlineStr">
        <is>
          <t>NON SALES</t>
        </is>
      </c>
    </row>
    <row r="466">
      <c r="A466" s="5" t="inlineStr">
        <is>
          <t>OP02973</t>
        </is>
      </c>
      <c r="B466" s="6" t="inlineStr">
        <is>
          <t>Mutoharoh</t>
        </is>
      </c>
      <c r="C466" s="7" t="inlineStr">
        <is>
          <t>A - Agen</t>
        </is>
      </c>
      <c r="D466" s="1" t="inlineStr">
        <is>
          <t>OP00996</t>
        </is>
      </c>
      <c r="E466" s="8" t="n">
        <v>44880.55486111111</v>
      </c>
      <c r="F466" s="7" t="inlineStr">
        <is>
          <t>DOWNLINE</t>
        </is>
      </c>
      <c r="G466" s="18" t="inlineStr">
        <is>
          <t>OP00996</t>
        </is>
      </c>
      <c r="H466" s="19">
        <f>UPPER(Table3[[#This Row],[Agen id]]&amp;"-"&amp;VLOOKUP(Table3[[#This Row],[Agen id]],A:B,2,0)&amp;"("&amp;Table3[[#This Row],[Short]]&amp;")")</f>
        <v/>
      </c>
      <c r="J466" s="7">
        <f>VLOOKUP(Table3[[#This Row],[Agen id]],Agen!A:C,3,0)</f>
        <v/>
      </c>
      <c r="K466" s="37">
        <f>TRIM(LEFT(Table3[[#This Row],[Group]],2))</f>
        <v/>
      </c>
      <c r="L466" s="3" t="inlineStr">
        <is>
          <t>NON SALES</t>
        </is>
      </c>
    </row>
    <row r="467">
      <c r="A467" s="5" t="inlineStr">
        <is>
          <t>OP02974</t>
        </is>
      </c>
      <c r="B467" s="6" t="inlineStr">
        <is>
          <t>SOFI CELL</t>
        </is>
      </c>
      <c r="C467" s="7" t="inlineStr">
        <is>
          <t>AV - Agen Verified</t>
        </is>
      </c>
      <c r="D467" s="1" t="inlineStr">
        <is>
          <t>OP00003</t>
        </is>
      </c>
      <c r="E467" s="8" t="n">
        <v>44880.57361111111</v>
      </c>
      <c r="F467" s="7" t="inlineStr">
        <is>
          <t>AGEN</t>
        </is>
      </c>
      <c r="G467" s="18" t="inlineStr">
        <is>
          <t>OP02974</t>
        </is>
      </c>
      <c r="H467" s="19">
        <f>UPPER(Table3[[#This Row],[Agen id]]&amp;"-"&amp;VLOOKUP(Table3[[#This Row],[Agen id]],A:B,2,0)&amp;"("&amp;Table3[[#This Row],[Short]]&amp;")")</f>
        <v/>
      </c>
      <c r="J467" s="7">
        <f>VLOOKUP(Table3[[#This Row],[Agen id]],Agen!A:C,3,0)</f>
        <v/>
      </c>
      <c r="K467" s="37">
        <f>TRIM(LEFT(Table3[[#This Row],[Group]],2))</f>
        <v/>
      </c>
      <c r="L467" s="3" t="inlineStr">
        <is>
          <t>NON SALES</t>
        </is>
      </c>
    </row>
    <row r="468">
      <c r="A468" s="5" t="inlineStr">
        <is>
          <t>OP02981</t>
        </is>
      </c>
      <c r="B468" s="6" t="inlineStr">
        <is>
          <t>RMP CELL</t>
        </is>
      </c>
      <c r="C468" s="7" t="inlineStr">
        <is>
          <t>A - Agen</t>
        </is>
      </c>
      <c r="D468" s="1" t="inlineStr">
        <is>
          <t>OP00003</t>
        </is>
      </c>
      <c r="E468" s="8" t="n">
        <v>44881.28333333333</v>
      </c>
      <c r="F468" s="7" t="inlineStr">
        <is>
          <t>AGEN</t>
        </is>
      </c>
      <c r="G468" s="18" t="inlineStr">
        <is>
          <t>OP02981</t>
        </is>
      </c>
      <c r="H468" s="19">
        <f>UPPER(Table3[[#This Row],[Agen id]]&amp;"-"&amp;VLOOKUP(Table3[[#This Row],[Agen id]],A:B,2,0)&amp;"("&amp;Table3[[#This Row],[Short]]&amp;")")</f>
        <v/>
      </c>
      <c r="J468" s="7">
        <f>VLOOKUP(Table3[[#This Row],[Agen id]],Agen!A:C,3,0)</f>
        <v/>
      </c>
      <c r="K468" s="37">
        <f>TRIM(LEFT(Table3[[#This Row],[Group]],2))</f>
        <v/>
      </c>
      <c r="L468" s="3" t="inlineStr">
        <is>
          <t>NON SALES</t>
        </is>
      </c>
    </row>
    <row r="469">
      <c r="A469" s="5" t="inlineStr">
        <is>
          <t>OP02986</t>
        </is>
      </c>
      <c r="B469" s="6" t="inlineStr">
        <is>
          <t>kiosd</t>
        </is>
      </c>
      <c r="C469" s="7" t="inlineStr">
        <is>
          <t>A - Agen</t>
        </is>
      </c>
      <c r="D469" s="1" t="inlineStr">
        <is>
          <t>OP00236</t>
        </is>
      </c>
      <c r="E469" s="8" t="n">
        <v>44881.45</v>
      </c>
      <c r="F469" s="7" t="inlineStr">
        <is>
          <t>DOWNLINE</t>
        </is>
      </c>
      <c r="G469" s="18" t="inlineStr">
        <is>
          <t>OP00236</t>
        </is>
      </c>
      <c r="H469" s="19">
        <f>UPPER(Table3[[#This Row],[Agen id]]&amp;"-"&amp;VLOOKUP(Table3[[#This Row],[Agen id]],A:B,2,0)&amp;"("&amp;Table3[[#This Row],[Short]]&amp;")")</f>
        <v/>
      </c>
      <c r="J469" s="7">
        <f>VLOOKUP(Table3[[#This Row],[Agen id]],Agen!A:C,3,0)</f>
        <v/>
      </c>
      <c r="K469" s="37">
        <f>TRIM(LEFT(Table3[[#This Row],[Group]],2))</f>
        <v/>
      </c>
      <c r="L469" s="3" t="inlineStr">
        <is>
          <t>NON SALES</t>
        </is>
      </c>
    </row>
    <row r="470">
      <c r="A470" s="5" t="inlineStr">
        <is>
          <t>OP02996</t>
        </is>
      </c>
      <c r="B470" s="6" t="inlineStr">
        <is>
          <t>Lenny Cell</t>
        </is>
      </c>
      <c r="C470" s="7" t="inlineStr">
        <is>
          <t>AV - Agen Verified</t>
        </is>
      </c>
      <c r="D470" s="1" t="inlineStr">
        <is>
          <t>OP00003</t>
        </is>
      </c>
      <c r="E470" s="8" t="n">
        <v>44881.93055555555</v>
      </c>
      <c r="F470" s="7" t="inlineStr">
        <is>
          <t>AGEN</t>
        </is>
      </c>
      <c r="G470" s="18" t="inlineStr">
        <is>
          <t>OP02996</t>
        </is>
      </c>
      <c r="H470" s="19">
        <f>UPPER(Table3[[#This Row],[Agen id]]&amp;"-"&amp;VLOOKUP(Table3[[#This Row],[Agen id]],A:B,2,0)&amp;"("&amp;Table3[[#This Row],[Short]]&amp;")")</f>
        <v/>
      </c>
      <c r="J470" s="7">
        <f>VLOOKUP(Table3[[#This Row],[Agen id]],Agen!A:C,3,0)</f>
        <v/>
      </c>
      <c r="K470" s="37">
        <f>TRIM(LEFT(Table3[[#This Row],[Group]],2))</f>
        <v/>
      </c>
      <c r="L470" s="3" t="inlineStr">
        <is>
          <t>NON SALES</t>
        </is>
      </c>
    </row>
    <row r="471">
      <c r="A471" s="5" t="inlineStr">
        <is>
          <t>OP02997</t>
        </is>
      </c>
      <c r="B471" s="6" t="inlineStr">
        <is>
          <t>Bella salianti</t>
        </is>
      </c>
      <c r="C471" s="7" t="inlineStr">
        <is>
          <t>AV - Agen Verified</t>
        </is>
      </c>
      <c r="D471" s="1" t="inlineStr">
        <is>
          <t>OP00003</t>
        </is>
      </c>
      <c r="E471" s="8" t="n">
        <v>44882.04236111111</v>
      </c>
      <c r="F471" s="7" t="inlineStr">
        <is>
          <t>AGEN</t>
        </is>
      </c>
      <c r="G471" s="18" t="inlineStr">
        <is>
          <t>OP02997</t>
        </is>
      </c>
      <c r="H471" s="19">
        <f>UPPER(Table3[[#This Row],[Agen id]]&amp;"-"&amp;VLOOKUP(Table3[[#This Row],[Agen id]],A:B,2,0)&amp;"("&amp;Table3[[#This Row],[Short]]&amp;")")</f>
        <v/>
      </c>
      <c r="J471" s="7">
        <f>VLOOKUP(Table3[[#This Row],[Agen id]],Agen!A:C,3,0)</f>
        <v/>
      </c>
      <c r="K471" s="37">
        <f>TRIM(LEFT(Table3[[#This Row],[Group]],2))</f>
        <v/>
      </c>
      <c r="L471" s="3" t="inlineStr">
        <is>
          <t>NON SALES</t>
        </is>
      </c>
    </row>
    <row r="472">
      <c r="A472" s="5" t="inlineStr">
        <is>
          <t>OP03000</t>
        </is>
      </c>
      <c r="B472" s="6" t="inlineStr">
        <is>
          <t>Rizky</t>
        </is>
      </c>
      <c r="C472" s="7" t="inlineStr">
        <is>
          <t>A - Agen</t>
        </is>
      </c>
      <c r="D472" s="1" t="inlineStr">
        <is>
          <t>OP00002</t>
        </is>
      </c>
      <c r="E472" s="8" t="n">
        <v>44882.30694444444</v>
      </c>
      <c r="F472" s="7" t="inlineStr">
        <is>
          <t>DOWNLINE</t>
        </is>
      </c>
      <c r="G472" s="7" t="inlineStr">
        <is>
          <t>OP00996</t>
        </is>
      </c>
      <c r="H472" s="19">
        <f>UPPER(Table3[[#This Row],[Agen id]]&amp;"-"&amp;VLOOKUP(Table3[[#This Row],[Agen id]],A:B,2,0)&amp;"("&amp;Table3[[#This Row],[Short]]&amp;")")</f>
        <v/>
      </c>
      <c r="J472" s="7">
        <f>VLOOKUP(Table3[[#This Row],[Agen id]],Agen!A:C,3,0)</f>
        <v/>
      </c>
      <c r="K472" s="37">
        <f>TRIM(LEFT(Table3[[#This Row],[Group]],2))</f>
        <v/>
      </c>
      <c r="L472" s="3" t="inlineStr">
        <is>
          <t>NON SALES</t>
        </is>
      </c>
    </row>
    <row r="473">
      <c r="A473" s="5" t="inlineStr">
        <is>
          <t>OP03005</t>
        </is>
      </c>
      <c r="B473" s="6" t="inlineStr">
        <is>
          <t>NandaFrejayawijaya</t>
        </is>
      </c>
      <c r="C473" s="7" t="inlineStr">
        <is>
          <t>A - Agen</t>
        </is>
      </c>
      <c r="D473" s="1" t="inlineStr">
        <is>
          <t>OP00023</t>
        </is>
      </c>
      <c r="E473" s="8" t="n">
        <v>44882.42638888889</v>
      </c>
      <c r="F473" s="7" t="inlineStr">
        <is>
          <t>DOWNLINE</t>
        </is>
      </c>
      <c r="G473" s="18" t="inlineStr">
        <is>
          <t>OP00023</t>
        </is>
      </c>
      <c r="H473" s="19">
        <f>UPPER(Table3[[#This Row],[Agen id]]&amp;"-"&amp;VLOOKUP(Table3[[#This Row],[Agen id]],A:B,2,0)&amp;"("&amp;Table3[[#This Row],[Short]]&amp;")")</f>
        <v/>
      </c>
      <c r="J473" s="7">
        <f>VLOOKUP(Table3[[#This Row],[Agen id]],Agen!A:C,3,0)</f>
        <v/>
      </c>
      <c r="K473" s="37">
        <f>TRIM(LEFT(Table3[[#This Row],[Group]],2))</f>
        <v/>
      </c>
      <c r="L473" s="3" t="inlineStr">
        <is>
          <t>NON SALES</t>
        </is>
      </c>
    </row>
    <row r="474">
      <c r="A474" s="5" t="inlineStr">
        <is>
          <t>OP03008</t>
        </is>
      </c>
      <c r="B474" s="6" t="inlineStr">
        <is>
          <t>agungtedipermana</t>
        </is>
      </c>
      <c r="C474" s="7" t="inlineStr">
        <is>
          <t>A - Agen</t>
        </is>
      </c>
      <c r="D474" s="1" t="inlineStr">
        <is>
          <t>OP00003</t>
        </is>
      </c>
      <c r="E474" s="8" t="n">
        <v>44882.45</v>
      </c>
      <c r="F474" s="7" t="inlineStr">
        <is>
          <t>AGEN</t>
        </is>
      </c>
      <c r="G474" s="18" t="inlineStr">
        <is>
          <t>OP03008</t>
        </is>
      </c>
      <c r="H474" s="19">
        <f>UPPER(Table3[[#This Row],[Agen id]]&amp;"-"&amp;VLOOKUP(Table3[[#This Row],[Agen id]],A:B,2,0)&amp;"("&amp;Table3[[#This Row],[Short]]&amp;")")</f>
        <v/>
      </c>
      <c r="J474" s="7">
        <f>VLOOKUP(Table3[[#This Row],[Agen id]],Agen!A:C,3,0)</f>
        <v/>
      </c>
      <c r="K474" s="37">
        <f>TRIM(LEFT(Table3[[#This Row],[Group]],2))</f>
        <v/>
      </c>
      <c r="L474" s="3" t="inlineStr">
        <is>
          <t>NON SALES</t>
        </is>
      </c>
    </row>
    <row r="475">
      <c r="A475" s="5" t="inlineStr">
        <is>
          <t>OP03010</t>
        </is>
      </c>
      <c r="B475" s="6" t="inlineStr">
        <is>
          <t>Aris</t>
        </is>
      </c>
      <c r="C475" s="7" t="inlineStr">
        <is>
          <t>AV - Agen Verified</t>
        </is>
      </c>
      <c r="D475" s="1" t="inlineStr">
        <is>
          <t>OP00003</t>
        </is>
      </c>
      <c r="E475" s="8" t="n">
        <v>44882.53888888889</v>
      </c>
      <c r="F475" s="7" t="inlineStr">
        <is>
          <t>AGEN</t>
        </is>
      </c>
      <c r="G475" s="18" t="inlineStr">
        <is>
          <t>OP03010</t>
        </is>
      </c>
      <c r="H475" s="19">
        <f>UPPER(Table3[[#This Row],[Agen id]]&amp;"-"&amp;VLOOKUP(Table3[[#This Row],[Agen id]],A:B,2,0)&amp;"("&amp;Table3[[#This Row],[Short]]&amp;")")</f>
        <v/>
      </c>
      <c r="J475" s="7">
        <f>VLOOKUP(Table3[[#This Row],[Agen id]],Agen!A:C,3,0)</f>
        <v/>
      </c>
      <c r="K475" s="37">
        <f>TRIM(LEFT(Table3[[#This Row],[Group]],2))</f>
        <v/>
      </c>
      <c r="L475" s="3" t="inlineStr">
        <is>
          <t>NON SALES</t>
        </is>
      </c>
    </row>
    <row r="476">
      <c r="A476" s="5" t="inlineStr">
        <is>
          <t>OP03014</t>
        </is>
      </c>
      <c r="B476" s="6" t="inlineStr">
        <is>
          <t>Sesean raya</t>
        </is>
      </c>
      <c r="C476" s="7" t="inlineStr">
        <is>
          <t>A - Agen</t>
        </is>
      </c>
      <c r="D476" s="1" t="inlineStr">
        <is>
          <t>OP00002</t>
        </is>
      </c>
      <c r="E476" s="8" t="n">
        <v>44882.73194444444</v>
      </c>
      <c r="F476" s="7" t="inlineStr">
        <is>
          <t>AGEN</t>
        </is>
      </c>
      <c r="G476" s="18" t="inlineStr">
        <is>
          <t>OP03014</t>
        </is>
      </c>
      <c r="H476" s="19">
        <f>UPPER(Table3[[#This Row],[Agen id]]&amp;"-"&amp;VLOOKUP(Table3[[#This Row],[Agen id]],A:B,2,0)&amp;"("&amp;Table3[[#This Row],[Short]]&amp;")")</f>
        <v/>
      </c>
      <c r="J476" s="7">
        <f>VLOOKUP(Table3[[#This Row],[Agen id]],Agen!A:C,3,0)</f>
        <v/>
      </c>
      <c r="K476" s="37">
        <f>TRIM(LEFT(Table3[[#This Row],[Group]],2))</f>
        <v/>
      </c>
      <c r="L476" s="3" t="inlineStr">
        <is>
          <t>NON SALES</t>
        </is>
      </c>
    </row>
    <row r="477">
      <c r="A477" s="5" t="inlineStr">
        <is>
          <t>OP03016</t>
        </is>
      </c>
      <c r="B477" s="6" t="inlineStr">
        <is>
          <t>Kembar cell</t>
        </is>
      </c>
      <c r="C477" s="7" t="inlineStr">
        <is>
          <t>A - Agen</t>
        </is>
      </c>
      <c r="D477" s="1" t="inlineStr">
        <is>
          <t>OP00996</t>
        </is>
      </c>
      <c r="E477" s="8" t="n">
        <v>44882.78472222222</v>
      </c>
      <c r="F477" s="7" t="inlineStr">
        <is>
          <t>DOWNLINE</t>
        </is>
      </c>
      <c r="G477" s="18" t="inlineStr">
        <is>
          <t>OP00996</t>
        </is>
      </c>
      <c r="H477" s="19">
        <f>UPPER(Table3[[#This Row],[Agen id]]&amp;"-"&amp;VLOOKUP(Table3[[#This Row],[Agen id]],A:B,2,0)&amp;"("&amp;Table3[[#This Row],[Short]]&amp;")")</f>
        <v/>
      </c>
      <c r="J477" s="7">
        <f>VLOOKUP(Table3[[#This Row],[Agen id]],Agen!A:C,3,0)</f>
        <v/>
      </c>
      <c r="K477" s="37">
        <f>TRIM(LEFT(Table3[[#This Row],[Group]],2))</f>
        <v/>
      </c>
      <c r="L477" s="3" t="inlineStr">
        <is>
          <t>NON SALES</t>
        </is>
      </c>
    </row>
    <row r="478">
      <c r="A478" s="5" t="inlineStr">
        <is>
          <t>OP03019</t>
        </is>
      </c>
      <c r="B478" s="6" t="inlineStr">
        <is>
          <t>Asep</t>
        </is>
      </c>
      <c r="C478" s="7" t="inlineStr">
        <is>
          <t>AV - Agen Verified</t>
        </is>
      </c>
      <c r="D478" s="1" t="inlineStr">
        <is>
          <t>OP00996</t>
        </is>
      </c>
      <c r="E478" s="8" t="n">
        <v>44883.02986111111</v>
      </c>
      <c r="F478" s="7" t="inlineStr">
        <is>
          <t>DOWNLINE</t>
        </is>
      </c>
      <c r="G478" s="18" t="inlineStr">
        <is>
          <t>OP00996</t>
        </is>
      </c>
      <c r="H478" s="19">
        <f>UPPER(Table3[[#This Row],[Agen id]]&amp;"-"&amp;VLOOKUP(Table3[[#This Row],[Agen id]],A:B,2,0)&amp;"("&amp;Table3[[#This Row],[Short]]&amp;")")</f>
        <v/>
      </c>
      <c r="J478" s="7">
        <f>VLOOKUP(Table3[[#This Row],[Agen id]],Agen!A:C,3,0)</f>
        <v/>
      </c>
      <c r="K478" s="37">
        <f>TRIM(LEFT(Table3[[#This Row],[Group]],2))</f>
        <v/>
      </c>
      <c r="L478" s="3" t="inlineStr">
        <is>
          <t>NON SALES</t>
        </is>
      </c>
    </row>
    <row r="479">
      <c r="A479" s="5" t="inlineStr">
        <is>
          <t>OP03033</t>
        </is>
      </c>
      <c r="B479" s="6" t="inlineStr">
        <is>
          <t>Alva</t>
        </is>
      </c>
      <c r="C479" s="7" t="inlineStr">
        <is>
          <t>AV - Agen Verified</t>
        </is>
      </c>
      <c r="D479" s="1" t="inlineStr">
        <is>
          <t>OP00655</t>
        </is>
      </c>
      <c r="E479" s="8" t="n">
        <v>44883.89375</v>
      </c>
      <c r="F479" s="7" t="inlineStr">
        <is>
          <t>DOWNLINE</t>
        </is>
      </c>
      <c r="G479" s="18" t="inlineStr">
        <is>
          <t>OP00049</t>
        </is>
      </c>
      <c r="H479" s="19">
        <f>UPPER(Table3[[#This Row],[Agen id]]&amp;"-"&amp;VLOOKUP(Table3[[#This Row],[Agen id]],A:B,2,0)&amp;"("&amp;Table3[[#This Row],[Short]]&amp;")")</f>
        <v/>
      </c>
      <c r="J479" s="7">
        <f>VLOOKUP(Table3[[#This Row],[Agen id]],Agen!A:C,3,0)</f>
        <v/>
      </c>
      <c r="K479" s="37">
        <f>TRIM(LEFT(Table3[[#This Row],[Group]],2))</f>
        <v/>
      </c>
      <c r="L479" s="3" t="inlineStr">
        <is>
          <t>NON SALES</t>
        </is>
      </c>
    </row>
    <row r="480">
      <c r="A480" s="5" t="inlineStr">
        <is>
          <t>OP03035</t>
        </is>
      </c>
      <c r="B480" s="6" t="inlineStr">
        <is>
          <t>Sartija</t>
        </is>
      </c>
      <c r="C480" s="7" t="inlineStr">
        <is>
          <t>A - Agen</t>
        </is>
      </c>
      <c r="D480" s="1" t="inlineStr">
        <is>
          <t>OP00003</t>
        </is>
      </c>
      <c r="E480" s="8" t="n">
        <v>44884.34375</v>
      </c>
      <c r="F480" s="7" t="inlineStr">
        <is>
          <t>AGEN</t>
        </is>
      </c>
      <c r="G480" s="18" t="inlineStr">
        <is>
          <t>OP03035</t>
        </is>
      </c>
      <c r="H480" s="19">
        <f>UPPER(Table3[[#This Row],[Agen id]]&amp;"-"&amp;VLOOKUP(Table3[[#This Row],[Agen id]],A:B,2,0)&amp;"("&amp;Table3[[#This Row],[Short]]&amp;")")</f>
        <v/>
      </c>
      <c r="J480" s="7">
        <f>VLOOKUP(Table3[[#This Row],[Agen id]],Agen!A:C,3,0)</f>
        <v/>
      </c>
      <c r="K480" s="37">
        <f>TRIM(LEFT(Table3[[#This Row],[Group]],2))</f>
        <v/>
      </c>
      <c r="L480" s="3" t="inlineStr">
        <is>
          <t>NON SALES</t>
        </is>
      </c>
    </row>
    <row r="481">
      <c r="A481" s="5" t="inlineStr">
        <is>
          <t>OP03037</t>
        </is>
      </c>
      <c r="B481" s="6" t="inlineStr">
        <is>
          <t>Mkycell</t>
        </is>
      </c>
      <c r="C481" s="7" t="inlineStr">
        <is>
          <t>A - Agen</t>
        </is>
      </c>
      <c r="D481" s="1" t="inlineStr">
        <is>
          <t>OP00003</t>
        </is>
      </c>
      <c r="E481" s="8" t="n">
        <v>44884.35</v>
      </c>
      <c r="F481" s="7" t="inlineStr">
        <is>
          <t>AGEN</t>
        </is>
      </c>
      <c r="G481" s="18" t="inlineStr">
        <is>
          <t>OP03037</t>
        </is>
      </c>
      <c r="H481" s="19">
        <f>UPPER(Table3[[#This Row],[Agen id]]&amp;"-"&amp;VLOOKUP(Table3[[#This Row],[Agen id]],A:B,2,0)&amp;"("&amp;Table3[[#This Row],[Short]]&amp;")")</f>
        <v/>
      </c>
      <c r="J481" s="7">
        <f>VLOOKUP(Table3[[#This Row],[Agen id]],Agen!A:C,3,0)</f>
        <v/>
      </c>
      <c r="K481" s="37">
        <f>TRIM(LEFT(Table3[[#This Row],[Group]],2))</f>
        <v/>
      </c>
      <c r="L481" s="3" t="inlineStr">
        <is>
          <t>NON SALES</t>
        </is>
      </c>
    </row>
    <row r="482">
      <c r="A482" s="5" t="inlineStr">
        <is>
          <t>OP03038</t>
        </is>
      </c>
      <c r="B482" s="6" t="inlineStr">
        <is>
          <t>Hendrax</t>
        </is>
      </c>
      <c r="C482" s="7" t="inlineStr">
        <is>
          <t>A - Agen</t>
        </is>
      </c>
      <c r="D482" s="1" t="inlineStr">
        <is>
          <t>OP00003</t>
        </is>
      </c>
      <c r="E482" s="8" t="n">
        <v>44884.47430555556</v>
      </c>
      <c r="F482" s="7" t="inlineStr">
        <is>
          <t>AGEN</t>
        </is>
      </c>
      <c r="G482" s="18" t="inlineStr">
        <is>
          <t>OP03038</t>
        </is>
      </c>
      <c r="H482" s="19">
        <f>UPPER(Table3[[#This Row],[Agen id]]&amp;"-"&amp;VLOOKUP(Table3[[#This Row],[Agen id]],A:B,2,0)&amp;"("&amp;Table3[[#This Row],[Short]]&amp;")")</f>
        <v/>
      </c>
      <c r="J482" s="7">
        <f>VLOOKUP(Table3[[#This Row],[Agen id]],Agen!A:C,3,0)</f>
        <v/>
      </c>
      <c r="K482" s="37">
        <f>TRIM(LEFT(Table3[[#This Row],[Group]],2))</f>
        <v/>
      </c>
      <c r="L482" s="3" t="inlineStr">
        <is>
          <t>NON SALES</t>
        </is>
      </c>
    </row>
    <row r="483">
      <c r="A483" s="5" t="inlineStr">
        <is>
          <t>OP03041</t>
        </is>
      </c>
      <c r="B483" s="6" t="inlineStr">
        <is>
          <t>ISHAK</t>
        </is>
      </c>
      <c r="C483" s="7" t="inlineStr">
        <is>
          <t>AV - Agen Verified</t>
        </is>
      </c>
      <c r="D483" s="1" t="inlineStr">
        <is>
          <t>OP00002</t>
        </is>
      </c>
      <c r="E483" s="8" t="n">
        <v>44884.52708333333</v>
      </c>
      <c r="F483" s="7" t="inlineStr">
        <is>
          <t>AGEN</t>
        </is>
      </c>
      <c r="G483" s="18" t="inlineStr">
        <is>
          <t>OP03041</t>
        </is>
      </c>
      <c r="H483" s="19">
        <f>UPPER(Table3[[#This Row],[Agen id]]&amp;"-"&amp;VLOOKUP(Table3[[#This Row],[Agen id]],A:B,2,0)&amp;"("&amp;Table3[[#This Row],[Short]]&amp;")")</f>
        <v/>
      </c>
      <c r="J483" s="7">
        <f>VLOOKUP(Table3[[#This Row],[Agen id]],Agen!A:C,3,0)</f>
        <v/>
      </c>
      <c r="K483" s="37">
        <f>TRIM(LEFT(Table3[[#This Row],[Group]],2))</f>
        <v/>
      </c>
      <c r="L483" s="3" t="inlineStr">
        <is>
          <t>NON SALES</t>
        </is>
      </c>
    </row>
    <row r="484">
      <c r="A484" s="5" t="inlineStr">
        <is>
          <t>OP03049</t>
        </is>
      </c>
      <c r="B484" s="6" t="inlineStr">
        <is>
          <t>rolisandriyas5</t>
        </is>
      </c>
      <c r="C484" s="7" t="inlineStr">
        <is>
          <t>A - Agen</t>
        </is>
      </c>
      <c r="D484" s="1" t="inlineStr">
        <is>
          <t>OP00049</t>
        </is>
      </c>
      <c r="E484" s="8" t="n">
        <v>44885.27083333334</v>
      </c>
      <c r="F484" s="7" t="inlineStr">
        <is>
          <t>DOWNLINE</t>
        </is>
      </c>
      <c r="G484" s="18" t="inlineStr">
        <is>
          <t>OP00049</t>
        </is>
      </c>
      <c r="H484" s="19">
        <f>UPPER(Table3[[#This Row],[Agen id]]&amp;"-"&amp;VLOOKUP(Table3[[#This Row],[Agen id]],A:B,2,0)&amp;"("&amp;Table3[[#This Row],[Short]]&amp;")")</f>
        <v/>
      </c>
      <c r="J484" s="7">
        <f>VLOOKUP(Table3[[#This Row],[Agen id]],Agen!A:C,3,0)</f>
        <v/>
      </c>
      <c r="K484" s="37">
        <f>TRIM(LEFT(Table3[[#This Row],[Group]],2))</f>
        <v/>
      </c>
      <c r="L484" s="3" t="inlineStr">
        <is>
          <t>NON SALES</t>
        </is>
      </c>
    </row>
    <row r="485">
      <c r="A485" s="5" t="inlineStr">
        <is>
          <t>OP03058</t>
        </is>
      </c>
      <c r="B485" s="6" t="inlineStr">
        <is>
          <t>Abdullah</t>
        </is>
      </c>
      <c r="C485" s="7" t="inlineStr">
        <is>
          <t>A - Agen</t>
        </is>
      </c>
      <c r="D485" s="1" t="inlineStr">
        <is>
          <t>OP00014</t>
        </is>
      </c>
      <c r="E485" s="8" t="n">
        <v>44885.85486111111</v>
      </c>
      <c r="F485" s="7" t="inlineStr">
        <is>
          <t>DOWNLINE</t>
        </is>
      </c>
      <c r="G485" s="18" t="inlineStr">
        <is>
          <t>OP00014</t>
        </is>
      </c>
      <c r="H485" s="19">
        <f>UPPER(Table3[[#This Row],[Agen id]]&amp;"-"&amp;VLOOKUP(Table3[[#This Row],[Agen id]],A:B,2,0)&amp;"("&amp;Table3[[#This Row],[Short]]&amp;")")</f>
        <v/>
      </c>
      <c r="J485" s="7">
        <f>VLOOKUP(Table3[[#This Row],[Agen id]],Agen!A:C,3,0)</f>
        <v/>
      </c>
      <c r="K485" s="37">
        <f>TRIM(LEFT(Table3[[#This Row],[Group]],2))</f>
        <v/>
      </c>
      <c r="L485" s="3" t="inlineStr">
        <is>
          <t>NON SALES</t>
        </is>
      </c>
    </row>
    <row r="486">
      <c r="A486" s="5" t="inlineStr">
        <is>
          <t>OP03060</t>
        </is>
      </c>
      <c r="B486" s="6" t="inlineStr">
        <is>
          <t>joshua iswara</t>
        </is>
      </c>
      <c r="C486" s="7" t="inlineStr">
        <is>
          <t>A - Agen</t>
        </is>
      </c>
      <c r="D486" s="1" t="inlineStr">
        <is>
          <t>OP00002</t>
        </is>
      </c>
      <c r="E486" s="8" t="n">
        <v>44886.35138888889</v>
      </c>
      <c r="F486" s="7" t="inlineStr">
        <is>
          <t>DOWNLINE</t>
        </is>
      </c>
      <c r="G486" s="18" t="inlineStr">
        <is>
          <t>OP00996</t>
        </is>
      </c>
      <c r="H486" s="19">
        <f>UPPER(Table3[[#This Row],[Agen id]]&amp;"-"&amp;VLOOKUP(Table3[[#This Row],[Agen id]],A:B,2,0)&amp;"("&amp;Table3[[#This Row],[Short]]&amp;")")</f>
        <v/>
      </c>
      <c r="J486" s="7">
        <f>VLOOKUP(Table3[[#This Row],[Agen id]],Agen!A:C,3,0)</f>
        <v/>
      </c>
      <c r="K486" s="37">
        <f>TRIM(LEFT(Table3[[#This Row],[Group]],2))</f>
        <v/>
      </c>
      <c r="L486" s="3" t="inlineStr">
        <is>
          <t>NON SALES</t>
        </is>
      </c>
    </row>
    <row r="487">
      <c r="A487" s="5" t="inlineStr">
        <is>
          <t>OP03062</t>
        </is>
      </c>
      <c r="B487" s="6" t="inlineStr">
        <is>
          <t>Eva riyani</t>
        </is>
      </c>
      <c r="C487" s="7" t="inlineStr">
        <is>
          <t>A - Agen</t>
        </is>
      </c>
      <c r="D487" s="1" t="inlineStr">
        <is>
          <t>OP00003</t>
        </is>
      </c>
      <c r="E487" s="8" t="n">
        <v>44886.37777777778</v>
      </c>
      <c r="F487" s="7" t="inlineStr">
        <is>
          <t>AGEN</t>
        </is>
      </c>
      <c r="G487" s="18" t="inlineStr">
        <is>
          <t>OP03062</t>
        </is>
      </c>
      <c r="H487" s="19">
        <f>UPPER(Table3[[#This Row],[Agen id]]&amp;"-"&amp;VLOOKUP(Table3[[#This Row],[Agen id]],A:B,2,0)&amp;"("&amp;Table3[[#This Row],[Short]]&amp;")")</f>
        <v/>
      </c>
      <c r="J487" s="7">
        <f>VLOOKUP(Table3[[#This Row],[Agen id]],Agen!A:C,3,0)</f>
        <v/>
      </c>
      <c r="K487" s="37">
        <f>TRIM(LEFT(Table3[[#This Row],[Group]],2))</f>
        <v/>
      </c>
      <c r="L487" s="3" t="inlineStr">
        <is>
          <t>NON SALES</t>
        </is>
      </c>
    </row>
    <row r="488">
      <c r="A488" s="5" t="inlineStr">
        <is>
          <t>OP03074</t>
        </is>
      </c>
      <c r="B488" s="6" t="inlineStr">
        <is>
          <t>Finka</t>
        </is>
      </c>
      <c r="C488" s="7" t="inlineStr">
        <is>
          <t>A - Agen</t>
        </is>
      </c>
      <c r="D488" s="1" t="inlineStr">
        <is>
          <t>OP00996</t>
        </is>
      </c>
      <c r="E488" s="8" t="n">
        <v>44887.39236111111</v>
      </c>
      <c r="F488" s="7" t="inlineStr">
        <is>
          <t>DOWNLINE</t>
        </is>
      </c>
      <c r="G488" s="18" t="inlineStr">
        <is>
          <t>OP00996</t>
        </is>
      </c>
      <c r="H488" s="19">
        <f>UPPER(Table3[[#This Row],[Agen id]]&amp;"-"&amp;VLOOKUP(Table3[[#This Row],[Agen id]],A:B,2,0)&amp;"("&amp;Table3[[#This Row],[Short]]&amp;")")</f>
        <v/>
      </c>
      <c r="J488" s="7">
        <f>VLOOKUP(Table3[[#This Row],[Agen id]],Agen!A:C,3,0)</f>
        <v/>
      </c>
      <c r="K488" s="37">
        <f>TRIM(LEFT(Table3[[#This Row],[Group]],2))</f>
        <v/>
      </c>
      <c r="L488" s="3" t="inlineStr">
        <is>
          <t>NON SALES</t>
        </is>
      </c>
    </row>
    <row r="489">
      <c r="A489" s="5" t="inlineStr">
        <is>
          <t>OP03080</t>
        </is>
      </c>
      <c r="B489" s="6" t="inlineStr">
        <is>
          <t>Rima mentari</t>
        </is>
      </c>
      <c r="C489" s="7" t="inlineStr">
        <is>
          <t>AV - Agen Verified</t>
        </is>
      </c>
      <c r="D489" s="1" t="inlineStr">
        <is>
          <t>OP00091</t>
        </is>
      </c>
      <c r="E489" s="8" t="n">
        <v>44887.77569444444</v>
      </c>
      <c r="F489" s="7" t="inlineStr">
        <is>
          <t>DOWNLINE</t>
        </is>
      </c>
      <c r="G489" s="18" t="inlineStr">
        <is>
          <t>OP00091</t>
        </is>
      </c>
      <c r="H489" s="19">
        <f>UPPER(Table3[[#This Row],[Agen id]]&amp;"-"&amp;VLOOKUP(Table3[[#This Row],[Agen id]],A:B,2,0)&amp;"("&amp;Table3[[#This Row],[Short]]&amp;")")</f>
        <v/>
      </c>
      <c r="J489" s="7">
        <f>VLOOKUP(Table3[[#This Row],[Agen id]],Agen!A:C,3,0)</f>
        <v/>
      </c>
      <c r="K489" s="37">
        <f>TRIM(LEFT(Table3[[#This Row],[Group]],2))</f>
        <v/>
      </c>
      <c r="L489" s="3" t="inlineStr">
        <is>
          <t>NON SALES</t>
        </is>
      </c>
    </row>
    <row r="490">
      <c r="A490" s="5" t="inlineStr">
        <is>
          <t>OP03081</t>
        </is>
      </c>
      <c r="B490" s="6" t="inlineStr">
        <is>
          <t>Saiful</t>
        </is>
      </c>
      <c r="C490" s="7" t="inlineStr">
        <is>
          <t>AV - Agen Verified</t>
        </is>
      </c>
      <c r="D490" s="1" t="inlineStr">
        <is>
          <t>OP00003</t>
        </is>
      </c>
      <c r="E490" s="8" t="n">
        <v>44887.83680555555</v>
      </c>
      <c r="F490" s="7" t="inlineStr">
        <is>
          <t>AGEN</t>
        </is>
      </c>
      <c r="G490" s="18" t="inlineStr">
        <is>
          <t>OP03081</t>
        </is>
      </c>
      <c r="H490" s="19">
        <f>UPPER(Table3[[#This Row],[Agen id]]&amp;"-"&amp;VLOOKUP(Table3[[#This Row],[Agen id]],A:B,2,0)&amp;"("&amp;Table3[[#This Row],[Short]]&amp;")")</f>
        <v/>
      </c>
      <c r="J490" s="7">
        <f>VLOOKUP(Table3[[#This Row],[Agen id]],Agen!A:C,3,0)</f>
        <v/>
      </c>
      <c r="K490" s="37">
        <f>TRIM(LEFT(Table3[[#This Row],[Group]],2))</f>
        <v/>
      </c>
      <c r="L490" s="3" t="inlineStr">
        <is>
          <t>NON SALES</t>
        </is>
      </c>
    </row>
    <row r="491">
      <c r="A491" s="5" t="inlineStr">
        <is>
          <t>OP03098</t>
        </is>
      </c>
      <c r="B491" s="6" t="inlineStr">
        <is>
          <t>Apolos keri</t>
        </is>
      </c>
      <c r="C491" s="7" t="inlineStr">
        <is>
          <t>AV - Agen Verified</t>
        </is>
      </c>
      <c r="D491" s="1" t="inlineStr">
        <is>
          <t>OP00003</t>
        </is>
      </c>
      <c r="E491" s="8" t="n">
        <v>44888.81527777778</v>
      </c>
      <c r="F491" s="7" t="inlineStr">
        <is>
          <t>AGEN</t>
        </is>
      </c>
      <c r="G491" s="18" t="inlineStr">
        <is>
          <t>OP03098</t>
        </is>
      </c>
      <c r="H491" s="19">
        <f>UPPER(Table3[[#This Row],[Agen id]]&amp;"-"&amp;VLOOKUP(Table3[[#This Row],[Agen id]],A:B,2,0)&amp;"("&amp;Table3[[#This Row],[Short]]&amp;")")</f>
        <v/>
      </c>
      <c r="J491" s="7">
        <f>VLOOKUP(Table3[[#This Row],[Agen id]],Agen!A:C,3,0)</f>
        <v/>
      </c>
      <c r="K491" s="37">
        <f>TRIM(LEFT(Table3[[#This Row],[Group]],2))</f>
        <v/>
      </c>
      <c r="L491" s="3" t="inlineStr">
        <is>
          <t>NON SALES</t>
        </is>
      </c>
    </row>
    <row r="492">
      <c r="A492" s="5" t="inlineStr">
        <is>
          <t>OP03099</t>
        </is>
      </c>
      <c r="B492" s="6" t="inlineStr">
        <is>
          <t>Firgia</t>
        </is>
      </c>
      <c r="C492" s="7" t="inlineStr">
        <is>
          <t>AV - Agen Verified</t>
        </is>
      </c>
      <c r="D492" s="1" t="inlineStr">
        <is>
          <t>OP00003</t>
        </is>
      </c>
      <c r="E492" s="8" t="n">
        <v>44888.83263888889</v>
      </c>
      <c r="F492" s="7" t="inlineStr">
        <is>
          <t>AGEN</t>
        </is>
      </c>
      <c r="G492" s="18" t="inlineStr">
        <is>
          <t>OP03099</t>
        </is>
      </c>
      <c r="H492" s="19">
        <f>UPPER(Table3[[#This Row],[Agen id]]&amp;"-"&amp;VLOOKUP(Table3[[#This Row],[Agen id]],A:B,2,0)&amp;"("&amp;Table3[[#This Row],[Short]]&amp;")")</f>
        <v/>
      </c>
      <c r="J492" s="7">
        <f>VLOOKUP(Table3[[#This Row],[Agen id]],Agen!A:C,3,0)</f>
        <v/>
      </c>
      <c r="K492" s="37">
        <f>TRIM(LEFT(Table3[[#This Row],[Group]],2))</f>
        <v/>
      </c>
      <c r="L492" s="3" t="inlineStr">
        <is>
          <t>NON SALES</t>
        </is>
      </c>
    </row>
    <row r="493">
      <c r="A493" s="5" t="inlineStr">
        <is>
          <t>OP03104</t>
        </is>
      </c>
      <c r="B493" s="6" t="inlineStr">
        <is>
          <t>Eben Sitorus</t>
        </is>
      </c>
      <c r="C493" s="7" t="inlineStr">
        <is>
          <t>AV - Agen Verified</t>
        </is>
      </c>
      <c r="D493" s="1" t="inlineStr">
        <is>
          <t>OP00003</t>
        </is>
      </c>
      <c r="E493" s="8" t="n">
        <v>44888.87986111111</v>
      </c>
      <c r="F493" s="7" t="inlineStr">
        <is>
          <t>AGEN</t>
        </is>
      </c>
      <c r="G493" s="18" t="inlineStr">
        <is>
          <t>OP03104</t>
        </is>
      </c>
      <c r="H493" s="19">
        <f>UPPER(Table3[[#This Row],[Agen id]]&amp;"-"&amp;VLOOKUP(Table3[[#This Row],[Agen id]],A:B,2,0)&amp;"("&amp;Table3[[#This Row],[Short]]&amp;")")</f>
        <v/>
      </c>
      <c r="J493" s="7">
        <f>VLOOKUP(Table3[[#This Row],[Agen id]],Agen!A:C,3,0)</f>
        <v/>
      </c>
      <c r="K493" s="37">
        <f>TRIM(LEFT(Table3[[#This Row],[Group]],2))</f>
        <v/>
      </c>
      <c r="L493" s="3" t="inlineStr">
        <is>
          <t>NON SALES</t>
        </is>
      </c>
    </row>
    <row r="494">
      <c r="A494" s="5" t="inlineStr">
        <is>
          <t>OP03105</t>
        </is>
      </c>
      <c r="B494" s="6" t="inlineStr">
        <is>
          <t>Aloysius Lalong</t>
        </is>
      </c>
      <c r="C494" s="7" t="inlineStr">
        <is>
          <t>A - Agen</t>
        </is>
      </c>
      <c r="D494" s="1" t="inlineStr">
        <is>
          <t>OP00003</t>
        </is>
      </c>
      <c r="E494" s="8" t="n">
        <v>44888.87986111111</v>
      </c>
      <c r="F494" s="7" t="inlineStr">
        <is>
          <t>AGEN</t>
        </is>
      </c>
      <c r="G494" s="18" t="inlineStr">
        <is>
          <t>OP03105</t>
        </is>
      </c>
      <c r="H494" s="19">
        <f>UPPER(Table3[[#This Row],[Agen id]]&amp;"-"&amp;VLOOKUP(Table3[[#This Row],[Agen id]],A:B,2,0)&amp;"("&amp;Table3[[#This Row],[Short]]&amp;")")</f>
        <v/>
      </c>
      <c r="J494" s="7">
        <f>VLOOKUP(Table3[[#This Row],[Agen id]],Agen!A:C,3,0)</f>
        <v/>
      </c>
      <c r="K494" s="37">
        <f>TRIM(LEFT(Table3[[#This Row],[Group]],2))</f>
        <v/>
      </c>
      <c r="L494" s="3" t="inlineStr">
        <is>
          <t>NON SALES</t>
        </is>
      </c>
    </row>
    <row r="495">
      <c r="A495" s="5" t="inlineStr">
        <is>
          <t>OP03109</t>
        </is>
      </c>
      <c r="B495" s="6" t="inlineStr">
        <is>
          <t>Hasfan</t>
        </is>
      </c>
      <c r="C495" s="7" t="inlineStr">
        <is>
          <t>A - Agen</t>
        </is>
      </c>
      <c r="D495" s="1" t="inlineStr">
        <is>
          <t>OP00036</t>
        </is>
      </c>
      <c r="E495" s="8" t="n">
        <v>44889.14305555556</v>
      </c>
      <c r="F495" s="7" t="inlineStr">
        <is>
          <t>DOWNLINE</t>
        </is>
      </c>
      <c r="G495" s="18" t="inlineStr">
        <is>
          <t>OP00036</t>
        </is>
      </c>
      <c r="H495" s="19">
        <f>UPPER(Table3[[#This Row],[Agen id]]&amp;"-"&amp;VLOOKUP(Table3[[#This Row],[Agen id]],A:B,2,0)&amp;"("&amp;Table3[[#This Row],[Short]]&amp;")")</f>
        <v/>
      </c>
      <c r="J495" s="7">
        <f>VLOOKUP(Table3[[#This Row],[Agen id]],Agen!A:C,3,0)</f>
        <v/>
      </c>
      <c r="K495" s="37">
        <f>TRIM(LEFT(Table3[[#This Row],[Group]],2))</f>
        <v/>
      </c>
      <c r="L495" s="3" t="inlineStr">
        <is>
          <t>NON SALES</t>
        </is>
      </c>
    </row>
    <row r="496">
      <c r="A496" s="5" t="inlineStr">
        <is>
          <t>OP03118</t>
        </is>
      </c>
      <c r="B496" s="6" t="inlineStr">
        <is>
          <t>Husni cell</t>
        </is>
      </c>
      <c r="C496" s="7" t="inlineStr">
        <is>
          <t>A - Agen</t>
        </is>
      </c>
      <c r="D496" s="1" t="inlineStr">
        <is>
          <t>OP00003</t>
        </is>
      </c>
      <c r="E496" s="8" t="n">
        <v>44889.50416666667</v>
      </c>
      <c r="F496" s="7" t="inlineStr">
        <is>
          <t>AGEN</t>
        </is>
      </c>
      <c r="G496" s="18" t="inlineStr">
        <is>
          <t>OP03118</t>
        </is>
      </c>
      <c r="H496" s="19">
        <f>UPPER(Table3[[#This Row],[Agen id]]&amp;"-"&amp;VLOOKUP(Table3[[#This Row],[Agen id]],A:B,2,0)&amp;"("&amp;Table3[[#This Row],[Short]]&amp;")")</f>
        <v/>
      </c>
      <c r="J496" s="7">
        <f>VLOOKUP(Table3[[#This Row],[Agen id]],Agen!A:C,3,0)</f>
        <v/>
      </c>
      <c r="K496" s="37">
        <f>TRIM(LEFT(Table3[[#This Row],[Group]],2))</f>
        <v/>
      </c>
      <c r="L496" s="3" t="inlineStr">
        <is>
          <t>NON SALES</t>
        </is>
      </c>
    </row>
    <row r="497">
      <c r="A497" s="5" t="inlineStr">
        <is>
          <t>OP03121</t>
        </is>
      </c>
      <c r="B497" s="6" t="inlineStr">
        <is>
          <t>norci lou</t>
        </is>
      </c>
      <c r="C497" s="7" t="inlineStr">
        <is>
          <t>AV - Agen Verified</t>
        </is>
      </c>
      <c r="D497" s="1" t="inlineStr">
        <is>
          <t>OP03098</t>
        </is>
      </c>
      <c r="E497" s="8" t="n">
        <v>44889.57916666667</v>
      </c>
      <c r="F497" s="7" t="inlineStr">
        <is>
          <t>DOWNLINE</t>
        </is>
      </c>
      <c r="G497" s="18" t="inlineStr">
        <is>
          <t>OP03098</t>
        </is>
      </c>
      <c r="H497" s="19">
        <f>UPPER(Table3[[#This Row],[Agen id]]&amp;"-"&amp;VLOOKUP(Table3[[#This Row],[Agen id]],A:B,2,0)&amp;"("&amp;Table3[[#This Row],[Short]]&amp;")")</f>
        <v/>
      </c>
      <c r="J497" s="7">
        <f>VLOOKUP(Table3[[#This Row],[Agen id]],Agen!A:C,3,0)</f>
        <v/>
      </c>
      <c r="K497" s="37">
        <f>TRIM(LEFT(Table3[[#This Row],[Group]],2))</f>
        <v/>
      </c>
      <c r="L497" s="3" t="inlineStr">
        <is>
          <t>NON SALES</t>
        </is>
      </c>
    </row>
    <row r="498">
      <c r="A498" s="5" t="inlineStr">
        <is>
          <t>OP03123</t>
        </is>
      </c>
      <c r="B498" s="6" t="inlineStr">
        <is>
          <t>Hasna Yusuf</t>
        </is>
      </c>
      <c r="C498" s="7" t="inlineStr">
        <is>
          <t>A - Agen</t>
        </is>
      </c>
      <c r="D498" s="1" t="inlineStr">
        <is>
          <t>OP00996</t>
        </is>
      </c>
      <c r="E498" s="8" t="n">
        <v>44889.62361111111</v>
      </c>
      <c r="F498" s="7" t="inlineStr">
        <is>
          <t>DOWNLINE</t>
        </is>
      </c>
      <c r="G498" s="18" t="inlineStr">
        <is>
          <t>OP00996</t>
        </is>
      </c>
      <c r="H498" s="19">
        <f>UPPER(Table3[[#This Row],[Agen id]]&amp;"-"&amp;VLOOKUP(Table3[[#This Row],[Agen id]],A:B,2,0)&amp;"("&amp;Table3[[#This Row],[Short]]&amp;")")</f>
        <v/>
      </c>
      <c r="J498" s="7">
        <f>VLOOKUP(Table3[[#This Row],[Agen id]],Agen!A:C,3,0)</f>
        <v/>
      </c>
      <c r="K498" s="37">
        <f>TRIM(LEFT(Table3[[#This Row],[Group]],2))</f>
        <v/>
      </c>
      <c r="L498" s="3" t="inlineStr">
        <is>
          <t>NON SALES</t>
        </is>
      </c>
    </row>
    <row r="499">
      <c r="A499" s="5" t="inlineStr">
        <is>
          <t>OP03132</t>
        </is>
      </c>
      <c r="B499" s="6" t="inlineStr">
        <is>
          <t>Maida</t>
        </is>
      </c>
      <c r="C499" s="7" t="inlineStr">
        <is>
          <t>A - Agen</t>
        </is>
      </c>
      <c r="D499" s="1" t="inlineStr">
        <is>
          <t>OP00014</t>
        </is>
      </c>
      <c r="E499" s="8" t="n">
        <v>44889.86597222222</v>
      </c>
      <c r="F499" s="7" t="inlineStr">
        <is>
          <t>DOWNLINE</t>
        </is>
      </c>
      <c r="G499" s="18" t="inlineStr">
        <is>
          <t>OP00014</t>
        </is>
      </c>
      <c r="H499" s="19">
        <f>UPPER(Table3[[#This Row],[Agen id]]&amp;"-"&amp;VLOOKUP(Table3[[#This Row],[Agen id]],A:B,2,0)&amp;"("&amp;Table3[[#This Row],[Short]]&amp;")")</f>
        <v/>
      </c>
      <c r="J499" s="7">
        <f>VLOOKUP(Table3[[#This Row],[Agen id]],Agen!A:C,3,0)</f>
        <v/>
      </c>
      <c r="K499" s="37">
        <f>TRIM(LEFT(Table3[[#This Row],[Group]],2))</f>
        <v/>
      </c>
      <c r="L499" s="3" t="inlineStr">
        <is>
          <t>NON SALES</t>
        </is>
      </c>
    </row>
    <row r="500">
      <c r="A500" s="5" t="inlineStr">
        <is>
          <t>OP03140</t>
        </is>
      </c>
      <c r="B500" s="6" t="inlineStr">
        <is>
          <t>David</t>
        </is>
      </c>
      <c r="C500" s="7" t="inlineStr">
        <is>
          <t>AV - Agen Verified</t>
        </is>
      </c>
      <c r="D500" s="1" t="inlineStr">
        <is>
          <t>OP00002</t>
        </is>
      </c>
      <c r="E500" s="8" t="n">
        <v>44890.46458333333</v>
      </c>
      <c r="F500" s="7" t="inlineStr">
        <is>
          <t>AGEN</t>
        </is>
      </c>
      <c r="G500" s="18" t="inlineStr">
        <is>
          <t>OP03140</t>
        </is>
      </c>
      <c r="H500" s="19">
        <f>UPPER(Table3[[#This Row],[Agen id]]&amp;"-"&amp;VLOOKUP(Table3[[#This Row],[Agen id]],A:B,2,0)&amp;"("&amp;Table3[[#This Row],[Short]]&amp;")")</f>
        <v/>
      </c>
      <c r="J500" s="7">
        <f>VLOOKUP(Table3[[#This Row],[Agen id]],Agen!A:C,3,0)</f>
        <v/>
      </c>
      <c r="K500" s="37">
        <f>TRIM(LEFT(Table3[[#This Row],[Group]],2))</f>
        <v/>
      </c>
      <c r="L500" s="3" t="inlineStr">
        <is>
          <t>NON SALES</t>
        </is>
      </c>
    </row>
    <row r="501">
      <c r="A501" s="5" t="inlineStr">
        <is>
          <t>OP03146</t>
        </is>
      </c>
      <c r="B501" s="6" t="inlineStr">
        <is>
          <t>Siti Rahma</t>
        </is>
      </c>
      <c r="C501" s="7" t="inlineStr">
        <is>
          <t>AV - Agen Verified</t>
        </is>
      </c>
      <c r="D501" s="1" t="inlineStr">
        <is>
          <t>OP00003</t>
        </is>
      </c>
      <c r="E501" s="8" t="n">
        <v>44890.64027777778</v>
      </c>
      <c r="F501" s="7" t="inlineStr">
        <is>
          <t>AGEN</t>
        </is>
      </c>
      <c r="G501" s="18" t="inlineStr">
        <is>
          <t>OP03146</t>
        </is>
      </c>
      <c r="H501" s="19">
        <f>UPPER(Table3[[#This Row],[Agen id]]&amp;"-"&amp;VLOOKUP(Table3[[#This Row],[Agen id]],A:B,2,0)&amp;"("&amp;Table3[[#This Row],[Short]]&amp;")")</f>
        <v/>
      </c>
      <c r="J501" s="7">
        <f>VLOOKUP(Table3[[#This Row],[Agen id]],Agen!A:C,3,0)</f>
        <v/>
      </c>
      <c r="K501" s="37">
        <f>TRIM(LEFT(Table3[[#This Row],[Group]],2))</f>
        <v/>
      </c>
      <c r="L501" s="3" t="inlineStr">
        <is>
          <t>NON SALES</t>
        </is>
      </c>
    </row>
    <row r="502">
      <c r="A502" s="5" t="inlineStr">
        <is>
          <t>OP03171</t>
        </is>
      </c>
      <c r="B502" s="6" t="inlineStr">
        <is>
          <t>Tunisah</t>
        </is>
      </c>
      <c r="C502" s="7" t="inlineStr">
        <is>
          <t>A - Agen</t>
        </is>
      </c>
      <c r="D502" s="1" t="inlineStr">
        <is>
          <t>OP00003</t>
        </is>
      </c>
      <c r="E502" s="8" t="n">
        <v>44891.65347222222</v>
      </c>
      <c r="F502" s="7" t="inlineStr">
        <is>
          <t>AGEN</t>
        </is>
      </c>
      <c r="G502" s="18" t="inlineStr">
        <is>
          <t>OP03171</t>
        </is>
      </c>
      <c r="H502" s="19">
        <f>UPPER(Table3[[#This Row],[Agen id]]&amp;"-"&amp;VLOOKUP(Table3[[#This Row],[Agen id]],A:B,2,0)&amp;"("&amp;Table3[[#This Row],[Short]]&amp;")")</f>
        <v/>
      </c>
      <c r="J502" s="7">
        <f>VLOOKUP(Table3[[#This Row],[Agen id]],Agen!A:C,3,0)</f>
        <v/>
      </c>
      <c r="K502" s="37">
        <f>TRIM(LEFT(Table3[[#This Row],[Group]],2))</f>
        <v/>
      </c>
      <c r="L502" s="3" t="inlineStr">
        <is>
          <t>NON SALES</t>
        </is>
      </c>
    </row>
    <row r="503">
      <c r="A503" s="5" t="inlineStr">
        <is>
          <t>OP03176</t>
        </is>
      </c>
      <c r="B503" s="6" t="inlineStr">
        <is>
          <t>dortea</t>
        </is>
      </c>
      <c r="C503" s="7" t="inlineStr">
        <is>
          <t>A - Agen</t>
        </is>
      </c>
      <c r="D503" s="1" t="inlineStr">
        <is>
          <t>OP02706</t>
        </is>
      </c>
      <c r="E503" s="8" t="n">
        <v>44891.86319444444</v>
      </c>
      <c r="F503" s="7" t="inlineStr">
        <is>
          <t>DOWNLINE</t>
        </is>
      </c>
      <c r="G503" s="18" t="inlineStr">
        <is>
          <t>OP02706</t>
        </is>
      </c>
      <c r="H503" s="19">
        <f>UPPER(Table3[[#This Row],[Agen id]]&amp;"-"&amp;VLOOKUP(Table3[[#This Row],[Agen id]],A:B,2,0)&amp;"("&amp;Table3[[#This Row],[Short]]&amp;")")</f>
        <v/>
      </c>
      <c r="J503" s="7">
        <f>VLOOKUP(Table3[[#This Row],[Agen id]],Agen!A:C,3,0)</f>
        <v/>
      </c>
      <c r="K503" s="37">
        <f>TRIM(LEFT(Table3[[#This Row],[Group]],2))</f>
        <v/>
      </c>
      <c r="L503" s="3" t="inlineStr">
        <is>
          <t>NON SALES</t>
        </is>
      </c>
    </row>
    <row r="504">
      <c r="A504" s="5" t="inlineStr">
        <is>
          <t>OP03179</t>
        </is>
      </c>
      <c r="B504" s="6" t="inlineStr">
        <is>
          <t>Mawardi</t>
        </is>
      </c>
      <c r="C504" s="7" t="inlineStr">
        <is>
          <t>AV - Agen Verified</t>
        </is>
      </c>
      <c r="D504" s="1" t="inlineStr">
        <is>
          <t>OP00003</t>
        </is>
      </c>
      <c r="E504" s="8" t="n">
        <v>44891.91805555556</v>
      </c>
      <c r="F504" s="7" t="inlineStr">
        <is>
          <t>AGEN</t>
        </is>
      </c>
      <c r="G504" s="18" t="inlineStr">
        <is>
          <t>OP03179</t>
        </is>
      </c>
      <c r="H504" s="19">
        <f>UPPER(Table3[[#This Row],[Agen id]]&amp;"-"&amp;VLOOKUP(Table3[[#This Row],[Agen id]],A:B,2,0)&amp;"("&amp;Table3[[#This Row],[Short]]&amp;")")</f>
        <v/>
      </c>
      <c r="J504" s="7">
        <f>VLOOKUP(Table3[[#This Row],[Agen id]],Agen!A:C,3,0)</f>
        <v/>
      </c>
      <c r="K504" s="37">
        <f>TRIM(LEFT(Table3[[#This Row],[Group]],2))</f>
        <v/>
      </c>
      <c r="L504" s="3" t="inlineStr">
        <is>
          <t>NON SALES</t>
        </is>
      </c>
    </row>
    <row r="505">
      <c r="A505" s="5" t="inlineStr">
        <is>
          <t>OP03180</t>
        </is>
      </c>
      <c r="B505" s="6" t="inlineStr">
        <is>
          <t>ACHEF CELL</t>
        </is>
      </c>
      <c r="C505" s="7" t="inlineStr">
        <is>
          <t>A - Agen</t>
        </is>
      </c>
      <c r="D505" s="1" t="inlineStr">
        <is>
          <t>OP00003</t>
        </is>
      </c>
      <c r="E505" s="8" t="n">
        <v>44891.97638888889</v>
      </c>
      <c r="F505" s="7" t="inlineStr">
        <is>
          <t>AGEN</t>
        </is>
      </c>
      <c r="G505" s="18" t="inlineStr">
        <is>
          <t>OP03180</t>
        </is>
      </c>
      <c r="H505" s="19">
        <f>UPPER(Table3[[#This Row],[Agen id]]&amp;"-"&amp;VLOOKUP(Table3[[#This Row],[Agen id]],A:B,2,0)&amp;"("&amp;Table3[[#This Row],[Short]]&amp;")")</f>
        <v/>
      </c>
      <c r="J505" s="7">
        <f>VLOOKUP(Table3[[#This Row],[Agen id]],Agen!A:C,3,0)</f>
        <v/>
      </c>
      <c r="K505" s="37">
        <f>TRIM(LEFT(Table3[[#This Row],[Group]],2))</f>
        <v/>
      </c>
      <c r="L505" s="3" t="inlineStr">
        <is>
          <t>NON SALES</t>
        </is>
      </c>
    </row>
    <row r="506">
      <c r="A506" s="5" t="inlineStr">
        <is>
          <t>OP03184</t>
        </is>
      </c>
      <c r="B506" s="6" t="inlineStr">
        <is>
          <t>Waroeng Anyar01</t>
        </is>
      </c>
      <c r="C506" s="7" t="inlineStr">
        <is>
          <t>A - Agen</t>
        </is>
      </c>
      <c r="D506" s="1" t="inlineStr">
        <is>
          <t>OP00003</t>
        </is>
      </c>
      <c r="E506" s="8" t="n">
        <v>44892.14236111111</v>
      </c>
      <c r="F506" s="7" t="inlineStr">
        <is>
          <t>AGEN</t>
        </is>
      </c>
      <c r="G506" s="18" t="inlineStr">
        <is>
          <t>OP03184</t>
        </is>
      </c>
      <c r="H506" s="19">
        <f>UPPER(Table3[[#This Row],[Agen id]]&amp;"-"&amp;VLOOKUP(Table3[[#This Row],[Agen id]],A:B,2,0)&amp;"("&amp;Table3[[#This Row],[Short]]&amp;")")</f>
        <v/>
      </c>
      <c r="J506" s="7">
        <f>VLOOKUP(Table3[[#This Row],[Agen id]],Agen!A:C,3,0)</f>
        <v/>
      </c>
      <c r="K506" s="37">
        <f>TRIM(LEFT(Table3[[#This Row],[Group]],2))</f>
        <v/>
      </c>
      <c r="L506" s="3" t="inlineStr">
        <is>
          <t>NON SALES</t>
        </is>
      </c>
    </row>
    <row r="507">
      <c r="A507" s="5" t="inlineStr">
        <is>
          <t>OP03206</t>
        </is>
      </c>
      <c r="B507" s="6" t="inlineStr">
        <is>
          <t>Munaim</t>
        </is>
      </c>
      <c r="C507" s="7" t="inlineStr">
        <is>
          <t>A - Agen</t>
        </is>
      </c>
      <c r="D507" s="1" t="inlineStr">
        <is>
          <t>OP00036</t>
        </is>
      </c>
      <c r="E507" s="8" t="n">
        <v>44892.92222222222</v>
      </c>
      <c r="F507" s="7" t="inlineStr">
        <is>
          <t>DOWNLINE</t>
        </is>
      </c>
      <c r="G507" s="18" t="inlineStr">
        <is>
          <t>OP00036</t>
        </is>
      </c>
      <c r="H507" s="19">
        <f>UPPER(Table3[[#This Row],[Agen id]]&amp;"-"&amp;VLOOKUP(Table3[[#This Row],[Agen id]],A:B,2,0)&amp;"("&amp;Table3[[#This Row],[Short]]&amp;")")</f>
        <v/>
      </c>
      <c r="J507" s="7">
        <f>VLOOKUP(Table3[[#This Row],[Agen id]],Agen!A:C,3,0)</f>
        <v/>
      </c>
      <c r="K507" s="37">
        <f>TRIM(LEFT(Table3[[#This Row],[Group]],2))</f>
        <v/>
      </c>
      <c r="L507" s="3" t="inlineStr">
        <is>
          <t>NON SALES</t>
        </is>
      </c>
    </row>
    <row r="508">
      <c r="A508" s="5" t="inlineStr">
        <is>
          <t>OP03211</t>
        </is>
      </c>
      <c r="B508" s="6" t="inlineStr">
        <is>
          <t>Waroeng Anyar04</t>
        </is>
      </c>
      <c r="C508" s="7" t="inlineStr">
        <is>
          <t>A - Agen</t>
        </is>
      </c>
      <c r="D508" s="1" t="inlineStr">
        <is>
          <t>OP03210</t>
        </is>
      </c>
      <c r="E508" s="8" t="n">
        <v>44893.23680555556</v>
      </c>
      <c r="F508" s="7" t="inlineStr">
        <is>
          <t>DOWNLINE</t>
        </is>
      </c>
      <c r="G508" s="18" t="inlineStr">
        <is>
          <t>OP03184</t>
        </is>
      </c>
      <c r="H508" s="19">
        <f>UPPER(Table3[[#This Row],[Agen id]]&amp;"-"&amp;VLOOKUP(Table3[[#This Row],[Agen id]],A:B,2,0)&amp;"("&amp;Table3[[#This Row],[Short]]&amp;")")</f>
        <v/>
      </c>
      <c r="J508" s="7">
        <f>VLOOKUP(Table3[[#This Row],[Agen id]],Agen!A:C,3,0)</f>
        <v/>
      </c>
      <c r="K508" s="37">
        <f>TRIM(LEFT(Table3[[#This Row],[Group]],2))</f>
        <v/>
      </c>
      <c r="L508" s="3" t="inlineStr">
        <is>
          <t>NON SALES</t>
        </is>
      </c>
    </row>
    <row r="509">
      <c r="A509" s="5" t="inlineStr">
        <is>
          <t>OP03215</t>
        </is>
      </c>
      <c r="B509" s="6" t="inlineStr">
        <is>
          <t>Yuliani</t>
        </is>
      </c>
      <c r="C509" s="7" t="inlineStr">
        <is>
          <t>AV - Agen Verified</t>
        </is>
      </c>
      <c r="D509" s="1" t="inlineStr">
        <is>
          <t>OP03179</t>
        </is>
      </c>
      <c r="E509" s="8" t="n">
        <v>44893.51180555556</v>
      </c>
      <c r="F509" s="7" t="inlineStr">
        <is>
          <t>DOWNLINE</t>
        </is>
      </c>
      <c r="G509" s="18" t="inlineStr">
        <is>
          <t>OP03179</t>
        </is>
      </c>
      <c r="H509" s="19">
        <f>UPPER(Table3[[#This Row],[Agen id]]&amp;"-"&amp;VLOOKUP(Table3[[#This Row],[Agen id]],A:B,2,0)&amp;"("&amp;Table3[[#This Row],[Short]]&amp;")")</f>
        <v/>
      </c>
      <c r="J509" s="7">
        <f>VLOOKUP(Table3[[#This Row],[Agen id]],Agen!A:C,3,0)</f>
        <v/>
      </c>
      <c r="K509" s="37">
        <f>TRIM(LEFT(Table3[[#This Row],[Group]],2))</f>
        <v/>
      </c>
      <c r="L509" s="3" t="inlineStr">
        <is>
          <t>NON SALES</t>
        </is>
      </c>
    </row>
    <row r="510">
      <c r="A510" s="5" t="inlineStr">
        <is>
          <t>OP03216</t>
        </is>
      </c>
      <c r="B510" s="6" t="inlineStr">
        <is>
          <t>Agus</t>
        </is>
      </c>
      <c r="C510" s="7" t="inlineStr">
        <is>
          <t>AV - Agen Verified</t>
        </is>
      </c>
      <c r="D510" s="1" t="inlineStr">
        <is>
          <t>OP00049</t>
        </is>
      </c>
      <c r="E510" s="8" t="n">
        <v>44893.51319444444</v>
      </c>
      <c r="F510" s="7" t="inlineStr">
        <is>
          <t>DOWNLINE</t>
        </is>
      </c>
      <c r="G510" s="18" t="inlineStr">
        <is>
          <t>OP00049</t>
        </is>
      </c>
      <c r="H510" s="19">
        <f>UPPER(Table3[[#This Row],[Agen id]]&amp;"-"&amp;VLOOKUP(Table3[[#This Row],[Agen id]],A:B,2,0)&amp;"("&amp;Table3[[#This Row],[Short]]&amp;")")</f>
        <v/>
      </c>
      <c r="J510" s="7">
        <f>VLOOKUP(Table3[[#This Row],[Agen id]],Agen!A:C,3,0)</f>
        <v/>
      </c>
      <c r="K510" s="37">
        <f>TRIM(LEFT(Table3[[#This Row],[Group]],2))</f>
        <v/>
      </c>
      <c r="L510" s="3" t="inlineStr">
        <is>
          <t>NON SALES</t>
        </is>
      </c>
    </row>
    <row r="511">
      <c r="A511" s="5" t="inlineStr">
        <is>
          <t>OP03222</t>
        </is>
      </c>
      <c r="B511" s="6" t="inlineStr">
        <is>
          <t>Diansyah</t>
        </is>
      </c>
      <c r="C511" s="7" t="inlineStr">
        <is>
          <t>A - Agen</t>
        </is>
      </c>
      <c r="D511" s="1" t="inlineStr">
        <is>
          <t>OP03179</t>
        </is>
      </c>
      <c r="E511" s="8" t="n">
        <v>44893.54722222222</v>
      </c>
      <c r="F511" s="7" t="inlineStr">
        <is>
          <t>DOWNLINE</t>
        </is>
      </c>
      <c r="G511" s="18" t="inlineStr">
        <is>
          <t>OP03179</t>
        </is>
      </c>
      <c r="H511" s="19">
        <f>UPPER(Table3[[#This Row],[Agen id]]&amp;"-"&amp;VLOOKUP(Table3[[#This Row],[Agen id]],A:B,2,0)&amp;"("&amp;Table3[[#This Row],[Short]]&amp;")")</f>
        <v/>
      </c>
      <c r="J511" s="7">
        <f>VLOOKUP(Table3[[#This Row],[Agen id]],Agen!A:C,3,0)</f>
        <v/>
      </c>
      <c r="K511" s="37">
        <f>TRIM(LEFT(Table3[[#This Row],[Group]],2))</f>
        <v/>
      </c>
      <c r="L511" s="3" t="inlineStr">
        <is>
          <t>NON SALES</t>
        </is>
      </c>
    </row>
    <row r="512">
      <c r="A512" s="5" t="inlineStr">
        <is>
          <t>OP03223</t>
        </is>
      </c>
      <c r="B512" s="6" t="inlineStr">
        <is>
          <t>SUDARSONO</t>
        </is>
      </c>
      <c r="C512" s="7" t="inlineStr">
        <is>
          <t>A - Agen</t>
        </is>
      </c>
      <c r="D512" s="1" t="inlineStr">
        <is>
          <t>OP03215</t>
        </is>
      </c>
      <c r="E512" s="8" t="n">
        <v>44893.63611111111</v>
      </c>
      <c r="F512" s="7" t="inlineStr">
        <is>
          <t>DOWNLINE</t>
        </is>
      </c>
      <c r="G512" s="18" t="inlineStr">
        <is>
          <t>OP03179</t>
        </is>
      </c>
      <c r="H512" s="19">
        <f>UPPER(Table3[[#This Row],[Agen id]]&amp;"-"&amp;VLOOKUP(Table3[[#This Row],[Agen id]],A:B,2,0)&amp;"("&amp;Table3[[#This Row],[Short]]&amp;")")</f>
        <v/>
      </c>
      <c r="J512" s="7">
        <f>VLOOKUP(Table3[[#This Row],[Agen id]],Agen!A:C,3,0)</f>
        <v/>
      </c>
      <c r="K512" s="37">
        <f>TRIM(LEFT(Table3[[#This Row],[Group]],2))</f>
        <v/>
      </c>
      <c r="L512" s="3" t="inlineStr">
        <is>
          <t>NON SALES</t>
        </is>
      </c>
    </row>
    <row r="513">
      <c r="A513" s="5" t="inlineStr">
        <is>
          <t>OP03230</t>
        </is>
      </c>
      <c r="B513" s="6" t="inlineStr">
        <is>
          <t>R.A.CELL</t>
        </is>
      </c>
      <c r="C513" s="7" t="inlineStr">
        <is>
          <t>AV - Agen Verified</t>
        </is>
      </c>
      <c r="D513" s="1" t="inlineStr">
        <is>
          <t>OP00003</t>
        </is>
      </c>
      <c r="E513" s="8" t="n">
        <v>44894.57291666666</v>
      </c>
      <c r="F513" s="7" t="inlineStr">
        <is>
          <t>AGEN</t>
        </is>
      </c>
      <c r="G513" s="18" t="inlineStr">
        <is>
          <t>OP03230</t>
        </is>
      </c>
      <c r="H513" s="19">
        <f>UPPER(Table3[[#This Row],[Agen id]]&amp;"-"&amp;VLOOKUP(Table3[[#This Row],[Agen id]],A:B,2,0)&amp;"("&amp;Table3[[#This Row],[Short]]&amp;")")</f>
        <v/>
      </c>
      <c r="J513" s="7">
        <f>VLOOKUP(Table3[[#This Row],[Agen id]],Agen!A:C,3,0)</f>
        <v/>
      </c>
      <c r="K513" s="37">
        <f>TRIM(LEFT(Table3[[#This Row],[Group]],2))</f>
        <v/>
      </c>
      <c r="L513" s="3" t="inlineStr">
        <is>
          <t>NON SALES</t>
        </is>
      </c>
    </row>
    <row r="514">
      <c r="A514" s="5" t="inlineStr">
        <is>
          <t>OP03232</t>
        </is>
      </c>
      <c r="B514" s="6" t="inlineStr">
        <is>
          <t>Heri cell</t>
        </is>
      </c>
      <c r="C514" s="7" t="inlineStr">
        <is>
          <t>A - Agen</t>
        </is>
      </c>
      <c r="D514" s="1" t="inlineStr">
        <is>
          <t>OP00003</t>
        </is>
      </c>
      <c r="E514" s="8" t="n">
        <v>44894.70694444444</v>
      </c>
      <c r="F514" s="7" t="inlineStr">
        <is>
          <t>AGEN</t>
        </is>
      </c>
      <c r="G514" s="18" t="inlineStr">
        <is>
          <t>OP03232</t>
        </is>
      </c>
      <c r="H514" s="19">
        <f>UPPER(Table3[[#This Row],[Agen id]]&amp;"-"&amp;VLOOKUP(Table3[[#This Row],[Agen id]],A:B,2,0)&amp;"("&amp;Table3[[#This Row],[Short]]&amp;")")</f>
        <v/>
      </c>
      <c r="J514" s="7">
        <f>VLOOKUP(Table3[[#This Row],[Agen id]],Agen!A:C,3,0)</f>
        <v/>
      </c>
      <c r="K514" s="37">
        <f>TRIM(LEFT(Table3[[#This Row],[Group]],2))</f>
        <v/>
      </c>
      <c r="L514" s="3" t="inlineStr">
        <is>
          <t>NON SALES</t>
        </is>
      </c>
    </row>
    <row r="515">
      <c r="A515" s="5" t="inlineStr">
        <is>
          <t>OP03233</t>
        </is>
      </c>
      <c r="B515" s="6" t="inlineStr">
        <is>
          <t>Hindayani</t>
        </is>
      </c>
      <c r="C515" s="7" t="inlineStr">
        <is>
          <t>A - Agen</t>
        </is>
      </c>
      <c r="D515" s="1" t="inlineStr">
        <is>
          <t>OP03179</t>
        </is>
      </c>
      <c r="E515" s="8" t="n">
        <v>44894.71041666667</v>
      </c>
      <c r="F515" s="7" t="inlineStr">
        <is>
          <t>DOWNLINE</t>
        </is>
      </c>
      <c r="G515" s="18" t="inlineStr">
        <is>
          <t>OP03179</t>
        </is>
      </c>
      <c r="H515" s="19">
        <f>UPPER(Table3[[#This Row],[Agen id]]&amp;"-"&amp;VLOOKUP(Table3[[#This Row],[Agen id]],A:B,2,0)&amp;"("&amp;Table3[[#This Row],[Short]]&amp;")")</f>
        <v/>
      </c>
      <c r="J515" s="7">
        <f>VLOOKUP(Table3[[#This Row],[Agen id]],Agen!A:C,3,0)</f>
        <v/>
      </c>
      <c r="K515" s="37">
        <f>TRIM(LEFT(Table3[[#This Row],[Group]],2))</f>
        <v/>
      </c>
      <c r="L515" s="3" t="inlineStr">
        <is>
          <t>NON SALES</t>
        </is>
      </c>
    </row>
    <row r="516">
      <c r="A516" s="5" t="inlineStr">
        <is>
          <t>OP03235</t>
        </is>
      </c>
      <c r="B516" s="6" t="inlineStr">
        <is>
          <t>Pepi Nafiah</t>
        </is>
      </c>
      <c r="C516" s="7" t="inlineStr">
        <is>
          <t>A - Agen</t>
        </is>
      </c>
      <c r="D516" s="1" t="inlineStr">
        <is>
          <t>OP00996</t>
        </is>
      </c>
      <c r="E516" s="8" t="n">
        <v>44894.88333333333</v>
      </c>
      <c r="F516" s="7" t="inlineStr">
        <is>
          <t>DOWNLINE</t>
        </is>
      </c>
      <c r="G516" s="18" t="inlineStr">
        <is>
          <t>OP00996</t>
        </is>
      </c>
      <c r="H516" s="19">
        <f>UPPER(Table3[[#This Row],[Agen id]]&amp;"-"&amp;VLOOKUP(Table3[[#This Row],[Agen id]],A:B,2,0)&amp;"("&amp;Table3[[#This Row],[Short]]&amp;")")</f>
        <v/>
      </c>
      <c r="J516" s="7">
        <f>VLOOKUP(Table3[[#This Row],[Agen id]],Agen!A:C,3,0)</f>
        <v/>
      </c>
      <c r="K516" s="37">
        <f>TRIM(LEFT(Table3[[#This Row],[Group]],2))</f>
        <v/>
      </c>
      <c r="L516" s="3" t="inlineStr">
        <is>
          <t>NON SALES</t>
        </is>
      </c>
    </row>
    <row r="517">
      <c r="A517" s="5" t="inlineStr">
        <is>
          <t>OP03243</t>
        </is>
      </c>
      <c r="B517" s="6" t="inlineStr">
        <is>
          <t>Rokmahh cell</t>
        </is>
      </c>
      <c r="C517" s="7" t="inlineStr">
        <is>
          <t>AT1 - Agen Tangerang</t>
        </is>
      </c>
      <c r="D517" s="1" t="inlineStr">
        <is>
          <t>OP02233</t>
        </is>
      </c>
      <c r="E517" s="8" t="n">
        <v>44895.63402777778</v>
      </c>
      <c r="F517" s="7" t="inlineStr">
        <is>
          <t>DOWNLINE</t>
        </is>
      </c>
      <c r="G517" s="18" t="inlineStr">
        <is>
          <t>OP02233</t>
        </is>
      </c>
      <c r="H517" s="19">
        <f>UPPER(Table3[[#This Row],[Agen id]]&amp;"-"&amp;VLOOKUP(Table3[[#This Row],[Agen id]],A:B,2,0)&amp;"("&amp;Table3[[#This Row],[Short]]&amp;")")</f>
        <v/>
      </c>
      <c r="J517" s="7">
        <f>VLOOKUP(Table3[[#This Row],[Agen id]],Agen!A:C,3,0)</f>
        <v/>
      </c>
      <c r="K517" s="37">
        <f>TRIM(LEFT(Table3[[#This Row],[Group]],2))</f>
        <v/>
      </c>
      <c r="L517" s="3" t="inlineStr">
        <is>
          <t>NON SALES</t>
        </is>
      </c>
    </row>
    <row r="518">
      <c r="A518" s="5" t="inlineStr">
        <is>
          <t>OP03245</t>
        </is>
      </c>
      <c r="B518" s="6" t="inlineStr">
        <is>
          <t>Azkhya</t>
        </is>
      </c>
      <c r="C518" s="7" t="inlineStr">
        <is>
          <t>A - Agen</t>
        </is>
      </c>
      <c r="D518" s="1" t="inlineStr">
        <is>
          <t>OP00003</t>
        </is>
      </c>
      <c r="E518" s="8" t="n">
        <v>44895.78958333333</v>
      </c>
      <c r="F518" s="7" t="inlineStr">
        <is>
          <t>AGEN</t>
        </is>
      </c>
      <c r="G518" s="18" t="inlineStr">
        <is>
          <t>OP03245</t>
        </is>
      </c>
      <c r="H518" s="19">
        <f>UPPER(Table3[[#This Row],[Agen id]]&amp;"-"&amp;VLOOKUP(Table3[[#This Row],[Agen id]],A:B,2,0)&amp;"("&amp;Table3[[#This Row],[Short]]&amp;")")</f>
        <v/>
      </c>
      <c r="J518" s="7">
        <f>VLOOKUP(Table3[[#This Row],[Agen id]],Agen!A:C,3,0)</f>
        <v/>
      </c>
      <c r="K518" s="37">
        <f>TRIM(LEFT(Table3[[#This Row],[Group]],2))</f>
        <v/>
      </c>
      <c r="L518" s="3" t="inlineStr">
        <is>
          <t>NON SALES</t>
        </is>
      </c>
    </row>
    <row r="519">
      <c r="A519" s="5" t="inlineStr">
        <is>
          <t>OP03250</t>
        </is>
      </c>
      <c r="B519" s="6" t="inlineStr">
        <is>
          <t>maudi syahawa</t>
        </is>
      </c>
      <c r="C519" s="7" t="inlineStr">
        <is>
          <t>AV - Agen Verified</t>
        </is>
      </c>
      <c r="D519" s="1" t="inlineStr">
        <is>
          <t>OP00003</t>
        </is>
      </c>
      <c r="E519" s="8" t="n">
        <v>44895.91666666666</v>
      </c>
      <c r="F519" s="7" t="inlineStr">
        <is>
          <t>AGEN</t>
        </is>
      </c>
      <c r="G519" s="18" t="inlineStr">
        <is>
          <t>OP03250</t>
        </is>
      </c>
      <c r="H519" s="19">
        <f>UPPER(Table3[[#This Row],[Agen id]]&amp;"-"&amp;VLOOKUP(Table3[[#This Row],[Agen id]],A:B,2,0)&amp;"("&amp;Table3[[#This Row],[Short]]&amp;")")</f>
        <v/>
      </c>
      <c r="J519" s="7">
        <f>VLOOKUP(Table3[[#This Row],[Agen id]],Agen!A:C,3,0)</f>
        <v/>
      </c>
      <c r="K519" s="37">
        <f>TRIM(LEFT(Table3[[#This Row],[Group]],2))</f>
        <v/>
      </c>
      <c r="L519" s="3" t="inlineStr">
        <is>
          <t>NON SALES</t>
        </is>
      </c>
    </row>
    <row r="520">
      <c r="A520" s="5" t="inlineStr">
        <is>
          <t>OP03262</t>
        </is>
      </c>
      <c r="B520" s="6" t="inlineStr">
        <is>
          <t>RCS cisauk</t>
        </is>
      </c>
      <c r="C520" s="7" t="inlineStr">
        <is>
          <t>A - Agen</t>
        </is>
      </c>
      <c r="D520" s="1" t="inlineStr">
        <is>
          <t>OP00586</t>
        </is>
      </c>
      <c r="E520" s="8" t="n">
        <v>44896.61180555556</v>
      </c>
      <c r="F520" s="7" t="inlineStr">
        <is>
          <t>DOWNLINE</t>
        </is>
      </c>
      <c r="G520" s="18" t="inlineStr">
        <is>
          <t>OP00586</t>
        </is>
      </c>
      <c r="H520" s="19">
        <f>UPPER(Table3[[#This Row],[Agen id]]&amp;"-"&amp;VLOOKUP(Table3[[#This Row],[Agen id]],A:B,2,0)&amp;"("&amp;Table3[[#This Row],[Short]]&amp;")")</f>
        <v/>
      </c>
      <c r="J520" s="7">
        <f>VLOOKUP(Table3[[#This Row],[Agen id]],Agen!A:C,3,0)</f>
        <v/>
      </c>
      <c r="K520" s="37">
        <f>TRIM(LEFT(Table3[[#This Row],[Group]],2))</f>
        <v/>
      </c>
      <c r="L520" s="3" t="inlineStr">
        <is>
          <t>NON SALES</t>
        </is>
      </c>
    </row>
    <row r="521">
      <c r="A521" s="5" t="inlineStr">
        <is>
          <t>OP03265</t>
        </is>
      </c>
      <c r="B521" s="6" t="inlineStr">
        <is>
          <t>Pairus</t>
        </is>
      </c>
      <c r="C521" s="7" t="inlineStr">
        <is>
          <t>AT1 - Agen Tangerang</t>
        </is>
      </c>
      <c r="D521" s="1" t="inlineStr">
        <is>
          <t>OP00002</t>
        </is>
      </c>
      <c r="E521" s="8" t="n">
        <v>44896.65277777778</v>
      </c>
      <c r="F521" s="7" t="inlineStr">
        <is>
          <t>AGEN</t>
        </is>
      </c>
      <c r="G521" s="18" t="inlineStr">
        <is>
          <t>OP03265</t>
        </is>
      </c>
      <c r="H521" s="19">
        <f>UPPER(Table3[[#This Row],[Agen id]]&amp;"-"&amp;VLOOKUP(Table3[[#This Row],[Agen id]],A:B,2,0)&amp;"("&amp;Table3[[#This Row],[Short]]&amp;")")</f>
        <v/>
      </c>
      <c r="J521" s="7">
        <f>VLOOKUP(Table3[[#This Row],[Agen id]],Agen!A:C,3,0)</f>
        <v/>
      </c>
      <c r="K521" s="37">
        <f>TRIM(LEFT(Table3[[#This Row],[Group]],2))</f>
        <v/>
      </c>
      <c r="L521" s="3" t="inlineStr">
        <is>
          <t>NON SALES</t>
        </is>
      </c>
    </row>
    <row r="522">
      <c r="A522" s="5" t="inlineStr">
        <is>
          <t>OP03271</t>
        </is>
      </c>
      <c r="B522" s="6" t="inlineStr">
        <is>
          <t>asep juhana</t>
        </is>
      </c>
      <c r="C522" s="7" t="inlineStr">
        <is>
          <t>A - Agen</t>
        </is>
      </c>
      <c r="D522" s="1" t="inlineStr">
        <is>
          <t>OP00002</t>
        </is>
      </c>
      <c r="E522" s="8" t="n">
        <v>44896.69097222222</v>
      </c>
      <c r="F522" s="7" t="inlineStr">
        <is>
          <t>AGEN</t>
        </is>
      </c>
      <c r="G522" s="18" t="inlineStr">
        <is>
          <t>OP03271</t>
        </is>
      </c>
      <c r="H522" s="19">
        <f>UPPER(Table3[[#This Row],[Agen id]]&amp;"-"&amp;VLOOKUP(Table3[[#This Row],[Agen id]],A:B,2,0)&amp;"("&amp;Table3[[#This Row],[Short]]&amp;")")</f>
        <v/>
      </c>
      <c r="J522" s="7">
        <f>VLOOKUP(Table3[[#This Row],[Agen id]],Agen!A:C,3,0)</f>
        <v/>
      </c>
      <c r="K522" s="37">
        <f>TRIM(LEFT(Table3[[#This Row],[Group]],2))</f>
        <v/>
      </c>
      <c r="L522" s="3" t="inlineStr">
        <is>
          <t>NON SALES</t>
        </is>
      </c>
    </row>
    <row r="523">
      <c r="A523" s="5" t="inlineStr">
        <is>
          <t>OP03274</t>
        </is>
      </c>
      <c r="B523" s="6" t="inlineStr">
        <is>
          <t>Farhanubay</t>
        </is>
      </c>
      <c r="C523" s="7" t="inlineStr">
        <is>
          <t>A - Agen</t>
        </is>
      </c>
      <c r="D523" s="1" t="inlineStr">
        <is>
          <t>OP00002</t>
        </is>
      </c>
      <c r="E523" s="8" t="n">
        <v>44896.70972222222</v>
      </c>
      <c r="F523" s="7" t="inlineStr">
        <is>
          <t>AGEN</t>
        </is>
      </c>
      <c r="G523" s="18" t="inlineStr">
        <is>
          <t>OP03274</t>
        </is>
      </c>
      <c r="H523" s="19">
        <f>UPPER(Table3[[#This Row],[Agen id]]&amp;"-"&amp;VLOOKUP(Table3[[#This Row],[Agen id]],A:B,2,0)&amp;"("&amp;Table3[[#This Row],[Short]]&amp;")")</f>
        <v/>
      </c>
      <c r="J523" s="7">
        <f>VLOOKUP(Table3[[#This Row],[Agen id]],Agen!A:C,3,0)</f>
        <v/>
      </c>
      <c r="K523" s="37">
        <f>TRIM(LEFT(Table3[[#This Row],[Group]],2))</f>
        <v/>
      </c>
      <c r="L523" s="3" t="inlineStr">
        <is>
          <t>NON SALES</t>
        </is>
      </c>
    </row>
    <row r="524">
      <c r="A524" s="5" t="inlineStr">
        <is>
          <t>OP03298</t>
        </is>
      </c>
      <c r="B524" s="6" t="inlineStr">
        <is>
          <t>Wulan</t>
        </is>
      </c>
      <c r="C524" s="7" t="inlineStr">
        <is>
          <t>A - Agen</t>
        </is>
      </c>
      <c r="D524" s="1" t="inlineStr">
        <is>
          <t>OP00002</t>
        </is>
      </c>
      <c r="E524" s="8" t="n">
        <v>44897.09513888889</v>
      </c>
      <c r="F524" s="7" t="inlineStr">
        <is>
          <t>AGEN</t>
        </is>
      </c>
      <c r="G524" s="18" t="inlineStr">
        <is>
          <t>OP03298</t>
        </is>
      </c>
      <c r="H524" s="19">
        <f>UPPER(Table3[[#This Row],[Agen id]]&amp;"-"&amp;VLOOKUP(Table3[[#This Row],[Agen id]],A:B,2,0)&amp;"("&amp;Table3[[#This Row],[Short]]&amp;")")</f>
        <v/>
      </c>
      <c r="J524" s="7">
        <f>VLOOKUP(Table3[[#This Row],[Agen id]],Agen!A:C,3,0)</f>
        <v/>
      </c>
      <c r="K524" s="37">
        <f>TRIM(LEFT(Table3[[#This Row],[Group]],2))</f>
        <v/>
      </c>
      <c r="L524" s="3" t="inlineStr">
        <is>
          <t>NON SALES</t>
        </is>
      </c>
    </row>
    <row r="525">
      <c r="A525" s="5" t="inlineStr">
        <is>
          <t>OP03315</t>
        </is>
      </c>
      <c r="B525" s="6" t="inlineStr">
        <is>
          <t>Adicell</t>
        </is>
      </c>
      <c r="C525" s="7" t="inlineStr">
        <is>
          <t>MK - Marketing</t>
        </is>
      </c>
      <c r="D525" s="1" t="inlineStr">
        <is>
          <t>OP00002</t>
        </is>
      </c>
      <c r="E525" s="8" t="n">
        <v>44897.43263888889</v>
      </c>
      <c r="F525" s="7" t="inlineStr">
        <is>
          <t>AGEN</t>
        </is>
      </c>
      <c r="G525" s="18" t="inlineStr">
        <is>
          <t>OP03315</t>
        </is>
      </c>
      <c r="H525" s="19">
        <f>UPPER(Table3[[#This Row],[Agen id]]&amp;"-"&amp;VLOOKUP(Table3[[#This Row],[Agen id]],A:B,2,0)&amp;"("&amp;Table3[[#This Row],[Short]]&amp;")")</f>
        <v/>
      </c>
      <c r="J525" s="7">
        <f>VLOOKUP(Table3[[#This Row],[Agen id]],Agen!A:C,3,0)</f>
        <v/>
      </c>
      <c r="K525" s="37">
        <f>TRIM(LEFT(Table3[[#This Row],[Group]],2))</f>
        <v/>
      </c>
      <c r="L525" s="3" t="inlineStr">
        <is>
          <t>NON SALES</t>
        </is>
      </c>
    </row>
    <row r="526">
      <c r="A526" s="5" t="inlineStr">
        <is>
          <t>OP03321</t>
        </is>
      </c>
      <c r="B526" s="6" t="inlineStr">
        <is>
          <t>Basma Haifa Hanif</t>
        </is>
      </c>
      <c r="C526" s="7" t="inlineStr">
        <is>
          <t>A - Agen</t>
        </is>
      </c>
      <c r="D526" s="1" t="inlineStr">
        <is>
          <t>OP00002</t>
        </is>
      </c>
      <c r="E526" s="8" t="n">
        <v>44897.47569444445</v>
      </c>
      <c r="F526" s="7" t="inlineStr">
        <is>
          <t>AGEN</t>
        </is>
      </c>
      <c r="G526" s="18" t="inlineStr">
        <is>
          <t>OP03321</t>
        </is>
      </c>
      <c r="H526" s="19">
        <f>UPPER(Table3[[#This Row],[Agen id]]&amp;"-"&amp;VLOOKUP(Table3[[#This Row],[Agen id]],A:B,2,0)&amp;"("&amp;Table3[[#This Row],[Short]]&amp;")")</f>
        <v/>
      </c>
      <c r="J526" s="7">
        <f>VLOOKUP(Table3[[#This Row],[Agen id]],Agen!A:C,3,0)</f>
        <v/>
      </c>
      <c r="K526" s="37">
        <f>TRIM(LEFT(Table3[[#This Row],[Group]],2))</f>
        <v/>
      </c>
      <c r="L526" s="3" t="inlineStr">
        <is>
          <t>NON SALES</t>
        </is>
      </c>
    </row>
    <row r="527">
      <c r="A527" s="5" t="inlineStr">
        <is>
          <t>OP03326</t>
        </is>
      </c>
      <c r="B527" s="6" t="inlineStr">
        <is>
          <t>Vuahcell</t>
        </is>
      </c>
      <c r="C527" s="7" t="inlineStr">
        <is>
          <t>A - Agen</t>
        </is>
      </c>
      <c r="D527" s="1" t="inlineStr">
        <is>
          <t>OP00051</t>
        </is>
      </c>
      <c r="E527" s="8" t="n">
        <v>44897.52291666667</v>
      </c>
      <c r="F527" s="7" t="inlineStr">
        <is>
          <t>DOWNLINE</t>
        </is>
      </c>
      <c r="G527" s="18" t="inlineStr">
        <is>
          <t>OP00051</t>
        </is>
      </c>
      <c r="H527" s="19">
        <f>UPPER(Table3[[#This Row],[Agen id]]&amp;"-"&amp;VLOOKUP(Table3[[#This Row],[Agen id]],A:B,2,0)&amp;"("&amp;Table3[[#This Row],[Short]]&amp;")")</f>
        <v/>
      </c>
      <c r="J527" s="7">
        <f>VLOOKUP(Table3[[#This Row],[Agen id]],Agen!A:C,3,0)</f>
        <v/>
      </c>
      <c r="K527" s="37">
        <f>TRIM(LEFT(Table3[[#This Row],[Group]],2))</f>
        <v/>
      </c>
      <c r="L527" s="3" t="inlineStr">
        <is>
          <t>NON SALES</t>
        </is>
      </c>
    </row>
    <row r="528">
      <c r="A528" s="5" t="inlineStr">
        <is>
          <t>OP03331</t>
        </is>
      </c>
      <c r="B528" s="6" t="inlineStr">
        <is>
          <t>anisacell</t>
        </is>
      </c>
      <c r="C528" s="7" t="inlineStr">
        <is>
          <t>A - Agen</t>
        </is>
      </c>
      <c r="D528" s="1" t="inlineStr">
        <is>
          <t>OP00002</t>
        </is>
      </c>
      <c r="E528" s="8" t="n">
        <v>44897.60138888889</v>
      </c>
      <c r="F528" s="7" t="inlineStr">
        <is>
          <t>AGEN</t>
        </is>
      </c>
      <c r="G528" s="18" t="inlineStr">
        <is>
          <t>OP03331</t>
        </is>
      </c>
      <c r="H528" s="19">
        <f>UPPER(Table3[[#This Row],[Agen id]]&amp;"-"&amp;VLOOKUP(Table3[[#This Row],[Agen id]],A:B,2,0)&amp;"("&amp;Table3[[#This Row],[Short]]&amp;")")</f>
        <v/>
      </c>
      <c r="J528" s="7">
        <f>VLOOKUP(Table3[[#This Row],[Agen id]],Agen!A:C,3,0)</f>
        <v/>
      </c>
      <c r="K528" s="37">
        <f>TRIM(LEFT(Table3[[#This Row],[Group]],2))</f>
        <v/>
      </c>
      <c r="L528" s="3" t="inlineStr">
        <is>
          <t>NON SALES</t>
        </is>
      </c>
    </row>
    <row r="529">
      <c r="A529" s="5" t="inlineStr">
        <is>
          <t>OP03338</t>
        </is>
      </c>
      <c r="B529" s="6" t="inlineStr">
        <is>
          <t>Rizky Pradipta</t>
        </is>
      </c>
      <c r="C529" s="7" t="inlineStr">
        <is>
          <t>A - Agen</t>
        </is>
      </c>
      <c r="D529" s="1" t="inlineStr">
        <is>
          <t>OP00003</t>
        </is>
      </c>
      <c r="E529" s="8" t="n">
        <v>44897.65486111111</v>
      </c>
      <c r="F529" s="7" t="inlineStr">
        <is>
          <t>AGEN</t>
        </is>
      </c>
      <c r="G529" s="18" t="inlineStr">
        <is>
          <t>OP03338</t>
        </is>
      </c>
      <c r="H529" s="19">
        <f>UPPER(Table3[[#This Row],[Agen id]]&amp;"-"&amp;VLOOKUP(Table3[[#This Row],[Agen id]],A:B,2,0)&amp;"("&amp;Table3[[#This Row],[Short]]&amp;")")</f>
        <v/>
      </c>
      <c r="J529" s="7">
        <f>VLOOKUP(Table3[[#This Row],[Agen id]],Agen!A:C,3,0)</f>
        <v/>
      </c>
      <c r="K529" s="37">
        <f>TRIM(LEFT(Table3[[#This Row],[Group]],2))</f>
        <v/>
      </c>
      <c r="L529" s="3" t="inlineStr">
        <is>
          <t>NON SALES</t>
        </is>
      </c>
    </row>
    <row r="530">
      <c r="A530" s="5" t="inlineStr">
        <is>
          <t>OP03362</t>
        </is>
      </c>
      <c r="B530" s="6" t="inlineStr">
        <is>
          <t>Babang</t>
        </is>
      </c>
      <c r="C530" s="7" t="inlineStr">
        <is>
          <t>A - Agen</t>
        </is>
      </c>
      <c r="D530" s="1" t="inlineStr">
        <is>
          <t>OP00002</t>
        </is>
      </c>
      <c r="E530" s="8" t="n">
        <v>44898.53958333333</v>
      </c>
      <c r="F530" s="7" t="inlineStr">
        <is>
          <t>AGEN</t>
        </is>
      </c>
      <c r="G530" s="18" t="inlineStr">
        <is>
          <t>OP03362</t>
        </is>
      </c>
      <c r="H530" s="19">
        <f>UPPER(Table3[[#This Row],[Agen id]]&amp;"-"&amp;VLOOKUP(Table3[[#This Row],[Agen id]],A:B,2,0)&amp;"("&amp;Table3[[#This Row],[Short]]&amp;")")</f>
        <v/>
      </c>
      <c r="J530" s="7">
        <f>VLOOKUP(Table3[[#This Row],[Agen id]],Agen!A:C,3,0)</f>
        <v/>
      </c>
      <c r="K530" s="37">
        <f>TRIM(LEFT(Table3[[#This Row],[Group]],2))</f>
        <v/>
      </c>
      <c r="L530" s="3" t="inlineStr">
        <is>
          <t>NON SALES</t>
        </is>
      </c>
    </row>
    <row r="531">
      <c r="A531" s="5" t="inlineStr">
        <is>
          <t>OP03367</t>
        </is>
      </c>
      <c r="B531" s="6" t="inlineStr">
        <is>
          <t>TyassCell</t>
        </is>
      </c>
      <c r="C531" s="7" t="inlineStr">
        <is>
          <t>A - Agen</t>
        </is>
      </c>
      <c r="D531" s="1" t="inlineStr">
        <is>
          <t>OP00002</t>
        </is>
      </c>
      <c r="E531" s="8" t="n">
        <v>44898.62708333333</v>
      </c>
      <c r="F531" s="7" t="inlineStr">
        <is>
          <t>AGEN</t>
        </is>
      </c>
      <c r="G531" s="18" t="inlineStr">
        <is>
          <t>OP03367</t>
        </is>
      </c>
      <c r="H531" s="19">
        <f>UPPER(Table3[[#This Row],[Agen id]]&amp;"-"&amp;VLOOKUP(Table3[[#This Row],[Agen id]],A:B,2,0)&amp;"("&amp;Table3[[#This Row],[Short]]&amp;")")</f>
        <v/>
      </c>
      <c r="J531" s="7">
        <f>VLOOKUP(Table3[[#This Row],[Agen id]],Agen!A:C,3,0)</f>
        <v/>
      </c>
      <c r="K531" s="37">
        <f>TRIM(LEFT(Table3[[#This Row],[Group]],2))</f>
        <v/>
      </c>
      <c r="L531" s="3" t="inlineStr">
        <is>
          <t>NON SALES</t>
        </is>
      </c>
    </row>
    <row r="532">
      <c r="A532" s="5" t="inlineStr">
        <is>
          <t>OP03369</t>
        </is>
      </c>
      <c r="B532" s="6" t="inlineStr">
        <is>
          <t>yani</t>
        </is>
      </c>
      <c r="C532" s="7" t="inlineStr">
        <is>
          <t>A - Agen</t>
        </is>
      </c>
      <c r="D532" s="1" t="inlineStr">
        <is>
          <t>OP00002</t>
        </is>
      </c>
      <c r="E532" s="8" t="n">
        <v>44898.67083333333</v>
      </c>
      <c r="F532" s="7" t="inlineStr">
        <is>
          <t>AGEN</t>
        </is>
      </c>
      <c r="G532" s="18" t="inlineStr">
        <is>
          <t>OP03369</t>
        </is>
      </c>
      <c r="H532" s="19">
        <f>UPPER(Table3[[#This Row],[Agen id]]&amp;"-"&amp;VLOOKUP(Table3[[#This Row],[Agen id]],A:B,2,0)&amp;"("&amp;Table3[[#This Row],[Short]]&amp;")")</f>
        <v/>
      </c>
      <c r="J532" s="7">
        <f>VLOOKUP(Table3[[#This Row],[Agen id]],Agen!A:C,3,0)</f>
        <v/>
      </c>
      <c r="K532" s="37">
        <f>TRIM(LEFT(Table3[[#This Row],[Group]],2))</f>
        <v/>
      </c>
      <c r="L532" s="3" t="inlineStr">
        <is>
          <t>NON SALES</t>
        </is>
      </c>
    </row>
    <row r="533">
      <c r="A533" s="5" t="inlineStr">
        <is>
          <t>OP03372</t>
        </is>
      </c>
      <c r="B533" s="6" t="inlineStr">
        <is>
          <t>Rohman</t>
        </is>
      </c>
      <c r="C533" s="7" t="inlineStr">
        <is>
          <t>AV - Agen Verified</t>
        </is>
      </c>
      <c r="D533" s="1" t="inlineStr">
        <is>
          <t>OP00003</t>
        </is>
      </c>
      <c r="E533" s="8" t="n">
        <v>44898.74305555555</v>
      </c>
      <c r="F533" s="7" t="inlineStr">
        <is>
          <t>AGEN</t>
        </is>
      </c>
      <c r="G533" s="18" t="inlineStr">
        <is>
          <t>OP03372</t>
        </is>
      </c>
      <c r="H533" s="19">
        <f>UPPER(Table3[[#This Row],[Agen id]]&amp;"-"&amp;VLOOKUP(Table3[[#This Row],[Agen id]],A:B,2,0)&amp;"("&amp;Table3[[#This Row],[Short]]&amp;")")</f>
        <v/>
      </c>
      <c r="J533" s="7">
        <f>VLOOKUP(Table3[[#This Row],[Agen id]],Agen!A:C,3,0)</f>
        <v/>
      </c>
      <c r="K533" s="37">
        <f>TRIM(LEFT(Table3[[#This Row],[Group]],2))</f>
        <v/>
      </c>
      <c r="L533" s="3" t="inlineStr">
        <is>
          <t>NON SALES</t>
        </is>
      </c>
    </row>
    <row r="534">
      <c r="A534" s="5" t="inlineStr">
        <is>
          <t>OP03375</t>
        </is>
      </c>
      <c r="B534" s="6" t="inlineStr">
        <is>
          <t>Abdul rahman</t>
        </is>
      </c>
      <c r="C534" s="7" t="inlineStr">
        <is>
          <t>A - Agen</t>
        </is>
      </c>
      <c r="D534" s="1" t="inlineStr">
        <is>
          <t>OP00002</t>
        </is>
      </c>
      <c r="E534" s="8" t="n">
        <v>44898.77916666667</v>
      </c>
      <c r="F534" s="7" t="inlineStr">
        <is>
          <t>AGEN</t>
        </is>
      </c>
      <c r="G534" s="18" t="inlineStr">
        <is>
          <t>OP03375</t>
        </is>
      </c>
      <c r="H534" s="19">
        <f>UPPER(Table3[[#This Row],[Agen id]]&amp;"-"&amp;VLOOKUP(Table3[[#This Row],[Agen id]],A:B,2,0)&amp;"("&amp;Table3[[#This Row],[Short]]&amp;")")</f>
        <v/>
      </c>
      <c r="J534" s="7">
        <f>VLOOKUP(Table3[[#This Row],[Agen id]],Agen!A:C,3,0)</f>
        <v/>
      </c>
      <c r="K534" s="37">
        <f>TRIM(LEFT(Table3[[#This Row],[Group]],2))</f>
        <v/>
      </c>
      <c r="L534" s="3" t="inlineStr">
        <is>
          <t>NON SALES</t>
        </is>
      </c>
    </row>
    <row r="535">
      <c r="A535" s="5" t="inlineStr">
        <is>
          <t>OP03376</t>
        </is>
      </c>
      <c r="B535" s="6" t="inlineStr">
        <is>
          <t>RINI HANDAYANI</t>
        </is>
      </c>
      <c r="C535" s="7" t="inlineStr">
        <is>
          <t>A - Agen</t>
        </is>
      </c>
      <c r="D535" s="1" t="inlineStr">
        <is>
          <t>OP00615</t>
        </is>
      </c>
      <c r="E535" s="8" t="n">
        <v>44898.80694444444</v>
      </c>
      <c r="F535" s="7" t="inlineStr">
        <is>
          <t>DOWNLINE</t>
        </is>
      </c>
      <c r="G535" s="18" t="inlineStr">
        <is>
          <t>OP00049</t>
        </is>
      </c>
      <c r="H535" s="19">
        <f>UPPER(Table3[[#This Row],[Agen id]]&amp;"-"&amp;VLOOKUP(Table3[[#This Row],[Agen id]],A:B,2,0)&amp;"("&amp;Table3[[#This Row],[Short]]&amp;")")</f>
        <v/>
      </c>
      <c r="J535" s="7">
        <f>VLOOKUP(Table3[[#This Row],[Agen id]],Agen!A:C,3,0)</f>
        <v/>
      </c>
      <c r="K535" s="37">
        <f>TRIM(LEFT(Table3[[#This Row],[Group]],2))</f>
        <v/>
      </c>
      <c r="L535" s="3" t="inlineStr">
        <is>
          <t>NON SALES</t>
        </is>
      </c>
    </row>
    <row r="536">
      <c r="A536" s="5" t="inlineStr">
        <is>
          <t>OP03387</t>
        </is>
      </c>
      <c r="B536" s="6" t="inlineStr">
        <is>
          <t>Fahri Cell</t>
        </is>
      </c>
      <c r="C536" s="7" t="inlineStr">
        <is>
          <t>A - Agen</t>
        </is>
      </c>
      <c r="D536" s="1" t="inlineStr">
        <is>
          <t>OP00003</t>
        </is>
      </c>
      <c r="E536" s="8" t="n">
        <v>44899.34375</v>
      </c>
      <c r="F536" s="7" t="inlineStr">
        <is>
          <t>AGEN</t>
        </is>
      </c>
      <c r="G536" s="18" t="inlineStr">
        <is>
          <t>OP03387</t>
        </is>
      </c>
      <c r="H536" s="19">
        <f>UPPER(Table3[[#This Row],[Agen id]]&amp;"-"&amp;VLOOKUP(Table3[[#This Row],[Agen id]],A:B,2,0)&amp;"("&amp;Table3[[#This Row],[Short]]&amp;")")</f>
        <v/>
      </c>
      <c r="J536" s="7">
        <f>VLOOKUP(Table3[[#This Row],[Agen id]],Agen!A:C,3,0)</f>
        <v/>
      </c>
      <c r="K536" s="37">
        <f>TRIM(LEFT(Table3[[#This Row],[Group]],2))</f>
        <v/>
      </c>
      <c r="L536" s="3" t="inlineStr">
        <is>
          <t>NON SALES</t>
        </is>
      </c>
    </row>
    <row r="537">
      <c r="A537" s="5" t="inlineStr">
        <is>
          <t>OP03394</t>
        </is>
      </c>
      <c r="B537" s="6" t="inlineStr">
        <is>
          <t>adi1</t>
        </is>
      </c>
      <c r="C537" s="7" t="inlineStr">
        <is>
          <t>AV - Agen Verified</t>
        </is>
      </c>
      <c r="D537" s="1" t="inlineStr">
        <is>
          <t>OP03315</t>
        </is>
      </c>
      <c r="E537" s="8" t="n">
        <v>44899.62638888889</v>
      </c>
      <c r="F537" s="7" t="inlineStr">
        <is>
          <t>DOWNLINE</t>
        </is>
      </c>
      <c r="G537" s="18" t="inlineStr">
        <is>
          <t>OP03315</t>
        </is>
      </c>
      <c r="H537" s="19">
        <f>UPPER(Table3[[#This Row],[Agen id]]&amp;"-"&amp;VLOOKUP(Table3[[#This Row],[Agen id]],A:B,2,0)&amp;"("&amp;Table3[[#This Row],[Short]]&amp;")")</f>
        <v/>
      </c>
      <c r="J537" s="7">
        <f>VLOOKUP(Table3[[#This Row],[Agen id]],Agen!A:C,3,0)</f>
        <v/>
      </c>
      <c r="K537" s="37">
        <f>TRIM(LEFT(Table3[[#This Row],[Group]],2))</f>
        <v/>
      </c>
      <c r="L537" s="3" t="inlineStr">
        <is>
          <t>NON SALES</t>
        </is>
      </c>
    </row>
    <row r="538">
      <c r="A538" s="5" t="inlineStr">
        <is>
          <t>OP03398</t>
        </is>
      </c>
      <c r="B538" s="6" t="inlineStr">
        <is>
          <t>Memetd</t>
        </is>
      </c>
      <c r="C538" s="7" t="inlineStr">
        <is>
          <t>A - Agen</t>
        </is>
      </c>
      <c r="D538" s="1" t="inlineStr">
        <is>
          <t>OP00002</t>
        </is>
      </c>
      <c r="E538" s="8" t="n">
        <v>44899.79097222222</v>
      </c>
      <c r="F538" s="7" t="inlineStr">
        <is>
          <t>AGEN</t>
        </is>
      </c>
      <c r="G538" s="18" t="inlineStr">
        <is>
          <t>OP03398</t>
        </is>
      </c>
      <c r="H538" s="19">
        <f>UPPER(Table3[[#This Row],[Agen id]]&amp;"-"&amp;VLOOKUP(Table3[[#This Row],[Agen id]],A:B,2,0)&amp;"("&amp;Table3[[#This Row],[Short]]&amp;")")</f>
        <v/>
      </c>
      <c r="J538" s="7">
        <f>VLOOKUP(Table3[[#This Row],[Agen id]],Agen!A:C,3,0)</f>
        <v/>
      </c>
      <c r="K538" s="37">
        <f>TRIM(LEFT(Table3[[#This Row],[Group]],2))</f>
        <v/>
      </c>
      <c r="L538" s="3" t="inlineStr">
        <is>
          <t>NON SALES</t>
        </is>
      </c>
    </row>
    <row r="539">
      <c r="A539" s="5" t="inlineStr">
        <is>
          <t>OP03400</t>
        </is>
      </c>
      <c r="B539" s="6" t="inlineStr">
        <is>
          <t>Bintang cell</t>
        </is>
      </c>
      <c r="C539" s="7" t="inlineStr">
        <is>
          <t>AV - Agen Verified</t>
        </is>
      </c>
      <c r="D539" s="1" t="inlineStr">
        <is>
          <t>OP00002</t>
        </is>
      </c>
      <c r="E539" s="8" t="n">
        <v>44899.82291666666</v>
      </c>
      <c r="F539" s="7" t="inlineStr">
        <is>
          <t>AGEN</t>
        </is>
      </c>
      <c r="G539" s="18" t="inlineStr">
        <is>
          <t>OP03400</t>
        </is>
      </c>
      <c r="H539" s="19">
        <f>UPPER(Table3[[#This Row],[Agen id]]&amp;"-"&amp;VLOOKUP(Table3[[#This Row],[Agen id]],A:B,2,0)&amp;"("&amp;Table3[[#This Row],[Short]]&amp;")")</f>
        <v/>
      </c>
      <c r="J539" s="7">
        <f>VLOOKUP(Table3[[#This Row],[Agen id]],Agen!A:C,3,0)</f>
        <v/>
      </c>
      <c r="K539" s="37">
        <f>TRIM(LEFT(Table3[[#This Row],[Group]],2))</f>
        <v/>
      </c>
      <c r="L539" s="3" t="inlineStr">
        <is>
          <t>NON SALES</t>
        </is>
      </c>
    </row>
    <row r="540">
      <c r="A540" s="5" t="inlineStr">
        <is>
          <t>OP03422</t>
        </is>
      </c>
      <c r="B540" s="6" t="inlineStr">
        <is>
          <t>dian mbroott</t>
        </is>
      </c>
      <c r="C540" s="7" t="inlineStr">
        <is>
          <t>A - Agen</t>
        </is>
      </c>
      <c r="D540" s="1" t="inlineStr">
        <is>
          <t>OP00848</t>
        </is>
      </c>
      <c r="E540" s="8" t="n">
        <v>44900.39652777778</v>
      </c>
      <c r="F540" s="7" t="inlineStr">
        <is>
          <t>DOWNLINE</t>
        </is>
      </c>
      <c r="G540" s="18" t="inlineStr">
        <is>
          <t>OP00848</t>
        </is>
      </c>
      <c r="H540" s="19">
        <f>UPPER(Table3[[#This Row],[Agen id]]&amp;"-"&amp;VLOOKUP(Table3[[#This Row],[Agen id]],A:B,2,0)&amp;"("&amp;Table3[[#This Row],[Short]]&amp;")")</f>
        <v/>
      </c>
      <c r="J540" s="7">
        <f>VLOOKUP(Table3[[#This Row],[Agen id]],Agen!A:C,3,0)</f>
        <v/>
      </c>
      <c r="K540" s="37">
        <f>TRIM(LEFT(Table3[[#This Row],[Group]],2))</f>
        <v/>
      </c>
      <c r="L540" s="3" t="inlineStr">
        <is>
          <t>NON SALES</t>
        </is>
      </c>
    </row>
    <row r="541">
      <c r="A541" s="5" t="inlineStr">
        <is>
          <t>OP03425</t>
        </is>
      </c>
      <c r="B541" s="6" t="inlineStr">
        <is>
          <t>Legino</t>
        </is>
      </c>
      <c r="C541" s="7" t="inlineStr">
        <is>
          <t>A - Agen</t>
        </is>
      </c>
      <c r="D541" s="1" t="inlineStr">
        <is>
          <t>OP00003</t>
        </is>
      </c>
      <c r="E541" s="8" t="n">
        <v>44900.48472222222</v>
      </c>
      <c r="F541" s="7" t="inlineStr">
        <is>
          <t>AGEN</t>
        </is>
      </c>
      <c r="G541" s="18" t="inlineStr">
        <is>
          <t>OP03425</t>
        </is>
      </c>
      <c r="H541" s="19">
        <f>UPPER(Table3[[#This Row],[Agen id]]&amp;"-"&amp;VLOOKUP(Table3[[#This Row],[Agen id]],A:B,2,0)&amp;"("&amp;Table3[[#This Row],[Short]]&amp;")")</f>
        <v/>
      </c>
      <c r="J541" s="7">
        <f>VLOOKUP(Table3[[#This Row],[Agen id]],Agen!A:C,3,0)</f>
        <v/>
      </c>
      <c r="K541" s="37">
        <f>TRIM(LEFT(Table3[[#This Row],[Group]],2))</f>
        <v/>
      </c>
      <c r="L541" s="3" t="inlineStr">
        <is>
          <t>NON SALES</t>
        </is>
      </c>
    </row>
    <row r="542">
      <c r="A542" s="5" t="inlineStr">
        <is>
          <t>OP03426</t>
        </is>
      </c>
      <c r="B542" s="6" t="inlineStr">
        <is>
          <t>Takbir</t>
        </is>
      </c>
      <c r="C542" s="7" t="inlineStr">
        <is>
          <t>AV - Agen Verified</t>
        </is>
      </c>
      <c r="D542" s="1" t="inlineStr">
        <is>
          <t>OP00002</t>
        </is>
      </c>
      <c r="E542" s="8" t="n">
        <v>44900.52222222222</v>
      </c>
      <c r="F542" s="7" t="inlineStr">
        <is>
          <t>AGEN</t>
        </is>
      </c>
      <c r="G542" s="18" t="inlineStr">
        <is>
          <t>OP03426</t>
        </is>
      </c>
      <c r="H542" s="19">
        <f>UPPER(Table3[[#This Row],[Agen id]]&amp;"-"&amp;VLOOKUP(Table3[[#This Row],[Agen id]],A:B,2,0)&amp;"("&amp;Table3[[#This Row],[Short]]&amp;")")</f>
        <v/>
      </c>
      <c r="J542" s="7">
        <f>VLOOKUP(Table3[[#This Row],[Agen id]],Agen!A:C,3,0)</f>
        <v/>
      </c>
      <c r="K542" s="37">
        <f>TRIM(LEFT(Table3[[#This Row],[Group]],2))</f>
        <v/>
      </c>
      <c r="L542" s="3" t="inlineStr">
        <is>
          <t>NON SALES</t>
        </is>
      </c>
    </row>
    <row r="543">
      <c r="A543" s="5" t="inlineStr">
        <is>
          <t>OP03445</t>
        </is>
      </c>
      <c r="B543" s="6" t="inlineStr">
        <is>
          <t>ismail</t>
        </is>
      </c>
      <c r="C543" s="7" t="inlineStr">
        <is>
          <t>A - Agen</t>
        </is>
      </c>
      <c r="D543" s="1" t="inlineStr">
        <is>
          <t>OP00002</t>
        </is>
      </c>
      <c r="E543" s="8" t="n">
        <v>44901.28958333333</v>
      </c>
      <c r="F543" s="7" t="inlineStr">
        <is>
          <t>AGEN</t>
        </is>
      </c>
      <c r="G543" s="18" t="inlineStr">
        <is>
          <t>OP03445</t>
        </is>
      </c>
      <c r="H543" s="19">
        <f>UPPER(Table3[[#This Row],[Agen id]]&amp;"-"&amp;VLOOKUP(Table3[[#This Row],[Agen id]],A:B,2,0)&amp;"("&amp;Table3[[#This Row],[Short]]&amp;")")</f>
        <v/>
      </c>
      <c r="J543" s="7">
        <f>VLOOKUP(Table3[[#This Row],[Agen id]],Agen!A:C,3,0)</f>
        <v/>
      </c>
      <c r="K543" s="37">
        <f>TRIM(LEFT(Table3[[#This Row],[Group]],2))</f>
        <v/>
      </c>
      <c r="L543" s="3" t="inlineStr">
        <is>
          <t>NON SALES</t>
        </is>
      </c>
    </row>
    <row r="544">
      <c r="A544" s="5" t="inlineStr">
        <is>
          <t>OP03461</t>
        </is>
      </c>
      <c r="B544" s="6" t="inlineStr">
        <is>
          <t>SALAM</t>
        </is>
      </c>
      <c r="C544" s="7" t="inlineStr">
        <is>
          <t>AT1 - Agen Tangerang</t>
        </is>
      </c>
      <c r="D544" s="1" t="inlineStr">
        <is>
          <t>OP00002</t>
        </is>
      </c>
      <c r="E544" s="8" t="n">
        <v>44901.69861111111</v>
      </c>
      <c r="F544" s="7" t="inlineStr">
        <is>
          <t>AGEN</t>
        </is>
      </c>
      <c r="G544" s="18" t="inlineStr">
        <is>
          <t>OP03461</t>
        </is>
      </c>
      <c r="H544" s="19">
        <f>UPPER(Table3[[#This Row],[Agen id]]&amp;"-"&amp;VLOOKUP(Table3[[#This Row],[Agen id]],A:B,2,0)&amp;"("&amp;Table3[[#This Row],[Short]]&amp;")")</f>
        <v/>
      </c>
      <c r="J544" s="7">
        <f>VLOOKUP(Table3[[#This Row],[Agen id]],Agen!A:C,3,0)</f>
        <v/>
      </c>
      <c r="K544" s="37">
        <f>TRIM(LEFT(Table3[[#This Row],[Group]],2))</f>
        <v/>
      </c>
      <c r="L544" s="3" t="inlineStr">
        <is>
          <t>NON SALES</t>
        </is>
      </c>
    </row>
    <row r="545">
      <c r="A545" s="5" t="inlineStr">
        <is>
          <t>OP03470</t>
        </is>
      </c>
      <c r="B545" s="6" t="inlineStr">
        <is>
          <t>Muh yusuf</t>
        </is>
      </c>
      <c r="C545" s="7" t="inlineStr">
        <is>
          <t>A - Agen</t>
        </is>
      </c>
      <c r="D545" s="1" t="inlineStr">
        <is>
          <t>OP00002</t>
        </is>
      </c>
      <c r="E545" s="8" t="n">
        <v>44902.08541666667</v>
      </c>
      <c r="F545" s="7" t="inlineStr">
        <is>
          <t>AGEN</t>
        </is>
      </c>
      <c r="G545" s="18" t="inlineStr">
        <is>
          <t>OP03470</t>
        </is>
      </c>
      <c r="H545" s="19">
        <f>UPPER(Table3[[#This Row],[Agen id]]&amp;"-"&amp;VLOOKUP(Table3[[#This Row],[Agen id]],A:B,2,0)&amp;"("&amp;Table3[[#This Row],[Short]]&amp;")")</f>
        <v/>
      </c>
      <c r="J545" s="7">
        <f>VLOOKUP(Table3[[#This Row],[Agen id]],Agen!A:C,3,0)</f>
        <v/>
      </c>
      <c r="K545" s="37">
        <f>TRIM(LEFT(Table3[[#This Row],[Group]],2))</f>
        <v/>
      </c>
      <c r="L545" s="3" t="inlineStr">
        <is>
          <t>NON SALES</t>
        </is>
      </c>
    </row>
    <row r="546">
      <c r="A546" s="5" t="inlineStr">
        <is>
          <t>OP03472</t>
        </is>
      </c>
      <c r="B546" s="6" t="inlineStr">
        <is>
          <t>M yusuf</t>
        </is>
      </c>
      <c r="C546" s="7" t="inlineStr">
        <is>
          <t>A - Agen</t>
        </is>
      </c>
      <c r="D546" s="1" t="inlineStr">
        <is>
          <t>OP00002</t>
        </is>
      </c>
      <c r="E546" s="8" t="n">
        <v>44902.12361111111</v>
      </c>
      <c r="F546" s="7" t="inlineStr">
        <is>
          <t>AGEN</t>
        </is>
      </c>
      <c r="G546" s="18" t="inlineStr">
        <is>
          <t>OP03472</t>
        </is>
      </c>
      <c r="H546" s="19">
        <f>UPPER(Table3[[#This Row],[Agen id]]&amp;"-"&amp;VLOOKUP(Table3[[#This Row],[Agen id]],A:B,2,0)&amp;"("&amp;Table3[[#This Row],[Short]]&amp;")")</f>
        <v/>
      </c>
      <c r="J546" s="7">
        <f>VLOOKUP(Table3[[#This Row],[Agen id]],Agen!A:C,3,0)</f>
        <v/>
      </c>
      <c r="K546" s="37">
        <f>TRIM(LEFT(Table3[[#This Row],[Group]],2))</f>
        <v/>
      </c>
      <c r="L546" s="3" t="inlineStr">
        <is>
          <t>NON SALES</t>
        </is>
      </c>
    </row>
    <row r="547">
      <c r="A547" s="5" t="inlineStr">
        <is>
          <t>OP03488</t>
        </is>
      </c>
      <c r="B547" s="6" t="inlineStr">
        <is>
          <t>CHENDOOTT</t>
        </is>
      </c>
      <c r="C547" s="7" t="inlineStr">
        <is>
          <t>A - Agen</t>
        </is>
      </c>
      <c r="D547" s="1" t="inlineStr">
        <is>
          <t>OP00848</t>
        </is>
      </c>
      <c r="E547" s="8" t="n">
        <v>44902.43125</v>
      </c>
      <c r="F547" s="7" t="inlineStr">
        <is>
          <t>DOWNLINE</t>
        </is>
      </c>
      <c r="G547" s="18" t="inlineStr">
        <is>
          <t>OP00848</t>
        </is>
      </c>
      <c r="H547" s="19">
        <f>UPPER(Table3[[#This Row],[Agen id]]&amp;"-"&amp;VLOOKUP(Table3[[#This Row],[Agen id]],A:B,2,0)&amp;"("&amp;Table3[[#This Row],[Short]]&amp;")")</f>
        <v/>
      </c>
      <c r="J547" s="7">
        <f>VLOOKUP(Table3[[#This Row],[Agen id]],Agen!A:C,3,0)</f>
        <v/>
      </c>
      <c r="K547" s="37">
        <f>TRIM(LEFT(Table3[[#This Row],[Group]],2))</f>
        <v/>
      </c>
      <c r="L547" s="3" t="inlineStr">
        <is>
          <t>NON SALES</t>
        </is>
      </c>
    </row>
    <row r="548">
      <c r="A548" s="5" t="inlineStr">
        <is>
          <t>OP03493</t>
        </is>
      </c>
      <c r="B548" s="6" t="inlineStr">
        <is>
          <t>Siti Bilqis</t>
        </is>
      </c>
      <c r="C548" s="7" t="inlineStr">
        <is>
          <t>AB1 - Agen Kab Bogor</t>
        </is>
      </c>
      <c r="D548" s="1" t="inlineStr">
        <is>
          <t>OP00002</t>
        </is>
      </c>
      <c r="E548" s="8" t="n">
        <v>44902.54583333333</v>
      </c>
      <c r="F548" s="7" t="inlineStr">
        <is>
          <t>AGEN</t>
        </is>
      </c>
      <c r="G548" s="18" t="inlineStr">
        <is>
          <t>OP03493</t>
        </is>
      </c>
      <c r="H548" s="19">
        <f>UPPER(Table3[[#This Row],[Agen id]]&amp;"-"&amp;VLOOKUP(Table3[[#This Row],[Agen id]],A:B,2,0)&amp;"("&amp;Table3[[#This Row],[Short]]&amp;")")</f>
        <v/>
      </c>
      <c r="J548" s="7">
        <f>VLOOKUP(Table3[[#This Row],[Agen id]],Agen!A:C,3,0)</f>
        <v/>
      </c>
      <c r="K548" s="37">
        <f>TRIM(LEFT(Table3[[#This Row],[Group]],2))</f>
        <v/>
      </c>
      <c r="L548" s="3" t="inlineStr">
        <is>
          <t>NON SALES</t>
        </is>
      </c>
    </row>
    <row r="549">
      <c r="A549" s="5" t="inlineStr">
        <is>
          <t>OP03503</t>
        </is>
      </c>
      <c r="B549" s="6" t="inlineStr">
        <is>
          <t>Dhesy harun</t>
        </is>
      </c>
      <c r="C549" s="7" t="inlineStr">
        <is>
          <t>AV - Agen Verified</t>
        </is>
      </c>
      <c r="D549" s="1" t="inlineStr">
        <is>
          <t>OP00003</t>
        </is>
      </c>
      <c r="E549" s="8" t="n">
        <v>44902.82638888889</v>
      </c>
      <c r="F549" s="7" t="inlineStr">
        <is>
          <t>AGEN</t>
        </is>
      </c>
      <c r="G549" s="18" t="inlineStr">
        <is>
          <t>OP03503</t>
        </is>
      </c>
      <c r="H549" s="19">
        <f>UPPER(Table3[[#This Row],[Agen id]]&amp;"-"&amp;VLOOKUP(Table3[[#This Row],[Agen id]],A:B,2,0)&amp;"("&amp;Table3[[#This Row],[Short]]&amp;")")</f>
        <v/>
      </c>
      <c r="J549" s="7">
        <f>VLOOKUP(Table3[[#This Row],[Agen id]],Agen!A:C,3,0)</f>
        <v/>
      </c>
      <c r="K549" s="37">
        <f>TRIM(LEFT(Table3[[#This Row],[Group]],2))</f>
        <v/>
      </c>
      <c r="L549" s="3" t="inlineStr">
        <is>
          <t>NON SALES</t>
        </is>
      </c>
    </row>
    <row r="550">
      <c r="A550" s="5" t="inlineStr">
        <is>
          <t>OP03510</t>
        </is>
      </c>
      <c r="B550" s="6" t="inlineStr">
        <is>
          <t>Andrian</t>
        </is>
      </c>
      <c r="C550" s="7" t="inlineStr">
        <is>
          <t>A - Agen</t>
        </is>
      </c>
      <c r="D550" s="1" t="inlineStr">
        <is>
          <t>OP00996</t>
        </is>
      </c>
      <c r="E550" s="8" t="n">
        <v>44903.34791666667</v>
      </c>
      <c r="F550" s="7" t="inlineStr">
        <is>
          <t>DOWNLINE</t>
        </is>
      </c>
      <c r="G550" s="18" t="inlineStr">
        <is>
          <t>OP00996</t>
        </is>
      </c>
      <c r="H550" s="19">
        <f>UPPER(Table3[[#This Row],[Agen id]]&amp;"-"&amp;VLOOKUP(Table3[[#This Row],[Agen id]],A:B,2,0)&amp;"("&amp;Table3[[#This Row],[Short]]&amp;")")</f>
        <v/>
      </c>
      <c r="J550" s="7">
        <f>VLOOKUP(Table3[[#This Row],[Agen id]],Agen!A:C,3,0)</f>
        <v/>
      </c>
      <c r="K550" s="37">
        <f>TRIM(LEFT(Table3[[#This Row],[Group]],2))</f>
        <v/>
      </c>
      <c r="L550" s="3" t="inlineStr">
        <is>
          <t>NON SALES</t>
        </is>
      </c>
    </row>
    <row r="551">
      <c r="A551" s="5" t="inlineStr">
        <is>
          <t>OP03527</t>
        </is>
      </c>
      <c r="B551" s="6" t="inlineStr">
        <is>
          <t>Nurfitria</t>
        </is>
      </c>
      <c r="C551" s="7" t="inlineStr">
        <is>
          <t>A - Agen</t>
        </is>
      </c>
      <c r="D551" s="1" t="inlineStr">
        <is>
          <t>OP02441</t>
        </is>
      </c>
      <c r="E551" s="8" t="n">
        <v>44904.27430555555</v>
      </c>
      <c r="F551" s="7" t="inlineStr">
        <is>
          <t>DOWNLINE</t>
        </is>
      </c>
      <c r="G551" s="18" t="inlineStr">
        <is>
          <t>OP02195</t>
        </is>
      </c>
      <c r="H551" s="19">
        <f>UPPER(Table3[[#This Row],[Agen id]]&amp;"-"&amp;VLOOKUP(Table3[[#This Row],[Agen id]],A:B,2,0)&amp;"("&amp;Table3[[#This Row],[Short]]&amp;")")</f>
        <v/>
      </c>
      <c r="J551" s="7">
        <f>VLOOKUP(Table3[[#This Row],[Agen id]],Agen!A:C,3,0)</f>
        <v/>
      </c>
      <c r="K551" s="37">
        <f>TRIM(LEFT(Table3[[#This Row],[Group]],2))</f>
        <v/>
      </c>
      <c r="L551" s="3" t="inlineStr">
        <is>
          <t>NON SALES</t>
        </is>
      </c>
    </row>
    <row r="552">
      <c r="A552" s="5" t="inlineStr">
        <is>
          <t>OP03530</t>
        </is>
      </c>
      <c r="B552" s="6" t="inlineStr">
        <is>
          <t>aisyah</t>
        </is>
      </c>
      <c r="C552" s="7" t="inlineStr">
        <is>
          <t>A - Agen</t>
        </is>
      </c>
      <c r="D552" s="1" t="inlineStr">
        <is>
          <t>OP00670</t>
        </is>
      </c>
      <c r="E552" s="8" t="n">
        <v>44904.40972222222</v>
      </c>
      <c r="F552" s="7" t="inlineStr">
        <is>
          <t>DOWNLINE</t>
        </is>
      </c>
      <c r="G552" s="18" t="inlineStr">
        <is>
          <t>OP00431</t>
        </is>
      </c>
      <c r="H552" s="19">
        <f>UPPER(Table3[[#This Row],[Agen id]]&amp;"-"&amp;VLOOKUP(Table3[[#This Row],[Agen id]],A:B,2,0)&amp;"("&amp;Table3[[#This Row],[Short]]&amp;")")</f>
        <v/>
      </c>
      <c r="J552" s="7">
        <f>VLOOKUP(Table3[[#This Row],[Agen id]],Agen!A:C,3,0)</f>
        <v/>
      </c>
      <c r="K552" s="37">
        <f>TRIM(LEFT(Table3[[#This Row],[Group]],2))</f>
        <v/>
      </c>
      <c r="L552" s="3" t="inlineStr">
        <is>
          <t>NON SALES</t>
        </is>
      </c>
    </row>
    <row r="553">
      <c r="A553" s="5" t="inlineStr">
        <is>
          <t>OP03531</t>
        </is>
      </c>
      <c r="B553" s="6" t="inlineStr">
        <is>
          <t>Usup Supriyatna</t>
        </is>
      </c>
      <c r="C553" s="7" t="inlineStr">
        <is>
          <t>AV - Agen Verified</t>
        </is>
      </c>
      <c r="D553" s="1" t="inlineStr">
        <is>
          <t>OP00002</t>
        </is>
      </c>
      <c r="E553" s="8" t="n">
        <v>44904.45069444444</v>
      </c>
      <c r="F553" s="7" t="inlineStr">
        <is>
          <t>AGEN</t>
        </is>
      </c>
      <c r="G553" s="18" t="inlineStr">
        <is>
          <t>OP03531</t>
        </is>
      </c>
      <c r="H553" s="19">
        <f>UPPER(Table3[[#This Row],[Agen id]]&amp;"-"&amp;VLOOKUP(Table3[[#This Row],[Agen id]],A:B,2,0)&amp;"("&amp;Table3[[#This Row],[Short]]&amp;")")</f>
        <v/>
      </c>
      <c r="J553" s="7">
        <f>VLOOKUP(Table3[[#This Row],[Agen id]],Agen!A:C,3,0)</f>
        <v/>
      </c>
      <c r="K553" s="37">
        <f>TRIM(LEFT(Table3[[#This Row],[Group]],2))</f>
        <v/>
      </c>
      <c r="L553" s="3" t="inlineStr">
        <is>
          <t>NON SALES</t>
        </is>
      </c>
    </row>
    <row r="554">
      <c r="A554" s="5" t="inlineStr">
        <is>
          <t>OP03534</t>
        </is>
      </c>
      <c r="B554" s="6" t="inlineStr">
        <is>
          <t>Inter Milan</t>
        </is>
      </c>
      <c r="C554" s="7" t="inlineStr">
        <is>
          <t>A - Agen</t>
        </is>
      </c>
      <c r="D554" s="1" t="inlineStr">
        <is>
          <t>OP00051</t>
        </is>
      </c>
      <c r="E554" s="8" t="n">
        <v>44904.475</v>
      </c>
      <c r="F554" s="7" t="inlineStr">
        <is>
          <t>DOWNLINE</t>
        </is>
      </c>
      <c r="G554" s="18" t="inlineStr">
        <is>
          <t>OP00051</t>
        </is>
      </c>
      <c r="H554" s="19">
        <f>UPPER(Table3[[#This Row],[Agen id]]&amp;"-"&amp;VLOOKUP(Table3[[#This Row],[Agen id]],A:B,2,0)&amp;"("&amp;Table3[[#This Row],[Short]]&amp;")")</f>
        <v/>
      </c>
      <c r="J554" s="7">
        <f>VLOOKUP(Table3[[#This Row],[Agen id]],Agen!A:C,3,0)</f>
        <v/>
      </c>
      <c r="K554" s="37">
        <f>TRIM(LEFT(Table3[[#This Row],[Group]],2))</f>
        <v/>
      </c>
      <c r="L554" s="3" t="inlineStr">
        <is>
          <t>NON SALES</t>
        </is>
      </c>
    </row>
    <row r="555">
      <c r="A555" s="5" t="inlineStr">
        <is>
          <t>OP03562</t>
        </is>
      </c>
      <c r="B555" s="6" t="inlineStr">
        <is>
          <t>Mantojaya</t>
        </is>
      </c>
      <c r="C555" s="7" t="inlineStr">
        <is>
          <t>AV - Agen Verified</t>
        </is>
      </c>
      <c r="D555" s="1" t="inlineStr">
        <is>
          <t>OP00002</t>
        </is>
      </c>
      <c r="E555" s="8" t="n">
        <v>44905.15763888889</v>
      </c>
      <c r="F555" s="7" t="inlineStr">
        <is>
          <t>AGEN</t>
        </is>
      </c>
      <c r="G555" s="18" t="inlineStr">
        <is>
          <t>OP03562</t>
        </is>
      </c>
      <c r="H555" s="19">
        <f>UPPER(Table3[[#This Row],[Agen id]]&amp;"-"&amp;VLOOKUP(Table3[[#This Row],[Agen id]],A:B,2,0)&amp;"("&amp;Table3[[#This Row],[Short]]&amp;")")</f>
        <v/>
      </c>
      <c r="J555" s="7">
        <f>VLOOKUP(Table3[[#This Row],[Agen id]],Agen!A:C,3,0)</f>
        <v/>
      </c>
      <c r="K555" s="37">
        <f>TRIM(LEFT(Table3[[#This Row],[Group]],2))</f>
        <v/>
      </c>
      <c r="L555" s="3" t="inlineStr">
        <is>
          <t>NON SALES</t>
        </is>
      </c>
    </row>
    <row r="556">
      <c r="A556" s="5" t="inlineStr">
        <is>
          <t>OP03563</t>
        </is>
      </c>
      <c r="B556" s="6" t="inlineStr">
        <is>
          <t>Zulpan</t>
        </is>
      </c>
      <c r="C556" s="7" t="inlineStr">
        <is>
          <t>AV - Agen Verified</t>
        </is>
      </c>
      <c r="D556" s="1" t="inlineStr">
        <is>
          <t>OP00002</t>
        </is>
      </c>
      <c r="E556" s="8" t="n">
        <v>44905.18263888889</v>
      </c>
      <c r="F556" s="7" t="inlineStr">
        <is>
          <t>AGEN</t>
        </is>
      </c>
      <c r="G556" s="18" t="inlineStr">
        <is>
          <t>OP03563</t>
        </is>
      </c>
      <c r="H556" s="19">
        <f>UPPER(Table3[[#This Row],[Agen id]]&amp;"-"&amp;VLOOKUP(Table3[[#This Row],[Agen id]],A:B,2,0)&amp;"("&amp;Table3[[#This Row],[Short]]&amp;")")</f>
        <v/>
      </c>
      <c r="J556" s="7">
        <f>VLOOKUP(Table3[[#This Row],[Agen id]],Agen!A:C,3,0)</f>
        <v/>
      </c>
      <c r="K556" s="37">
        <f>TRIM(LEFT(Table3[[#This Row],[Group]],2))</f>
        <v/>
      </c>
      <c r="L556" s="3" t="inlineStr">
        <is>
          <t>NON SALES</t>
        </is>
      </c>
    </row>
    <row r="557">
      <c r="A557" s="5" t="inlineStr">
        <is>
          <t>OP03564</t>
        </is>
      </c>
      <c r="B557" s="6" t="inlineStr">
        <is>
          <t>CT CELL</t>
        </is>
      </c>
      <c r="C557" s="7" t="inlineStr">
        <is>
          <t>A - Agen</t>
        </is>
      </c>
      <c r="D557" s="1" t="inlineStr">
        <is>
          <t>OP00002</t>
        </is>
      </c>
      <c r="E557" s="8" t="n">
        <v>44905.26666666667</v>
      </c>
      <c r="F557" s="7" t="inlineStr">
        <is>
          <t>AGEN</t>
        </is>
      </c>
      <c r="G557" s="18" t="inlineStr">
        <is>
          <t>OP03564</t>
        </is>
      </c>
      <c r="H557" s="19">
        <f>UPPER(Table3[[#This Row],[Agen id]]&amp;"-"&amp;VLOOKUP(Table3[[#This Row],[Agen id]],A:B,2,0)&amp;"("&amp;Table3[[#This Row],[Short]]&amp;")")</f>
        <v/>
      </c>
      <c r="J557" s="7">
        <f>VLOOKUP(Table3[[#This Row],[Agen id]],Agen!A:C,3,0)</f>
        <v/>
      </c>
      <c r="K557" s="37">
        <f>TRIM(LEFT(Table3[[#This Row],[Group]],2))</f>
        <v/>
      </c>
      <c r="L557" s="3" t="inlineStr">
        <is>
          <t>NON SALES</t>
        </is>
      </c>
    </row>
    <row r="558">
      <c r="A558" s="5" t="inlineStr">
        <is>
          <t>OP03565</t>
        </is>
      </c>
      <c r="B558" s="6" t="inlineStr">
        <is>
          <t>Nurlailawati</t>
        </is>
      </c>
      <c r="C558" s="7" t="inlineStr">
        <is>
          <t>AV - Agen Verified</t>
        </is>
      </c>
      <c r="D558" s="1" t="inlineStr">
        <is>
          <t>OP00996</t>
        </is>
      </c>
      <c r="E558" s="8" t="n">
        <v>44905.28194444445</v>
      </c>
      <c r="F558" s="7" t="inlineStr">
        <is>
          <t>DOWNLINE</t>
        </is>
      </c>
      <c r="G558" s="18" t="inlineStr">
        <is>
          <t>OP00996</t>
        </is>
      </c>
      <c r="H558" s="19">
        <f>UPPER(Table3[[#This Row],[Agen id]]&amp;"-"&amp;VLOOKUP(Table3[[#This Row],[Agen id]],A:B,2,0)&amp;"("&amp;Table3[[#This Row],[Short]]&amp;")")</f>
        <v/>
      </c>
      <c r="J558" s="7">
        <f>VLOOKUP(Table3[[#This Row],[Agen id]],Agen!A:C,3,0)</f>
        <v/>
      </c>
      <c r="K558" s="37">
        <f>TRIM(LEFT(Table3[[#This Row],[Group]],2))</f>
        <v/>
      </c>
      <c r="L558" s="3" t="inlineStr">
        <is>
          <t>NON SALES</t>
        </is>
      </c>
    </row>
    <row r="559">
      <c r="A559" s="5" t="inlineStr">
        <is>
          <t>OP03577</t>
        </is>
      </c>
      <c r="B559" s="6" t="inlineStr">
        <is>
          <t>Asia 123</t>
        </is>
      </c>
      <c r="C559" s="7" t="inlineStr">
        <is>
          <t>A - Agen</t>
        </is>
      </c>
      <c r="D559" s="1" t="inlineStr">
        <is>
          <t>OP00002</t>
        </is>
      </c>
      <c r="E559" s="8" t="n">
        <v>44905.62152777778</v>
      </c>
      <c r="F559" s="7" t="inlineStr">
        <is>
          <t>AGEN</t>
        </is>
      </c>
      <c r="G559" s="18" t="inlineStr">
        <is>
          <t>OP03577</t>
        </is>
      </c>
      <c r="H559" s="19">
        <f>UPPER(Table3[[#This Row],[Agen id]]&amp;"-"&amp;VLOOKUP(Table3[[#This Row],[Agen id]],A:B,2,0)&amp;"("&amp;Table3[[#This Row],[Short]]&amp;")")</f>
        <v/>
      </c>
      <c r="J559" s="7">
        <f>VLOOKUP(Table3[[#This Row],[Agen id]],Agen!A:C,3,0)</f>
        <v/>
      </c>
      <c r="K559" s="37">
        <f>TRIM(LEFT(Table3[[#This Row],[Group]],2))</f>
        <v/>
      </c>
      <c r="L559" s="3" t="inlineStr">
        <is>
          <t>NON SALES</t>
        </is>
      </c>
    </row>
    <row r="560">
      <c r="A560" s="5" t="inlineStr">
        <is>
          <t>OP03600</t>
        </is>
      </c>
      <c r="B560" s="6" t="inlineStr">
        <is>
          <t>ADRIAN1_CELL</t>
        </is>
      </c>
      <c r="C560" s="7" t="inlineStr">
        <is>
          <t>A - Agen</t>
        </is>
      </c>
      <c r="D560" s="1" t="inlineStr">
        <is>
          <t>OP00002</t>
        </is>
      </c>
      <c r="E560" s="8" t="n">
        <v>44906.47291666667</v>
      </c>
      <c r="F560" s="7" t="inlineStr">
        <is>
          <t>AGEN</t>
        </is>
      </c>
      <c r="G560" s="18" t="inlineStr">
        <is>
          <t>OP03600</t>
        </is>
      </c>
      <c r="H560" s="19">
        <f>UPPER(Table3[[#This Row],[Agen id]]&amp;"-"&amp;VLOOKUP(Table3[[#This Row],[Agen id]],A:B,2,0)&amp;"("&amp;Table3[[#This Row],[Short]]&amp;")")</f>
        <v/>
      </c>
      <c r="J560" s="7">
        <f>VLOOKUP(Table3[[#This Row],[Agen id]],Agen!A:C,3,0)</f>
        <v/>
      </c>
      <c r="K560" s="37">
        <f>TRIM(LEFT(Table3[[#This Row],[Group]],2))</f>
        <v/>
      </c>
      <c r="L560" s="3" t="inlineStr">
        <is>
          <t>NON SALES</t>
        </is>
      </c>
    </row>
    <row r="561">
      <c r="A561" s="5" t="inlineStr">
        <is>
          <t>OP03612</t>
        </is>
      </c>
      <c r="B561" s="6" t="inlineStr">
        <is>
          <t>ADRIAN_CELL</t>
        </is>
      </c>
      <c r="C561" s="7" t="inlineStr">
        <is>
          <t>A - Agen</t>
        </is>
      </c>
      <c r="D561" s="1" t="inlineStr">
        <is>
          <t>OP03600</t>
        </is>
      </c>
      <c r="E561" s="8" t="n">
        <v>44906.77222222222</v>
      </c>
      <c r="F561" s="7" t="inlineStr">
        <is>
          <t>DOWNLINE</t>
        </is>
      </c>
      <c r="G561" s="18" t="inlineStr">
        <is>
          <t>OP03600</t>
        </is>
      </c>
      <c r="H561" s="19">
        <f>UPPER(Table3[[#This Row],[Agen id]]&amp;"-"&amp;VLOOKUP(Table3[[#This Row],[Agen id]],A:B,2,0)&amp;"("&amp;Table3[[#This Row],[Short]]&amp;")")</f>
        <v/>
      </c>
      <c r="J561" s="7">
        <f>VLOOKUP(Table3[[#This Row],[Agen id]],Agen!A:C,3,0)</f>
        <v/>
      </c>
      <c r="K561" s="37">
        <f>TRIM(LEFT(Table3[[#This Row],[Group]],2))</f>
        <v/>
      </c>
      <c r="L561" s="3" t="inlineStr">
        <is>
          <t>NON SALES</t>
        </is>
      </c>
    </row>
    <row r="562">
      <c r="A562" s="5" t="inlineStr">
        <is>
          <t>OP03615</t>
        </is>
      </c>
      <c r="B562" s="6" t="inlineStr">
        <is>
          <t>Fardan</t>
        </is>
      </c>
      <c r="C562" s="7" t="inlineStr">
        <is>
          <t>A - Agen</t>
        </is>
      </c>
      <c r="D562" s="1" t="inlineStr">
        <is>
          <t>OP02749</t>
        </is>
      </c>
      <c r="E562" s="8" t="n">
        <v>44906.83819444444</v>
      </c>
      <c r="F562" s="7" t="inlineStr">
        <is>
          <t>DOWNLINE</t>
        </is>
      </c>
      <c r="G562" s="18" t="inlineStr">
        <is>
          <t>OP02749</t>
        </is>
      </c>
      <c r="H562" s="19">
        <f>UPPER(Table3[[#This Row],[Agen id]]&amp;"-"&amp;VLOOKUP(Table3[[#This Row],[Agen id]],A:B,2,0)&amp;"("&amp;Table3[[#This Row],[Short]]&amp;")")</f>
        <v/>
      </c>
      <c r="J562" s="7">
        <f>VLOOKUP(Table3[[#This Row],[Agen id]],Agen!A:C,3,0)</f>
        <v/>
      </c>
      <c r="K562" s="37">
        <f>TRIM(LEFT(Table3[[#This Row],[Group]],2))</f>
        <v/>
      </c>
      <c r="L562" s="3" t="inlineStr">
        <is>
          <t>NON SALES</t>
        </is>
      </c>
    </row>
    <row r="563">
      <c r="A563" s="5" t="inlineStr">
        <is>
          <t>OP03623</t>
        </is>
      </c>
      <c r="B563" s="6" t="inlineStr">
        <is>
          <t>ABAH CELL</t>
        </is>
      </c>
      <c r="C563" s="7" t="inlineStr">
        <is>
          <t>AV - Agen Verified</t>
        </is>
      </c>
      <c r="D563" s="1" t="inlineStr">
        <is>
          <t>OP00002</t>
        </is>
      </c>
      <c r="E563" s="8" t="n">
        <v>44907.37013888889</v>
      </c>
      <c r="F563" s="7" t="inlineStr">
        <is>
          <t>AGEN</t>
        </is>
      </c>
      <c r="G563" s="18" t="inlineStr">
        <is>
          <t>OP03623</t>
        </is>
      </c>
      <c r="H563" s="19">
        <f>UPPER(Table3[[#This Row],[Agen id]]&amp;"-"&amp;VLOOKUP(Table3[[#This Row],[Agen id]],A:B,2,0)&amp;"("&amp;Table3[[#This Row],[Short]]&amp;")")</f>
        <v/>
      </c>
      <c r="J563" s="7">
        <f>VLOOKUP(Table3[[#This Row],[Agen id]],Agen!A:C,3,0)</f>
        <v/>
      </c>
      <c r="K563" s="37">
        <f>TRIM(LEFT(Table3[[#This Row],[Group]],2))</f>
        <v/>
      </c>
      <c r="L563" s="3" t="inlineStr">
        <is>
          <t>NON SALES</t>
        </is>
      </c>
    </row>
    <row r="564">
      <c r="A564" s="5" t="inlineStr">
        <is>
          <t>OP03624</t>
        </is>
      </c>
      <c r="B564" s="6" t="inlineStr">
        <is>
          <t>Ahmad Official</t>
        </is>
      </c>
      <c r="C564" s="7" t="inlineStr">
        <is>
          <t>A - Agen</t>
        </is>
      </c>
      <c r="D564" s="1" t="inlineStr">
        <is>
          <t>OP00002</t>
        </is>
      </c>
      <c r="E564" s="8" t="n">
        <v>44907.40416666667</v>
      </c>
      <c r="F564" s="7" t="inlineStr">
        <is>
          <t>AGEN</t>
        </is>
      </c>
      <c r="G564" s="18" t="inlineStr">
        <is>
          <t>OP03624</t>
        </is>
      </c>
      <c r="H564" s="19">
        <f>UPPER(Table3[[#This Row],[Agen id]]&amp;"-"&amp;VLOOKUP(Table3[[#This Row],[Agen id]],A:B,2,0)&amp;"("&amp;Table3[[#This Row],[Short]]&amp;")")</f>
        <v/>
      </c>
      <c r="J564" s="7">
        <f>VLOOKUP(Table3[[#This Row],[Agen id]],Agen!A:C,3,0)</f>
        <v/>
      </c>
      <c r="K564" s="37">
        <f>TRIM(LEFT(Table3[[#This Row],[Group]],2))</f>
        <v/>
      </c>
      <c r="L564" s="3" t="inlineStr">
        <is>
          <t>NON SALES</t>
        </is>
      </c>
    </row>
    <row r="565">
      <c r="A565" s="5" t="inlineStr">
        <is>
          <t>OP03628</t>
        </is>
      </c>
      <c r="B565" s="6" t="inlineStr">
        <is>
          <t>Lisna Cell</t>
        </is>
      </c>
      <c r="C565" s="7" t="inlineStr">
        <is>
          <t>A - Agen</t>
        </is>
      </c>
      <c r="D565" s="1" t="inlineStr">
        <is>
          <t>OP03387</t>
        </is>
      </c>
      <c r="E565" s="8" t="n">
        <v>44907.44791666666</v>
      </c>
      <c r="F565" s="7" t="inlineStr">
        <is>
          <t>DOWNLINE</t>
        </is>
      </c>
      <c r="G565" s="18" t="inlineStr">
        <is>
          <t>OP03387</t>
        </is>
      </c>
      <c r="H565" s="19">
        <f>UPPER(Table3[[#This Row],[Agen id]]&amp;"-"&amp;VLOOKUP(Table3[[#This Row],[Agen id]],A:B,2,0)&amp;"("&amp;Table3[[#This Row],[Short]]&amp;")")</f>
        <v/>
      </c>
      <c r="J565" s="7">
        <f>VLOOKUP(Table3[[#This Row],[Agen id]],Agen!A:C,3,0)</f>
        <v/>
      </c>
      <c r="K565" s="37">
        <f>TRIM(LEFT(Table3[[#This Row],[Group]],2))</f>
        <v/>
      </c>
      <c r="L565" s="3" t="inlineStr">
        <is>
          <t>NON SALES</t>
        </is>
      </c>
    </row>
    <row r="566">
      <c r="A566" s="5" t="inlineStr">
        <is>
          <t>OP03630</t>
        </is>
      </c>
      <c r="B566" s="6" t="inlineStr">
        <is>
          <t>Jose dacosta</t>
        </is>
      </c>
      <c r="C566" s="7" t="inlineStr">
        <is>
          <t>AV - Agen Verified</t>
        </is>
      </c>
      <c r="D566" s="1" t="inlineStr">
        <is>
          <t>OP00002</t>
        </is>
      </c>
      <c r="E566" s="8" t="n">
        <v>44907.51666666667</v>
      </c>
      <c r="F566" s="7" t="inlineStr">
        <is>
          <t>AGEN</t>
        </is>
      </c>
      <c r="G566" s="18" t="inlineStr">
        <is>
          <t>OP03630</t>
        </is>
      </c>
      <c r="H566" s="19">
        <f>UPPER(Table3[[#This Row],[Agen id]]&amp;"-"&amp;VLOOKUP(Table3[[#This Row],[Agen id]],A:B,2,0)&amp;"("&amp;Table3[[#This Row],[Short]]&amp;")")</f>
        <v/>
      </c>
      <c r="J566" s="7">
        <f>VLOOKUP(Table3[[#This Row],[Agen id]],Agen!A:C,3,0)</f>
        <v/>
      </c>
      <c r="K566" s="37">
        <f>TRIM(LEFT(Table3[[#This Row],[Group]],2))</f>
        <v/>
      </c>
      <c r="L566" s="3" t="inlineStr">
        <is>
          <t>NON SALES</t>
        </is>
      </c>
    </row>
    <row r="567">
      <c r="A567" s="5" t="inlineStr">
        <is>
          <t>OP03632</t>
        </is>
      </c>
      <c r="B567" s="6" t="inlineStr">
        <is>
          <t>Elis</t>
        </is>
      </c>
      <c r="C567" s="7" t="inlineStr">
        <is>
          <t>AB1 - Agen Kab Bogor</t>
        </is>
      </c>
      <c r="D567" s="1" t="inlineStr">
        <is>
          <t>OP00996</t>
        </is>
      </c>
      <c r="E567" s="8" t="n">
        <v>44907.55902777778</v>
      </c>
      <c r="F567" s="7" t="inlineStr">
        <is>
          <t>DOWNLINE</t>
        </is>
      </c>
      <c r="G567" s="18" t="inlineStr">
        <is>
          <t>OP00996</t>
        </is>
      </c>
      <c r="H567" s="19">
        <f>UPPER(Table3[[#This Row],[Agen id]]&amp;"-"&amp;VLOOKUP(Table3[[#This Row],[Agen id]],A:B,2,0)&amp;"("&amp;Table3[[#This Row],[Short]]&amp;")")</f>
        <v/>
      </c>
      <c r="J567" s="7">
        <f>VLOOKUP(Table3[[#This Row],[Agen id]],Agen!A:C,3,0)</f>
        <v/>
      </c>
      <c r="K567" s="37">
        <f>TRIM(LEFT(Table3[[#This Row],[Group]],2))</f>
        <v/>
      </c>
      <c r="L567" s="3" t="inlineStr">
        <is>
          <t>NON SALES</t>
        </is>
      </c>
    </row>
    <row r="568">
      <c r="A568" s="5" t="inlineStr">
        <is>
          <t>OP03633</t>
        </is>
      </c>
      <c r="B568" s="6" t="inlineStr">
        <is>
          <t>Guntur</t>
        </is>
      </c>
      <c r="C568" s="7" t="inlineStr">
        <is>
          <t>A - Agen</t>
        </is>
      </c>
      <c r="D568" s="1" t="inlineStr">
        <is>
          <t>OP00002</t>
        </is>
      </c>
      <c r="E568" s="8" t="n">
        <v>44907.68611111111</v>
      </c>
      <c r="F568" s="7" t="inlineStr">
        <is>
          <t>AGEN</t>
        </is>
      </c>
      <c r="G568" s="18" t="inlineStr">
        <is>
          <t>OP03633</t>
        </is>
      </c>
      <c r="H568" s="19">
        <f>UPPER(Table3[[#This Row],[Agen id]]&amp;"-"&amp;VLOOKUP(Table3[[#This Row],[Agen id]],A:B,2,0)&amp;"("&amp;Table3[[#This Row],[Short]]&amp;")")</f>
        <v/>
      </c>
      <c r="J568" s="7">
        <f>VLOOKUP(Table3[[#This Row],[Agen id]],Agen!A:C,3,0)</f>
        <v/>
      </c>
      <c r="K568" s="37">
        <f>TRIM(LEFT(Table3[[#This Row],[Group]],2))</f>
        <v/>
      </c>
      <c r="L568" s="3" t="inlineStr">
        <is>
          <t>NON SALES</t>
        </is>
      </c>
    </row>
    <row r="569">
      <c r="A569" s="5" t="inlineStr">
        <is>
          <t>OP03639</t>
        </is>
      </c>
      <c r="B569" s="6" t="inlineStr">
        <is>
          <t>WARUNG KITA</t>
        </is>
      </c>
      <c r="C569" s="7" t="inlineStr">
        <is>
          <t>A - Agen</t>
        </is>
      </c>
      <c r="D569" s="1" t="inlineStr">
        <is>
          <t>OP00002</t>
        </is>
      </c>
      <c r="E569" s="8" t="n">
        <v>44907.75069444445</v>
      </c>
      <c r="F569" s="7" t="inlineStr">
        <is>
          <t>AGEN</t>
        </is>
      </c>
      <c r="G569" s="18" t="inlineStr">
        <is>
          <t>OP03639</t>
        </is>
      </c>
      <c r="H569" s="19">
        <f>UPPER(Table3[[#This Row],[Agen id]]&amp;"-"&amp;VLOOKUP(Table3[[#This Row],[Agen id]],A:B,2,0)&amp;"("&amp;Table3[[#This Row],[Short]]&amp;")")</f>
        <v/>
      </c>
      <c r="J569" s="7">
        <f>VLOOKUP(Table3[[#This Row],[Agen id]],Agen!A:C,3,0)</f>
        <v/>
      </c>
      <c r="K569" s="37">
        <f>TRIM(LEFT(Table3[[#This Row],[Group]],2))</f>
        <v/>
      </c>
      <c r="L569" s="3" t="inlineStr">
        <is>
          <t>NON SALES</t>
        </is>
      </c>
    </row>
    <row r="570">
      <c r="A570" s="5" t="inlineStr">
        <is>
          <t>OP03650</t>
        </is>
      </c>
      <c r="B570" s="6" t="inlineStr">
        <is>
          <t>Putri delima</t>
        </is>
      </c>
      <c r="C570" s="7" t="inlineStr">
        <is>
          <t>A - Agen</t>
        </is>
      </c>
      <c r="D570" s="1" t="inlineStr">
        <is>
          <t>OP03527</t>
        </is>
      </c>
      <c r="E570" s="8" t="n">
        <v>44908.32708333333</v>
      </c>
      <c r="F570" s="7" t="inlineStr">
        <is>
          <t>DOWNLINE</t>
        </is>
      </c>
      <c r="G570" s="18" t="inlineStr">
        <is>
          <t>OP02195</t>
        </is>
      </c>
      <c r="H570" s="19">
        <f>UPPER(Table3[[#This Row],[Agen id]]&amp;"-"&amp;VLOOKUP(Table3[[#This Row],[Agen id]],A:B,2,0)&amp;"("&amp;Table3[[#This Row],[Short]]&amp;")")</f>
        <v/>
      </c>
      <c r="J570" s="7">
        <f>VLOOKUP(Table3[[#This Row],[Agen id]],Agen!A:C,3,0)</f>
        <v/>
      </c>
      <c r="K570" s="37">
        <f>TRIM(LEFT(Table3[[#This Row],[Group]],2))</f>
        <v/>
      </c>
      <c r="L570" s="3" t="inlineStr">
        <is>
          <t>NON SALES</t>
        </is>
      </c>
    </row>
    <row r="571">
      <c r="A571" s="5" t="inlineStr">
        <is>
          <t>OP03675</t>
        </is>
      </c>
      <c r="B571" s="6" t="inlineStr">
        <is>
          <t>Adam Cell</t>
        </is>
      </c>
      <c r="C571" s="7" t="inlineStr">
        <is>
          <t>A - Agen</t>
        </is>
      </c>
      <c r="D571" s="1" t="inlineStr">
        <is>
          <t>OP00002</t>
        </is>
      </c>
      <c r="E571" s="8" t="n">
        <v>44909.02777777778</v>
      </c>
      <c r="F571" s="7" t="inlineStr">
        <is>
          <t>AGEN</t>
        </is>
      </c>
      <c r="G571" s="18" t="inlineStr">
        <is>
          <t>OP03675</t>
        </is>
      </c>
      <c r="H571" s="19">
        <f>UPPER(Table3[[#This Row],[Agen id]]&amp;"-"&amp;VLOOKUP(Table3[[#This Row],[Agen id]],A:B,2,0)&amp;"("&amp;Table3[[#This Row],[Short]]&amp;")")</f>
        <v/>
      </c>
      <c r="J571" s="7">
        <f>VLOOKUP(Table3[[#This Row],[Agen id]],Agen!A:C,3,0)</f>
        <v/>
      </c>
      <c r="K571" s="37">
        <f>TRIM(LEFT(Table3[[#This Row],[Group]],2))</f>
        <v/>
      </c>
      <c r="L571" s="3" t="inlineStr">
        <is>
          <t>NON SALES</t>
        </is>
      </c>
    </row>
    <row r="572">
      <c r="A572" s="5" t="inlineStr">
        <is>
          <t>OP03693</t>
        </is>
      </c>
      <c r="B572" s="6" t="inlineStr">
        <is>
          <t>Jannah</t>
        </is>
      </c>
      <c r="C572" s="7" t="inlineStr">
        <is>
          <t>A - Agen</t>
        </is>
      </c>
      <c r="D572" s="1" t="inlineStr">
        <is>
          <t>OP00003</t>
        </is>
      </c>
      <c r="E572" s="8" t="n">
        <v>44909.53680555556</v>
      </c>
      <c r="F572" s="7" t="inlineStr">
        <is>
          <t>AGEN</t>
        </is>
      </c>
      <c r="G572" s="18" t="inlineStr">
        <is>
          <t>OP03693</t>
        </is>
      </c>
      <c r="H572" s="19">
        <f>UPPER(Table3[[#This Row],[Agen id]]&amp;"-"&amp;VLOOKUP(Table3[[#This Row],[Agen id]],A:B,2,0)&amp;"("&amp;Table3[[#This Row],[Short]]&amp;")")</f>
        <v/>
      </c>
      <c r="J572" s="7">
        <f>VLOOKUP(Table3[[#This Row],[Agen id]],Agen!A:C,3,0)</f>
        <v/>
      </c>
      <c r="K572" s="37">
        <f>TRIM(LEFT(Table3[[#This Row],[Group]],2))</f>
        <v/>
      </c>
      <c r="L572" s="3" t="inlineStr">
        <is>
          <t>NON SALES</t>
        </is>
      </c>
    </row>
    <row r="573">
      <c r="A573" s="5" t="inlineStr">
        <is>
          <t>OP03699</t>
        </is>
      </c>
      <c r="B573" s="6" t="inlineStr">
        <is>
          <t>Eka Sartika</t>
        </is>
      </c>
      <c r="C573" s="7" t="inlineStr">
        <is>
          <t>AV - Agen Verified</t>
        </is>
      </c>
      <c r="D573" s="1" t="inlineStr">
        <is>
          <t>OP00002</t>
        </is>
      </c>
      <c r="E573" s="8" t="n">
        <v>44909.76180555556</v>
      </c>
      <c r="F573" s="7" t="inlineStr">
        <is>
          <t>AGEN</t>
        </is>
      </c>
      <c r="G573" s="18" t="inlineStr">
        <is>
          <t>OP03699</t>
        </is>
      </c>
      <c r="H573" s="19">
        <f>UPPER(Table3[[#This Row],[Agen id]]&amp;"-"&amp;VLOOKUP(Table3[[#This Row],[Agen id]],A:B,2,0)&amp;"("&amp;Table3[[#This Row],[Short]]&amp;")")</f>
        <v/>
      </c>
      <c r="J573" s="7">
        <f>VLOOKUP(Table3[[#This Row],[Agen id]],Agen!A:C,3,0)</f>
        <v/>
      </c>
      <c r="K573" s="37">
        <f>TRIM(LEFT(Table3[[#This Row],[Group]],2))</f>
        <v/>
      </c>
      <c r="L573" s="3" t="inlineStr">
        <is>
          <t>NON SALES</t>
        </is>
      </c>
    </row>
    <row r="574">
      <c r="A574" s="5" t="inlineStr">
        <is>
          <t>OP03700</t>
        </is>
      </c>
      <c r="B574" s="6" t="inlineStr">
        <is>
          <t>Mishallo</t>
        </is>
      </c>
      <c r="C574" s="7" t="inlineStr">
        <is>
          <t>A - Agen</t>
        </is>
      </c>
      <c r="D574" s="1" t="inlineStr">
        <is>
          <t>OP03060</t>
        </is>
      </c>
      <c r="E574" s="8" t="n">
        <v>44909.80833333333</v>
      </c>
      <c r="F574" s="7" t="inlineStr">
        <is>
          <t>DOWNLINE</t>
        </is>
      </c>
      <c r="G574" s="18" t="inlineStr">
        <is>
          <t>OP00996</t>
        </is>
      </c>
      <c r="H574" s="19">
        <f>UPPER(Table3[[#This Row],[Agen id]]&amp;"-"&amp;VLOOKUP(Table3[[#This Row],[Agen id]],A:B,2,0)&amp;"("&amp;Table3[[#This Row],[Short]]&amp;")")</f>
        <v/>
      </c>
      <c r="J574" s="7">
        <f>VLOOKUP(Table3[[#This Row],[Agen id]],Agen!A:C,3,0)</f>
        <v/>
      </c>
      <c r="K574" s="37">
        <f>TRIM(LEFT(Table3[[#This Row],[Group]],2))</f>
        <v/>
      </c>
      <c r="L574" s="3" t="inlineStr">
        <is>
          <t>NON SALES</t>
        </is>
      </c>
    </row>
    <row r="575">
      <c r="A575" s="5" t="inlineStr">
        <is>
          <t>OP03703</t>
        </is>
      </c>
      <c r="B575" s="6" t="inlineStr">
        <is>
          <t>Junaidi</t>
        </is>
      </c>
      <c r="C575" s="7" t="inlineStr">
        <is>
          <t>A - Agen</t>
        </is>
      </c>
      <c r="D575" s="1" t="inlineStr">
        <is>
          <t>OP00002</t>
        </is>
      </c>
      <c r="E575" s="8" t="n">
        <v>44909.82152777778</v>
      </c>
      <c r="F575" s="7" t="inlineStr">
        <is>
          <t>AGEN</t>
        </is>
      </c>
      <c r="G575" s="18" t="inlineStr">
        <is>
          <t>OP03703</t>
        </is>
      </c>
      <c r="H575" s="19">
        <f>UPPER(Table3[[#This Row],[Agen id]]&amp;"-"&amp;VLOOKUP(Table3[[#This Row],[Agen id]],A:B,2,0)&amp;"("&amp;Table3[[#This Row],[Short]]&amp;")")</f>
        <v/>
      </c>
      <c r="J575" s="7">
        <f>VLOOKUP(Table3[[#This Row],[Agen id]],Agen!A:C,3,0)</f>
        <v/>
      </c>
      <c r="K575" s="37">
        <f>TRIM(LEFT(Table3[[#This Row],[Group]],2))</f>
        <v/>
      </c>
      <c r="L575" s="3" t="inlineStr">
        <is>
          <t>NON SALES</t>
        </is>
      </c>
    </row>
    <row r="576">
      <c r="A576" s="5" t="inlineStr">
        <is>
          <t>OP03706</t>
        </is>
      </c>
      <c r="B576" s="6" t="inlineStr">
        <is>
          <t>Dandik Budi Prasetyo</t>
        </is>
      </c>
      <c r="C576" s="7" t="inlineStr">
        <is>
          <t>AV - Agen Verified</t>
        </is>
      </c>
      <c r="D576" s="1" t="inlineStr">
        <is>
          <t>OP00002</t>
        </is>
      </c>
      <c r="E576" s="8" t="n">
        <v>44910.07569444444</v>
      </c>
      <c r="F576" s="7" t="inlineStr">
        <is>
          <t>AGEN</t>
        </is>
      </c>
      <c r="G576" s="18" t="inlineStr">
        <is>
          <t>OP03706</t>
        </is>
      </c>
      <c r="H576" s="19">
        <f>UPPER(Table3[[#This Row],[Agen id]]&amp;"-"&amp;VLOOKUP(Table3[[#This Row],[Agen id]],A:B,2,0)&amp;"("&amp;Table3[[#This Row],[Short]]&amp;")")</f>
        <v/>
      </c>
      <c r="J576" s="7">
        <f>VLOOKUP(Table3[[#This Row],[Agen id]],Agen!A:C,3,0)</f>
        <v/>
      </c>
      <c r="K576" s="37">
        <f>TRIM(LEFT(Table3[[#This Row],[Group]],2))</f>
        <v/>
      </c>
      <c r="L576" s="3" t="inlineStr">
        <is>
          <t>NON SALES</t>
        </is>
      </c>
    </row>
    <row r="577">
      <c r="A577" s="5" t="inlineStr">
        <is>
          <t>OP03708</t>
        </is>
      </c>
      <c r="B577" s="6" t="inlineStr">
        <is>
          <t>samiadi</t>
        </is>
      </c>
      <c r="C577" s="7" t="inlineStr">
        <is>
          <t>A - Agen</t>
        </is>
      </c>
      <c r="D577" s="1" t="inlineStr">
        <is>
          <t>OP00002</t>
        </is>
      </c>
      <c r="E577" s="8" t="n">
        <v>44910.18333333333</v>
      </c>
      <c r="F577" s="7" t="inlineStr">
        <is>
          <t>AGEN</t>
        </is>
      </c>
      <c r="G577" s="18" t="inlineStr">
        <is>
          <t>OP03708</t>
        </is>
      </c>
      <c r="H577" s="19">
        <f>UPPER(Table3[[#This Row],[Agen id]]&amp;"-"&amp;VLOOKUP(Table3[[#This Row],[Agen id]],A:B,2,0)&amp;"("&amp;Table3[[#This Row],[Short]]&amp;")")</f>
        <v/>
      </c>
      <c r="J577" s="7">
        <f>VLOOKUP(Table3[[#This Row],[Agen id]],Agen!A:C,3,0)</f>
        <v/>
      </c>
      <c r="K577" s="37">
        <f>TRIM(LEFT(Table3[[#This Row],[Group]],2))</f>
        <v/>
      </c>
      <c r="L577" s="3" t="inlineStr">
        <is>
          <t>NON SALES</t>
        </is>
      </c>
    </row>
    <row r="578">
      <c r="A578" s="5" t="inlineStr">
        <is>
          <t>OP03711</t>
        </is>
      </c>
      <c r="B578" s="6" t="inlineStr">
        <is>
          <t>Dedi irawan</t>
        </is>
      </c>
      <c r="C578" s="7" t="inlineStr">
        <is>
          <t>AB1 - Agen Kab Bogor</t>
        </is>
      </c>
      <c r="D578" s="1" t="inlineStr">
        <is>
          <t>OP00002</t>
        </is>
      </c>
      <c r="E578" s="8" t="n">
        <v>44910.25277777778</v>
      </c>
      <c r="F578" s="7" t="inlineStr">
        <is>
          <t>AGEN</t>
        </is>
      </c>
      <c r="G578" s="18" t="inlineStr">
        <is>
          <t>OP03711</t>
        </is>
      </c>
      <c r="H578" s="19">
        <f>UPPER(Table3[[#This Row],[Agen id]]&amp;"-"&amp;VLOOKUP(Table3[[#This Row],[Agen id]],A:B,2,0)&amp;"("&amp;Table3[[#This Row],[Short]]&amp;")")</f>
        <v/>
      </c>
      <c r="J578" s="7">
        <f>VLOOKUP(Table3[[#This Row],[Agen id]],Agen!A:C,3,0)</f>
        <v/>
      </c>
      <c r="K578" s="37">
        <f>TRIM(LEFT(Table3[[#This Row],[Group]],2))</f>
        <v/>
      </c>
      <c r="L578" s="3" t="inlineStr">
        <is>
          <t>NON SALES</t>
        </is>
      </c>
    </row>
    <row r="579">
      <c r="A579" s="5" t="inlineStr">
        <is>
          <t>OP03719</t>
        </is>
      </c>
      <c r="B579" s="6" t="inlineStr">
        <is>
          <t>hendar</t>
        </is>
      </c>
      <c r="C579" s="7" t="inlineStr">
        <is>
          <t>AV - Agen Verified</t>
        </is>
      </c>
      <c r="D579" s="1" t="inlineStr">
        <is>
          <t>OP00002</t>
        </is>
      </c>
      <c r="E579" s="8" t="n">
        <v>44910.39583333334</v>
      </c>
      <c r="F579" s="7" t="inlineStr">
        <is>
          <t>AGEN</t>
        </is>
      </c>
      <c r="G579" s="18" t="inlineStr">
        <is>
          <t>OP03719</t>
        </is>
      </c>
      <c r="H579" s="19">
        <f>UPPER(Table3[[#This Row],[Agen id]]&amp;"-"&amp;VLOOKUP(Table3[[#This Row],[Agen id]],A:B,2,0)&amp;"("&amp;Table3[[#This Row],[Short]]&amp;")")</f>
        <v/>
      </c>
      <c r="J579" s="7">
        <f>VLOOKUP(Table3[[#This Row],[Agen id]],Agen!A:C,3,0)</f>
        <v/>
      </c>
      <c r="K579" s="37">
        <f>TRIM(LEFT(Table3[[#This Row],[Group]],2))</f>
        <v/>
      </c>
      <c r="L579" s="3" t="inlineStr">
        <is>
          <t>NON SALES</t>
        </is>
      </c>
    </row>
    <row r="580">
      <c r="A580" s="5" t="inlineStr">
        <is>
          <t>OP03722</t>
        </is>
      </c>
      <c r="B580" s="6" t="inlineStr">
        <is>
          <t>Dafa Mutiari Feza</t>
        </is>
      </c>
      <c r="C580" s="7" t="inlineStr">
        <is>
          <t>A - Agen</t>
        </is>
      </c>
      <c r="D580" s="1" t="inlineStr">
        <is>
          <t>OP00002</t>
        </is>
      </c>
      <c r="E580" s="8" t="n">
        <v>44910.43888888889</v>
      </c>
      <c r="F580" s="7" t="inlineStr">
        <is>
          <t>AGEN</t>
        </is>
      </c>
      <c r="G580" s="18" t="inlineStr">
        <is>
          <t>OP03722</t>
        </is>
      </c>
      <c r="H580" s="19">
        <f>UPPER(Table3[[#This Row],[Agen id]]&amp;"-"&amp;VLOOKUP(Table3[[#This Row],[Agen id]],A:B,2,0)&amp;"("&amp;Table3[[#This Row],[Short]]&amp;")")</f>
        <v/>
      </c>
      <c r="J580" s="7">
        <f>VLOOKUP(Table3[[#This Row],[Agen id]],Agen!A:C,3,0)</f>
        <v/>
      </c>
      <c r="K580" s="37">
        <f>TRIM(LEFT(Table3[[#This Row],[Group]],2))</f>
        <v/>
      </c>
      <c r="L580" s="3" t="inlineStr">
        <is>
          <t>NON SALES</t>
        </is>
      </c>
    </row>
    <row r="581">
      <c r="A581" s="5" t="inlineStr">
        <is>
          <t>OP03735</t>
        </is>
      </c>
      <c r="B581" s="6" t="inlineStr">
        <is>
          <t>Jon01</t>
        </is>
      </c>
      <c r="C581" s="7" t="inlineStr">
        <is>
          <t>A - Agen</t>
        </is>
      </c>
      <c r="D581" s="1" t="inlineStr">
        <is>
          <t>OP00335</t>
        </is>
      </c>
      <c r="E581" s="8" t="n">
        <v>44910.74444444444</v>
      </c>
      <c r="F581" s="7" t="inlineStr">
        <is>
          <t>DOWNLINE</t>
        </is>
      </c>
      <c r="G581" s="18" t="inlineStr">
        <is>
          <t>OP00335</t>
        </is>
      </c>
      <c r="H581" s="19">
        <f>UPPER(Table3[[#This Row],[Agen id]]&amp;"-"&amp;VLOOKUP(Table3[[#This Row],[Agen id]],A:B,2,0)&amp;"("&amp;Table3[[#This Row],[Short]]&amp;")")</f>
        <v/>
      </c>
      <c r="J581" s="7">
        <f>VLOOKUP(Table3[[#This Row],[Agen id]],Agen!A:C,3,0)</f>
        <v/>
      </c>
      <c r="K581" s="37">
        <f>TRIM(LEFT(Table3[[#This Row],[Group]],2))</f>
        <v/>
      </c>
      <c r="L581" s="3" t="inlineStr">
        <is>
          <t>NON SALES</t>
        </is>
      </c>
    </row>
    <row r="582">
      <c r="A582" s="5" t="inlineStr">
        <is>
          <t>OP03736</t>
        </is>
      </c>
      <c r="B582" s="6" t="inlineStr">
        <is>
          <t>Misriani</t>
        </is>
      </c>
      <c r="C582" s="7" t="inlineStr">
        <is>
          <t>A - Agen</t>
        </is>
      </c>
      <c r="D582" s="1" t="inlineStr">
        <is>
          <t>OP00002</t>
        </is>
      </c>
      <c r="E582" s="8" t="n">
        <v>44910.77638888889</v>
      </c>
      <c r="F582" s="7" t="inlineStr">
        <is>
          <t>AGEN</t>
        </is>
      </c>
      <c r="G582" s="18" t="inlineStr">
        <is>
          <t>OP03736</t>
        </is>
      </c>
      <c r="H582" s="19">
        <f>UPPER(Table3[[#This Row],[Agen id]]&amp;"-"&amp;VLOOKUP(Table3[[#This Row],[Agen id]],A:B,2,0)&amp;"("&amp;Table3[[#This Row],[Short]]&amp;")")</f>
        <v/>
      </c>
      <c r="J582" s="7">
        <f>VLOOKUP(Table3[[#This Row],[Agen id]],Agen!A:C,3,0)</f>
        <v/>
      </c>
      <c r="K582" s="37">
        <f>TRIM(LEFT(Table3[[#This Row],[Group]],2))</f>
        <v/>
      </c>
      <c r="L582" s="3" t="inlineStr">
        <is>
          <t>NON SALES</t>
        </is>
      </c>
    </row>
    <row r="583">
      <c r="A583" s="5" t="inlineStr">
        <is>
          <t>OP03738</t>
        </is>
      </c>
      <c r="B583" s="6" t="inlineStr">
        <is>
          <t>TETRI ANGGRAINI</t>
        </is>
      </c>
      <c r="C583" s="7" t="inlineStr">
        <is>
          <t>AV - Agen Verified</t>
        </is>
      </c>
      <c r="D583" s="1" t="inlineStr">
        <is>
          <t>OP01847</t>
        </is>
      </c>
      <c r="E583" s="8" t="n">
        <v>44910.79444444444</v>
      </c>
      <c r="F583" s="7" t="inlineStr">
        <is>
          <t>DOWNLINE</t>
        </is>
      </c>
      <c r="G583" s="18" t="inlineStr">
        <is>
          <t>OP01847</t>
        </is>
      </c>
      <c r="H583" s="19">
        <f>UPPER(Table3[[#This Row],[Agen id]]&amp;"-"&amp;VLOOKUP(Table3[[#This Row],[Agen id]],A:B,2,0)&amp;"("&amp;Table3[[#This Row],[Short]]&amp;")")</f>
        <v/>
      </c>
      <c r="J583" s="7">
        <f>VLOOKUP(Table3[[#This Row],[Agen id]],Agen!A:C,3,0)</f>
        <v/>
      </c>
      <c r="K583" s="37">
        <f>TRIM(LEFT(Table3[[#This Row],[Group]],2))</f>
        <v/>
      </c>
      <c r="L583" s="3" t="inlineStr">
        <is>
          <t>NON SALES</t>
        </is>
      </c>
    </row>
    <row r="584">
      <c r="A584" s="5" t="inlineStr">
        <is>
          <t>OP03741</t>
        </is>
      </c>
      <c r="B584" s="6" t="inlineStr">
        <is>
          <t>Pujiati</t>
        </is>
      </c>
      <c r="C584" s="7" t="inlineStr">
        <is>
          <t>AV - Agen Verified</t>
        </is>
      </c>
      <c r="D584" s="1" t="inlineStr">
        <is>
          <t>OP00014</t>
        </is>
      </c>
      <c r="E584" s="8" t="n">
        <v>44910.81388888889</v>
      </c>
      <c r="F584" s="7" t="inlineStr">
        <is>
          <t>DOWNLINE</t>
        </is>
      </c>
      <c r="G584" s="18" t="inlineStr">
        <is>
          <t>OP00014</t>
        </is>
      </c>
      <c r="H584" s="19">
        <f>UPPER(Table3[[#This Row],[Agen id]]&amp;"-"&amp;VLOOKUP(Table3[[#This Row],[Agen id]],A:B,2,0)&amp;"("&amp;Table3[[#This Row],[Short]]&amp;")")</f>
        <v/>
      </c>
      <c r="J584" s="7">
        <f>VLOOKUP(Table3[[#This Row],[Agen id]],Agen!A:C,3,0)</f>
        <v/>
      </c>
      <c r="K584" s="37">
        <f>TRIM(LEFT(Table3[[#This Row],[Group]],2))</f>
        <v/>
      </c>
      <c r="L584" s="3" t="inlineStr">
        <is>
          <t>NON SALES</t>
        </is>
      </c>
    </row>
    <row r="585">
      <c r="A585" s="5" t="inlineStr">
        <is>
          <t>OP03742</t>
        </is>
      </c>
      <c r="B585" s="6" t="inlineStr">
        <is>
          <t>Zulpian</t>
        </is>
      </c>
      <c r="C585" s="7" t="inlineStr">
        <is>
          <t>A - Agen</t>
        </is>
      </c>
      <c r="D585" s="1" t="inlineStr">
        <is>
          <t>OP03563</t>
        </is>
      </c>
      <c r="E585" s="8" t="n">
        <v>44910.84513888889</v>
      </c>
      <c r="F585" s="7" t="inlineStr">
        <is>
          <t>DOWNLINE</t>
        </is>
      </c>
      <c r="G585" s="18" t="inlineStr">
        <is>
          <t>OP03563</t>
        </is>
      </c>
      <c r="H585" s="19">
        <f>UPPER(Table3[[#This Row],[Agen id]]&amp;"-"&amp;VLOOKUP(Table3[[#This Row],[Agen id]],A:B,2,0)&amp;"("&amp;Table3[[#This Row],[Short]]&amp;")")</f>
        <v/>
      </c>
      <c r="J585" s="7">
        <f>VLOOKUP(Table3[[#This Row],[Agen id]],Agen!A:C,3,0)</f>
        <v/>
      </c>
      <c r="K585" s="37">
        <f>TRIM(LEFT(Table3[[#This Row],[Group]],2))</f>
        <v/>
      </c>
      <c r="L585" s="3" t="inlineStr">
        <is>
          <t>NON SALES</t>
        </is>
      </c>
    </row>
    <row r="586">
      <c r="A586" s="5" t="inlineStr">
        <is>
          <t>OP03757</t>
        </is>
      </c>
      <c r="B586" s="6" t="inlineStr">
        <is>
          <t>DWI NOVI SATRIYANTO</t>
        </is>
      </c>
      <c r="C586" s="7" t="inlineStr">
        <is>
          <t>A - Agen</t>
        </is>
      </c>
      <c r="D586" s="1" t="inlineStr">
        <is>
          <t>OP00002</t>
        </is>
      </c>
      <c r="E586" s="8" t="n">
        <v>44911.67361111111</v>
      </c>
      <c r="F586" s="7" t="inlineStr">
        <is>
          <t>AGEN</t>
        </is>
      </c>
      <c r="G586" s="18" t="inlineStr">
        <is>
          <t>OP03757</t>
        </is>
      </c>
      <c r="H586" s="19">
        <f>UPPER(Table3[[#This Row],[Agen id]]&amp;"-"&amp;VLOOKUP(Table3[[#This Row],[Agen id]],A:B,2,0)&amp;"("&amp;Table3[[#This Row],[Short]]&amp;")")</f>
        <v/>
      </c>
      <c r="J586" s="7">
        <f>VLOOKUP(Table3[[#This Row],[Agen id]],Agen!A:C,3,0)</f>
        <v/>
      </c>
      <c r="K586" s="37">
        <f>TRIM(LEFT(Table3[[#This Row],[Group]],2))</f>
        <v/>
      </c>
      <c r="L586" s="3" t="inlineStr">
        <is>
          <t>NON SALES</t>
        </is>
      </c>
    </row>
    <row r="587">
      <c r="A587" s="5" t="inlineStr">
        <is>
          <t>OP03783</t>
        </is>
      </c>
      <c r="B587" s="6" t="inlineStr">
        <is>
          <t>Rarema</t>
        </is>
      </c>
      <c r="C587" s="7" t="inlineStr">
        <is>
          <t>AV - Agen Verified</t>
        </is>
      </c>
      <c r="D587" s="1" t="inlineStr">
        <is>
          <t>OP03699</t>
        </is>
      </c>
      <c r="E587" s="8" t="n">
        <v>44912.46805555555</v>
      </c>
      <c r="F587" s="7" t="inlineStr">
        <is>
          <t>DOWNLINE</t>
        </is>
      </c>
      <c r="G587" s="18" t="inlineStr">
        <is>
          <t>OP03699</t>
        </is>
      </c>
      <c r="H587" s="19">
        <f>UPPER(Table3[[#This Row],[Agen id]]&amp;"-"&amp;VLOOKUP(Table3[[#This Row],[Agen id]],A:B,2,0)&amp;"("&amp;Table3[[#This Row],[Short]]&amp;")")</f>
        <v/>
      </c>
      <c r="J587" s="7">
        <f>VLOOKUP(Table3[[#This Row],[Agen id]],Agen!A:C,3,0)</f>
        <v/>
      </c>
      <c r="K587" s="37">
        <f>TRIM(LEFT(Table3[[#This Row],[Group]],2))</f>
        <v/>
      </c>
      <c r="L587" s="3" t="inlineStr">
        <is>
          <t>NON SALES</t>
        </is>
      </c>
    </row>
    <row r="588">
      <c r="A588" s="5" t="inlineStr">
        <is>
          <t>OP03805</t>
        </is>
      </c>
      <c r="B588" s="6" t="inlineStr">
        <is>
          <t>Monica</t>
        </is>
      </c>
      <c r="C588" s="7" t="inlineStr">
        <is>
          <t>A - Agen</t>
        </is>
      </c>
      <c r="D588" s="1" t="inlineStr">
        <is>
          <t>OP00002</t>
        </is>
      </c>
      <c r="E588" s="8" t="n">
        <v>44912.93888888889</v>
      </c>
      <c r="F588" s="7" t="inlineStr">
        <is>
          <t>AGEN</t>
        </is>
      </c>
      <c r="G588" s="18" t="inlineStr">
        <is>
          <t>OP03805</t>
        </is>
      </c>
      <c r="H588" s="19">
        <f>UPPER(Table3[[#This Row],[Agen id]]&amp;"-"&amp;VLOOKUP(Table3[[#This Row],[Agen id]],A:B,2,0)&amp;"("&amp;Table3[[#This Row],[Short]]&amp;")")</f>
        <v/>
      </c>
      <c r="J588" s="7">
        <f>VLOOKUP(Table3[[#This Row],[Agen id]],Agen!A:C,3,0)</f>
        <v/>
      </c>
      <c r="K588" s="37">
        <f>TRIM(LEFT(Table3[[#This Row],[Group]],2))</f>
        <v/>
      </c>
      <c r="L588" s="3" t="inlineStr">
        <is>
          <t>NON SALES</t>
        </is>
      </c>
    </row>
    <row r="589">
      <c r="A589" s="5" t="inlineStr">
        <is>
          <t>OP03810</t>
        </is>
      </c>
      <c r="B589" s="6" t="inlineStr">
        <is>
          <t>Gentacell</t>
        </is>
      </c>
      <c r="C589" s="7" t="inlineStr">
        <is>
          <t>A - Agen</t>
        </is>
      </c>
      <c r="D589" s="1" t="inlineStr">
        <is>
          <t>OP00002</t>
        </is>
      </c>
      <c r="E589" s="8" t="n">
        <v>44913.10277777778</v>
      </c>
      <c r="F589" s="7" t="inlineStr">
        <is>
          <t>AGEN</t>
        </is>
      </c>
      <c r="G589" s="18" t="inlineStr">
        <is>
          <t>OP03810</t>
        </is>
      </c>
      <c r="H589" s="19">
        <f>UPPER(Table3[[#This Row],[Agen id]]&amp;"-"&amp;VLOOKUP(Table3[[#This Row],[Agen id]],A:B,2,0)&amp;"("&amp;Table3[[#This Row],[Short]]&amp;")")</f>
        <v/>
      </c>
      <c r="J589" s="7">
        <f>VLOOKUP(Table3[[#This Row],[Agen id]],Agen!A:C,3,0)</f>
        <v/>
      </c>
      <c r="K589" s="37">
        <f>TRIM(LEFT(Table3[[#This Row],[Group]],2))</f>
        <v/>
      </c>
      <c r="L589" s="3" t="inlineStr">
        <is>
          <t>NON SALES</t>
        </is>
      </c>
    </row>
    <row r="590">
      <c r="A590" s="5" t="inlineStr">
        <is>
          <t>OP03814</t>
        </is>
      </c>
      <c r="B590" s="6" t="inlineStr">
        <is>
          <t>Lablenta Agen Pulsa</t>
        </is>
      </c>
      <c r="C590" s="7" t="inlineStr">
        <is>
          <t>A - Agen</t>
        </is>
      </c>
      <c r="D590" s="1" t="inlineStr">
        <is>
          <t>OP00003</t>
        </is>
      </c>
      <c r="E590" s="8" t="n">
        <v>44913.39652777778</v>
      </c>
      <c r="F590" s="7" t="inlineStr">
        <is>
          <t>AGEN</t>
        </is>
      </c>
      <c r="G590" s="18" t="inlineStr">
        <is>
          <t>OP03814</t>
        </is>
      </c>
      <c r="H590" s="19">
        <f>UPPER(Table3[[#This Row],[Agen id]]&amp;"-"&amp;VLOOKUP(Table3[[#This Row],[Agen id]],A:B,2,0)&amp;"("&amp;Table3[[#This Row],[Short]]&amp;")")</f>
        <v/>
      </c>
      <c r="J590" s="7">
        <f>VLOOKUP(Table3[[#This Row],[Agen id]],Agen!A:C,3,0)</f>
        <v/>
      </c>
      <c r="K590" s="37">
        <f>TRIM(LEFT(Table3[[#This Row],[Group]],2))</f>
        <v/>
      </c>
      <c r="L590" s="3" t="inlineStr">
        <is>
          <t>NON SALES</t>
        </is>
      </c>
    </row>
    <row r="591">
      <c r="A591" s="5" t="inlineStr">
        <is>
          <t>OP03823</t>
        </is>
      </c>
      <c r="B591" s="6" t="inlineStr">
        <is>
          <t>Maha ratu mobile</t>
        </is>
      </c>
      <c r="C591" s="7" t="inlineStr">
        <is>
          <t>A - Agen</t>
        </is>
      </c>
      <c r="D591" s="1" t="inlineStr">
        <is>
          <t>OP00002</t>
        </is>
      </c>
      <c r="E591" s="8" t="n">
        <v>44913.63402777778</v>
      </c>
      <c r="F591" s="7" t="inlineStr">
        <is>
          <t>AGEN</t>
        </is>
      </c>
      <c r="G591" s="18" t="inlineStr">
        <is>
          <t>OP03823</t>
        </is>
      </c>
      <c r="H591" s="19">
        <f>UPPER(Table3[[#This Row],[Agen id]]&amp;"-"&amp;VLOOKUP(Table3[[#This Row],[Agen id]],A:B,2,0)&amp;"("&amp;Table3[[#This Row],[Short]]&amp;")")</f>
        <v/>
      </c>
      <c r="J591" s="7">
        <f>VLOOKUP(Table3[[#This Row],[Agen id]],Agen!A:C,3,0)</f>
        <v/>
      </c>
      <c r="K591" s="37">
        <f>TRIM(LEFT(Table3[[#This Row],[Group]],2))</f>
        <v/>
      </c>
      <c r="L591" s="3" t="inlineStr">
        <is>
          <t>NON SALES</t>
        </is>
      </c>
    </row>
    <row r="592">
      <c r="A592" s="5" t="inlineStr">
        <is>
          <t>OP03824</t>
        </is>
      </c>
      <c r="B592" s="6" t="inlineStr">
        <is>
          <t>Dcell</t>
        </is>
      </c>
      <c r="C592" s="7" t="inlineStr">
        <is>
          <t>A - Agen</t>
        </is>
      </c>
      <c r="D592" s="1" t="inlineStr">
        <is>
          <t>OP00236</t>
        </is>
      </c>
      <c r="E592" s="8" t="n">
        <v>44913.63611111111</v>
      </c>
      <c r="F592" s="7" t="inlineStr">
        <is>
          <t>DOWNLINE</t>
        </is>
      </c>
      <c r="G592" s="18" t="inlineStr">
        <is>
          <t>OP00236</t>
        </is>
      </c>
      <c r="H592" s="19">
        <f>UPPER(Table3[[#This Row],[Agen id]]&amp;"-"&amp;VLOOKUP(Table3[[#This Row],[Agen id]],A:B,2,0)&amp;"("&amp;Table3[[#This Row],[Short]]&amp;")")</f>
        <v/>
      </c>
      <c r="J592" s="7">
        <f>VLOOKUP(Table3[[#This Row],[Agen id]],Agen!A:C,3,0)</f>
        <v/>
      </c>
      <c r="K592" s="37">
        <f>TRIM(LEFT(Table3[[#This Row],[Group]],2))</f>
        <v/>
      </c>
      <c r="L592" s="3" t="inlineStr">
        <is>
          <t>NON SALES</t>
        </is>
      </c>
    </row>
    <row r="593">
      <c r="A593" s="5" t="inlineStr">
        <is>
          <t>OP03832</t>
        </is>
      </c>
      <c r="B593" s="6" t="inlineStr">
        <is>
          <t>Putri aprilia</t>
        </is>
      </c>
      <c r="C593" s="7" t="inlineStr">
        <is>
          <t>AV - Agen Verified</t>
        </is>
      </c>
      <c r="D593" s="1" t="inlineStr">
        <is>
          <t>OP00003</t>
        </is>
      </c>
      <c r="E593" s="8" t="n">
        <v>44913.79375</v>
      </c>
      <c r="F593" s="7" t="inlineStr">
        <is>
          <t>AGEN</t>
        </is>
      </c>
      <c r="G593" s="18" t="inlineStr">
        <is>
          <t>OP03832</t>
        </is>
      </c>
      <c r="H593" s="19">
        <f>UPPER(Table3[[#This Row],[Agen id]]&amp;"-"&amp;VLOOKUP(Table3[[#This Row],[Agen id]],A:B,2,0)&amp;"("&amp;Table3[[#This Row],[Short]]&amp;")")</f>
        <v/>
      </c>
      <c r="J593" s="7">
        <f>VLOOKUP(Table3[[#This Row],[Agen id]],Agen!A:C,3,0)</f>
        <v/>
      </c>
      <c r="K593" s="37">
        <f>TRIM(LEFT(Table3[[#This Row],[Group]],2))</f>
        <v/>
      </c>
      <c r="L593" s="3" t="inlineStr">
        <is>
          <t>NON SALES</t>
        </is>
      </c>
    </row>
    <row r="594">
      <c r="A594" s="5" t="inlineStr">
        <is>
          <t>OP03833</t>
        </is>
      </c>
      <c r="B594" s="6" t="inlineStr">
        <is>
          <t>Ayeng</t>
        </is>
      </c>
      <c r="C594" s="7" t="inlineStr">
        <is>
          <t>A - Agen</t>
        </is>
      </c>
      <c r="D594" s="1" t="inlineStr">
        <is>
          <t>OP00002</t>
        </is>
      </c>
      <c r="E594" s="8" t="n">
        <v>44913.80416666667</v>
      </c>
      <c r="F594" s="7" t="inlineStr">
        <is>
          <t>AGEN</t>
        </is>
      </c>
      <c r="G594" s="18" t="inlineStr">
        <is>
          <t>OP03833</t>
        </is>
      </c>
      <c r="H594" s="19">
        <f>UPPER(Table3[[#This Row],[Agen id]]&amp;"-"&amp;VLOOKUP(Table3[[#This Row],[Agen id]],A:B,2,0)&amp;"("&amp;Table3[[#This Row],[Short]]&amp;")")</f>
        <v/>
      </c>
      <c r="J594" s="7">
        <f>VLOOKUP(Table3[[#This Row],[Agen id]],Agen!A:C,3,0)</f>
        <v/>
      </c>
      <c r="K594" s="37">
        <f>TRIM(LEFT(Table3[[#This Row],[Group]],2))</f>
        <v/>
      </c>
      <c r="L594" s="3" t="inlineStr">
        <is>
          <t>NON SALES</t>
        </is>
      </c>
    </row>
    <row r="595">
      <c r="A595" s="5" t="inlineStr">
        <is>
          <t>OP03840</t>
        </is>
      </c>
      <c r="B595" s="6" t="inlineStr">
        <is>
          <t>Yulia efni</t>
        </is>
      </c>
      <c r="C595" s="7" t="inlineStr">
        <is>
          <t>A - Agen</t>
        </is>
      </c>
      <c r="D595" s="1" t="inlineStr">
        <is>
          <t>OP03000</t>
        </is>
      </c>
      <c r="E595" s="8" t="n">
        <v>44913.88958333333</v>
      </c>
      <c r="F595" s="7" t="inlineStr">
        <is>
          <t>DOWNLINE</t>
        </is>
      </c>
      <c r="G595" s="18" t="inlineStr">
        <is>
          <t>OP00996</t>
        </is>
      </c>
      <c r="H595" s="19">
        <f>UPPER(Table3[[#This Row],[Agen id]]&amp;"-"&amp;VLOOKUP(Table3[[#This Row],[Agen id]],A:B,2,0)&amp;"("&amp;Table3[[#This Row],[Short]]&amp;")")</f>
        <v/>
      </c>
      <c r="J595" s="7">
        <f>VLOOKUP(Table3[[#This Row],[Agen id]],Agen!A:C,3,0)</f>
        <v/>
      </c>
      <c r="K595" s="37">
        <f>TRIM(LEFT(Table3[[#This Row],[Group]],2))</f>
        <v/>
      </c>
      <c r="L595" s="3" t="inlineStr">
        <is>
          <t>NON SALES</t>
        </is>
      </c>
    </row>
    <row r="596">
      <c r="A596" s="5" t="inlineStr">
        <is>
          <t>OP03852</t>
        </is>
      </c>
      <c r="B596" s="6" t="inlineStr">
        <is>
          <t>Neni Nuryani</t>
        </is>
      </c>
      <c r="C596" s="7" t="inlineStr">
        <is>
          <t>A - Agen</t>
        </is>
      </c>
      <c r="D596" s="1" t="inlineStr">
        <is>
          <t>OP00003</t>
        </is>
      </c>
      <c r="E596" s="8" t="n">
        <v>44914.41527777778</v>
      </c>
      <c r="F596" s="7" t="inlineStr">
        <is>
          <t>AGEN</t>
        </is>
      </c>
      <c r="G596" s="18" t="inlineStr">
        <is>
          <t>OP03852</t>
        </is>
      </c>
      <c r="H596" s="19">
        <f>UPPER(Table3[[#This Row],[Agen id]]&amp;"-"&amp;VLOOKUP(Table3[[#This Row],[Agen id]],A:B,2,0)&amp;"("&amp;Table3[[#This Row],[Short]]&amp;")")</f>
        <v/>
      </c>
      <c r="J596" s="7">
        <f>VLOOKUP(Table3[[#This Row],[Agen id]],Agen!A:C,3,0)</f>
        <v/>
      </c>
      <c r="K596" s="37">
        <f>TRIM(LEFT(Table3[[#This Row],[Group]],2))</f>
        <v/>
      </c>
      <c r="L596" s="3" t="inlineStr">
        <is>
          <t>NON SALES</t>
        </is>
      </c>
    </row>
    <row r="597">
      <c r="A597" s="5" t="inlineStr">
        <is>
          <t>OP03857</t>
        </is>
      </c>
      <c r="B597" s="6" t="inlineStr">
        <is>
          <t>Mp mas ponsel</t>
        </is>
      </c>
      <c r="C597" s="7" t="inlineStr">
        <is>
          <t>AV - Agen Verified</t>
        </is>
      </c>
      <c r="D597" s="1" t="inlineStr">
        <is>
          <t>OP00996</t>
        </is>
      </c>
      <c r="E597" s="8" t="n">
        <v>44914.56180555555</v>
      </c>
      <c r="F597" s="7" t="inlineStr">
        <is>
          <t>DOWNLINE</t>
        </is>
      </c>
      <c r="G597" s="18" t="inlineStr">
        <is>
          <t>OP00996</t>
        </is>
      </c>
      <c r="H597" s="19">
        <f>UPPER(Table3[[#This Row],[Agen id]]&amp;"-"&amp;VLOOKUP(Table3[[#This Row],[Agen id]],A:B,2,0)&amp;"("&amp;Table3[[#This Row],[Short]]&amp;")")</f>
        <v/>
      </c>
      <c r="J597" s="7">
        <f>VLOOKUP(Table3[[#This Row],[Agen id]],Agen!A:C,3,0)</f>
        <v/>
      </c>
      <c r="K597" s="37">
        <f>TRIM(LEFT(Table3[[#This Row],[Group]],2))</f>
        <v/>
      </c>
      <c r="L597" s="3" t="inlineStr">
        <is>
          <t>NON SALES</t>
        </is>
      </c>
    </row>
    <row r="598">
      <c r="A598" s="5" t="inlineStr">
        <is>
          <t>OP03860</t>
        </is>
      </c>
      <c r="B598" s="6" t="inlineStr">
        <is>
          <t>friskacell</t>
        </is>
      </c>
      <c r="C598" s="7" t="inlineStr">
        <is>
          <t>A - Agen</t>
        </is>
      </c>
      <c r="D598" s="1" t="inlineStr">
        <is>
          <t>OP00002</t>
        </is>
      </c>
      <c r="E598" s="8" t="n">
        <v>44914.59444444445</v>
      </c>
      <c r="F598" s="7" t="inlineStr">
        <is>
          <t>AGEN</t>
        </is>
      </c>
      <c r="G598" s="18" t="inlineStr">
        <is>
          <t>OP03860</t>
        </is>
      </c>
      <c r="H598" s="19">
        <f>UPPER(Table3[[#This Row],[Agen id]]&amp;"-"&amp;VLOOKUP(Table3[[#This Row],[Agen id]],A:B,2,0)&amp;"("&amp;Table3[[#This Row],[Short]]&amp;")")</f>
        <v/>
      </c>
      <c r="J598" s="7">
        <f>VLOOKUP(Table3[[#This Row],[Agen id]],Agen!A:C,3,0)</f>
        <v/>
      </c>
      <c r="K598" s="37">
        <f>TRIM(LEFT(Table3[[#This Row],[Group]],2))</f>
        <v/>
      </c>
      <c r="L598" s="3" t="inlineStr">
        <is>
          <t>NON SALES</t>
        </is>
      </c>
    </row>
    <row r="599">
      <c r="A599" s="5" t="inlineStr">
        <is>
          <t>OP03862</t>
        </is>
      </c>
      <c r="B599" s="6" t="inlineStr">
        <is>
          <t>Ariana Herawaty</t>
        </is>
      </c>
      <c r="C599" s="7" t="inlineStr">
        <is>
          <t>A - Agen</t>
        </is>
      </c>
      <c r="D599" s="1" t="inlineStr">
        <is>
          <t>OP00996</t>
        </is>
      </c>
      <c r="E599" s="8" t="n">
        <v>44914.62222222222</v>
      </c>
      <c r="F599" s="7" t="inlineStr">
        <is>
          <t>DOWNLINE</t>
        </is>
      </c>
      <c r="G599" s="18" t="inlineStr">
        <is>
          <t>OP00996</t>
        </is>
      </c>
      <c r="H599" s="19">
        <f>UPPER(Table3[[#This Row],[Agen id]]&amp;"-"&amp;VLOOKUP(Table3[[#This Row],[Agen id]],A:B,2,0)&amp;"("&amp;Table3[[#This Row],[Short]]&amp;")")</f>
        <v/>
      </c>
      <c r="J599" s="7">
        <f>VLOOKUP(Table3[[#This Row],[Agen id]],Agen!A:C,3,0)</f>
        <v/>
      </c>
      <c r="K599" s="37">
        <f>TRIM(LEFT(Table3[[#This Row],[Group]],2))</f>
        <v/>
      </c>
      <c r="L599" s="3" t="inlineStr">
        <is>
          <t>NON SALES</t>
        </is>
      </c>
    </row>
    <row r="600">
      <c r="A600" s="5" t="inlineStr">
        <is>
          <t>OP03865</t>
        </is>
      </c>
      <c r="B600" s="6" t="inlineStr">
        <is>
          <t>Septian Rizky Dalimunthe</t>
        </is>
      </c>
      <c r="C600" s="7" t="inlineStr">
        <is>
          <t>A - Agen</t>
        </is>
      </c>
      <c r="D600" s="1" t="inlineStr">
        <is>
          <t>OP00002</t>
        </is>
      </c>
      <c r="E600" s="8" t="n">
        <v>44914.70833333334</v>
      </c>
      <c r="F600" s="7" t="inlineStr">
        <is>
          <t>AGEN</t>
        </is>
      </c>
      <c r="G600" s="18" t="inlineStr">
        <is>
          <t>OP03865</t>
        </is>
      </c>
      <c r="H600" s="19">
        <f>UPPER(Table3[[#This Row],[Agen id]]&amp;"-"&amp;VLOOKUP(Table3[[#This Row],[Agen id]],A:B,2,0)&amp;"("&amp;Table3[[#This Row],[Short]]&amp;")")</f>
        <v/>
      </c>
      <c r="J600" s="7">
        <f>VLOOKUP(Table3[[#This Row],[Agen id]],Agen!A:C,3,0)</f>
        <v/>
      </c>
      <c r="K600" s="37">
        <f>TRIM(LEFT(Table3[[#This Row],[Group]],2))</f>
        <v/>
      </c>
      <c r="L600" s="3" t="inlineStr">
        <is>
          <t>NON SALES</t>
        </is>
      </c>
    </row>
    <row r="601">
      <c r="A601" s="5" t="inlineStr">
        <is>
          <t>OP03869</t>
        </is>
      </c>
      <c r="B601" s="6" t="inlineStr">
        <is>
          <t>Karina Cell</t>
        </is>
      </c>
      <c r="C601" s="7" t="inlineStr">
        <is>
          <t>AV - Agen Verified</t>
        </is>
      </c>
      <c r="D601" s="1" t="inlineStr">
        <is>
          <t>OP02233</t>
        </is>
      </c>
      <c r="E601" s="8" t="n">
        <v>44914.88055555556</v>
      </c>
      <c r="F601" s="7" t="inlineStr">
        <is>
          <t>DOWNLINE</t>
        </is>
      </c>
      <c r="G601" s="18" t="inlineStr">
        <is>
          <t>OP02233</t>
        </is>
      </c>
      <c r="H601" s="19">
        <f>UPPER(Table3[[#This Row],[Agen id]]&amp;"-"&amp;VLOOKUP(Table3[[#This Row],[Agen id]],A:B,2,0)&amp;"("&amp;Table3[[#This Row],[Short]]&amp;")")</f>
        <v/>
      </c>
      <c r="J601" s="7">
        <f>VLOOKUP(Table3[[#This Row],[Agen id]],Agen!A:C,3,0)</f>
        <v/>
      </c>
      <c r="K601" s="37">
        <f>TRIM(LEFT(Table3[[#This Row],[Group]],2))</f>
        <v/>
      </c>
      <c r="L601" s="3" t="inlineStr">
        <is>
          <t>NON SALES</t>
        </is>
      </c>
    </row>
    <row r="602">
      <c r="A602" s="5" t="inlineStr">
        <is>
          <t>OP03870</t>
        </is>
      </c>
      <c r="B602" s="6" t="inlineStr">
        <is>
          <t>Bang_Affir Axs</t>
        </is>
      </c>
      <c r="C602" s="7" t="inlineStr">
        <is>
          <t>AB1 - Agen Kab Bogor</t>
        </is>
      </c>
      <c r="D602" s="1" t="inlineStr">
        <is>
          <t>OP01697</t>
        </is>
      </c>
      <c r="E602" s="8" t="n">
        <v>44914.88819444444</v>
      </c>
      <c r="F602" s="7" t="inlineStr">
        <is>
          <t>DOWNLINE</t>
        </is>
      </c>
      <c r="G602" s="18" t="inlineStr">
        <is>
          <t>OP01697</t>
        </is>
      </c>
      <c r="H602" s="19">
        <f>UPPER(Table3[[#This Row],[Agen id]]&amp;"-"&amp;VLOOKUP(Table3[[#This Row],[Agen id]],A:B,2,0)&amp;"("&amp;Table3[[#This Row],[Short]]&amp;")")</f>
        <v/>
      </c>
      <c r="J602" s="7">
        <f>VLOOKUP(Table3[[#This Row],[Agen id]],Agen!A:C,3,0)</f>
        <v/>
      </c>
      <c r="K602" s="37">
        <f>TRIM(LEFT(Table3[[#This Row],[Group]],2))</f>
        <v/>
      </c>
      <c r="L602" s="3" t="inlineStr">
        <is>
          <t>NON SALES</t>
        </is>
      </c>
    </row>
    <row r="603">
      <c r="A603" s="5" t="inlineStr">
        <is>
          <t>OP03885</t>
        </is>
      </c>
      <c r="B603" s="6" t="inlineStr">
        <is>
          <t>Suyantoceell</t>
        </is>
      </c>
      <c r="C603" s="7" t="inlineStr">
        <is>
          <t>AV - Agen Verified</t>
        </is>
      </c>
      <c r="D603" s="1" t="inlineStr">
        <is>
          <t>OP00002</t>
        </is>
      </c>
      <c r="E603" s="8" t="n">
        <v>44915.35347222222</v>
      </c>
      <c r="F603" s="7" t="inlineStr">
        <is>
          <t>AGEN</t>
        </is>
      </c>
      <c r="G603" s="18" t="inlineStr">
        <is>
          <t>OP03885</t>
        </is>
      </c>
      <c r="H603" s="19">
        <f>UPPER(Table3[[#This Row],[Agen id]]&amp;"-"&amp;VLOOKUP(Table3[[#This Row],[Agen id]],A:B,2,0)&amp;"("&amp;Table3[[#This Row],[Short]]&amp;")")</f>
        <v/>
      </c>
      <c r="J603" s="7">
        <f>VLOOKUP(Table3[[#This Row],[Agen id]],Agen!A:C,3,0)</f>
        <v/>
      </c>
      <c r="K603" s="37">
        <f>TRIM(LEFT(Table3[[#This Row],[Group]],2))</f>
        <v/>
      </c>
      <c r="L603" s="3" t="inlineStr">
        <is>
          <t>NON SALES</t>
        </is>
      </c>
    </row>
    <row r="604">
      <c r="A604" s="5" t="inlineStr">
        <is>
          <t>OP03892</t>
        </is>
      </c>
      <c r="B604" s="6" t="inlineStr">
        <is>
          <t>ANANDAR SAPUTRA</t>
        </is>
      </c>
      <c r="C604" s="7" t="inlineStr">
        <is>
          <t>AV - Agen Verified</t>
        </is>
      </c>
      <c r="D604" s="1" t="inlineStr">
        <is>
          <t>OP01600</t>
        </is>
      </c>
      <c r="E604" s="8" t="n">
        <v>44915.52361111111</v>
      </c>
      <c r="F604" s="7" t="inlineStr">
        <is>
          <t>DOWNLINE</t>
        </is>
      </c>
      <c r="G604" s="18" t="inlineStr">
        <is>
          <t>OP01600</t>
        </is>
      </c>
      <c r="H604" s="19">
        <f>UPPER(Table3[[#This Row],[Agen id]]&amp;"-"&amp;VLOOKUP(Table3[[#This Row],[Agen id]],A:B,2,0)&amp;"("&amp;Table3[[#This Row],[Short]]&amp;")")</f>
        <v/>
      </c>
      <c r="J604" s="7">
        <f>VLOOKUP(Table3[[#This Row],[Agen id]],Agen!A:C,3,0)</f>
        <v/>
      </c>
      <c r="K604" s="37">
        <f>TRIM(LEFT(Table3[[#This Row],[Group]],2))</f>
        <v/>
      </c>
      <c r="L604" s="3" t="inlineStr">
        <is>
          <t>NON SALES</t>
        </is>
      </c>
    </row>
    <row r="605">
      <c r="A605" s="5" t="inlineStr">
        <is>
          <t>OP03918</t>
        </is>
      </c>
      <c r="B605" s="6" t="inlineStr">
        <is>
          <t>SEJAHTERA MANDIRI</t>
        </is>
      </c>
      <c r="C605" s="7" t="inlineStr">
        <is>
          <t>AV - Agen Verified</t>
        </is>
      </c>
      <c r="D605" s="1" t="inlineStr">
        <is>
          <t>OP00304</t>
        </is>
      </c>
      <c r="E605" s="8" t="n">
        <v>44916.52013888889</v>
      </c>
      <c r="F605" s="7" t="inlineStr">
        <is>
          <t>DOWNLINE</t>
        </is>
      </c>
      <c r="G605" s="18" t="inlineStr">
        <is>
          <t>OP00304</t>
        </is>
      </c>
      <c r="H605" s="19">
        <f>UPPER(Table3[[#This Row],[Agen id]]&amp;"-"&amp;VLOOKUP(Table3[[#This Row],[Agen id]],A:B,2,0)&amp;"("&amp;Table3[[#This Row],[Short]]&amp;")")</f>
        <v/>
      </c>
      <c r="J605" s="7">
        <f>VLOOKUP(Table3[[#This Row],[Agen id]],Agen!A:C,3,0)</f>
        <v/>
      </c>
      <c r="K605" s="37">
        <f>TRIM(LEFT(Table3[[#This Row],[Group]],2))</f>
        <v/>
      </c>
      <c r="L605" s="3" t="inlineStr">
        <is>
          <t>NON SALES</t>
        </is>
      </c>
    </row>
    <row r="606">
      <c r="A606" s="5" t="inlineStr">
        <is>
          <t>OP03926</t>
        </is>
      </c>
      <c r="B606" s="6" t="inlineStr">
        <is>
          <t>Panjaitan cell</t>
        </is>
      </c>
      <c r="C606" s="7" t="inlineStr">
        <is>
          <t>A - Agen</t>
        </is>
      </c>
      <c r="D606" s="1" t="inlineStr">
        <is>
          <t>OP00002</t>
        </is>
      </c>
      <c r="E606" s="8" t="n">
        <v>44916.79027777778</v>
      </c>
      <c r="F606" s="7" t="inlineStr">
        <is>
          <t>AGEN</t>
        </is>
      </c>
      <c r="G606" s="18" t="inlineStr">
        <is>
          <t>OP03926</t>
        </is>
      </c>
      <c r="H606" s="19">
        <f>UPPER(Table3[[#This Row],[Agen id]]&amp;"-"&amp;VLOOKUP(Table3[[#This Row],[Agen id]],A:B,2,0)&amp;"("&amp;Table3[[#This Row],[Short]]&amp;")")</f>
        <v/>
      </c>
      <c r="J606" s="7">
        <f>VLOOKUP(Table3[[#This Row],[Agen id]],Agen!A:C,3,0)</f>
        <v/>
      </c>
      <c r="K606" s="37">
        <f>TRIM(LEFT(Table3[[#This Row],[Group]],2))</f>
        <v/>
      </c>
      <c r="L606" s="3" t="inlineStr">
        <is>
          <t>NON SALES</t>
        </is>
      </c>
    </row>
    <row r="607">
      <c r="A607" s="5" t="inlineStr">
        <is>
          <t>OP03930</t>
        </is>
      </c>
      <c r="B607" s="6" t="inlineStr">
        <is>
          <t>Hanin Jaya</t>
        </is>
      </c>
      <c r="C607" s="7" t="inlineStr">
        <is>
          <t>A - Agen</t>
        </is>
      </c>
      <c r="D607" s="1" t="inlineStr">
        <is>
          <t>OP00996</t>
        </is>
      </c>
      <c r="E607" s="8" t="n">
        <v>44917.14097222222</v>
      </c>
      <c r="F607" s="7" t="inlineStr">
        <is>
          <t>DOWNLINE</t>
        </is>
      </c>
      <c r="G607" s="18" t="inlineStr">
        <is>
          <t>OP00996</t>
        </is>
      </c>
      <c r="H607" s="19">
        <f>UPPER(Table3[[#This Row],[Agen id]]&amp;"-"&amp;VLOOKUP(Table3[[#This Row],[Agen id]],A:B,2,0)&amp;"("&amp;Table3[[#This Row],[Short]]&amp;")")</f>
        <v/>
      </c>
      <c r="J607" s="7">
        <f>VLOOKUP(Table3[[#This Row],[Agen id]],Agen!A:C,3,0)</f>
        <v/>
      </c>
      <c r="K607" s="37">
        <f>TRIM(LEFT(Table3[[#This Row],[Group]],2))</f>
        <v/>
      </c>
      <c r="L607" s="3" t="inlineStr">
        <is>
          <t>NON SALES</t>
        </is>
      </c>
    </row>
    <row r="608">
      <c r="A608" s="5" t="inlineStr">
        <is>
          <t>OP03935</t>
        </is>
      </c>
      <c r="B608" s="6" t="inlineStr">
        <is>
          <t>h.muh alwi</t>
        </is>
      </c>
      <c r="C608" s="7" t="inlineStr">
        <is>
          <t>A - Agen</t>
        </is>
      </c>
      <c r="D608" s="1" t="inlineStr">
        <is>
          <t>OP00002</t>
        </is>
      </c>
      <c r="E608" s="8" t="n">
        <v>44917.54583333333</v>
      </c>
      <c r="F608" s="7" t="inlineStr">
        <is>
          <t>AGEN</t>
        </is>
      </c>
      <c r="G608" s="18" t="inlineStr">
        <is>
          <t>OP03935</t>
        </is>
      </c>
      <c r="H608" s="19">
        <f>UPPER(Table3[[#This Row],[Agen id]]&amp;"-"&amp;VLOOKUP(Table3[[#This Row],[Agen id]],A:B,2,0)&amp;"("&amp;Table3[[#This Row],[Short]]&amp;")")</f>
        <v/>
      </c>
      <c r="J608" s="7">
        <f>VLOOKUP(Table3[[#This Row],[Agen id]],Agen!A:C,3,0)</f>
        <v/>
      </c>
      <c r="K608" s="37">
        <f>TRIM(LEFT(Table3[[#This Row],[Group]],2))</f>
        <v/>
      </c>
      <c r="L608" s="3" t="inlineStr">
        <is>
          <t>NON SALES</t>
        </is>
      </c>
    </row>
    <row r="609">
      <c r="A609" s="5" t="inlineStr">
        <is>
          <t>OP03948</t>
        </is>
      </c>
      <c r="B609" s="6" t="inlineStr">
        <is>
          <t>Had</t>
        </is>
      </c>
      <c r="C609" s="7" t="inlineStr">
        <is>
          <t>A - Agen</t>
        </is>
      </c>
      <c r="D609" s="1" t="inlineStr">
        <is>
          <t>OP00002</t>
        </is>
      </c>
      <c r="E609" s="8" t="n">
        <v>44918.31180555555</v>
      </c>
      <c r="F609" s="7" t="inlineStr">
        <is>
          <t>AGEN</t>
        </is>
      </c>
      <c r="G609" s="18" t="inlineStr">
        <is>
          <t>OP03948</t>
        </is>
      </c>
      <c r="H609" s="19">
        <f>UPPER(Table3[[#This Row],[Agen id]]&amp;"-"&amp;VLOOKUP(Table3[[#This Row],[Agen id]],A:B,2,0)&amp;"("&amp;Table3[[#This Row],[Short]]&amp;")")</f>
        <v/>
      </c>
      <c r="J609" s="7">
        <f>VLOOKUP(Table3[[#This Row],[Agen id]],Agen!A:C,3,0)</f>
        <v/>
      </c>
      <c r="K609" s="37">
        <f>TRIM(LEFT(Table3[[#This Row],[Group]],2))</f>
        <v/>
      </c>
      <c r="L609" s="3" t="inlineStr">
        <is>
          <t>NON SALES</t>
        </is>
      </c>
    </row>
    <row r="610">
      <c r="A610" s="5" t="inlineStr">
        <is>
          <t>OP03954</t>
        </is>
      </c>
      <c r="B610" s="6" t="inlineStr">
        <is>
          <t>Susilawati</t>
        </is>
      </c>
      <c r="C610" s="7" t="inlineStr">
        <is>
          <t>AB1 - Agen Kab Bogor</t>
        </is>
      </c>
      <c r="D610" s="1" t="inlineStr">
        <is>
          <t>OP00002</t>
        </is>
      </c>
      <c r="E610" s="8" t="n">
        <v>44918.37569444445</v>
      </c>
      <c r="F610" s="7" t="inlineStr">
        <is>
          <t>AGEN</t>
        </is>
      </c>
      <c r="G610" s="18" t="inlineStr">
        <is>
          <t>OP03954</t>
        </is>
      </c>
      <c r="H610" s="19">
        <f>UPPER(Table3[[#This Row],[Agen id]]&amp;"-"&amp;VLOOKUP(Table3[[#This Row],[Agen id]],A:B,2,0)&amp;"("&amp;Table3[[#This Row],[Short]]&amp;")")</f>
        <v/>
      </c>
      <c r="J610" s="7">
        <f>VLOOKUP(Table3[[#This Row],[Agen id]],Agen!A:C,3,0)</f>
        <v/>
      </c>
      <c r="K610" s="37">
        <f>TRIM(LEFT(Table3[[#This Row],[Group]],2))</f>
        <v/>
      </c>
      <c r="L610" s="3" t="inlineStr">
        <is>
          <t>NON SALES</t>
        </is>
      </c>
    </row>
    <row r="611">
      <c r="A611" s="5" t="inlineStr">
        <is>
          <t>OP03961</t>
        </is>
      </c>
      <c r="B611" s="6" t="inlineStr">
        <is>
          <t>Bayuk</t>
        </is>
      </c>
      <c r="C611" s="7" t="inlineStr">
        <is>
          <t>A - Agen</t>
        </is>
      </c>
      <c r="D611" s="1" t="inlineStr">
        <is>
          <t>OP00002</t>
        </is>
      </c>
      <c r="E611" s="8" t="n">
        <v>44918.63958333333</v>
      </c>
      <c r="F611" s="7" t="inlineStr">
        <is>
          <t>AGEN</t>
        </is>
      </c>
      <c r="G611" s="18" t="inlineStr">
        <is>
          <t>OP03961</t>
        </is>
      </c>
      <c r="H611" s="19">
        <f>UPPER(Table3[[#This Row],[Agen id]]&amp;"-"&amp;VLOOKUP(Table3[[#This Row],[Agen id]],A:B,2,0)&amp;"("&amp;Table3[[#This Row],[Short]]&amp;")")</f>
        <v/>
      </c>
      <c r="J611" s="7">
        <f>VLOOKUP(Table3[[#This Row],[Agen id]],Agen!A:C,3,0)</f>
        <v/>
      </c>
      <c r="K611" s="37">
        <f>TRIM(LEFT(Table3[[#This Row],[Group]],2))</f>
        <v/>
      </c>
      <c r="L611" s="3" t="inlineStr">
        <is>
          <t>NON SALES</t>
        </is>
      </c>
    </row>
    <row r="612">
      <c r="A612" s="5" t="inlineStr">
        <is>
          <t>OP03967</t>
        </is>
      </c>
      <c r="B612" s="6" t="inlineStr">
        <is>
          <t>GERRY</t>
        </is>
      </c>
      <c r="C612" s="7" t="inlineStr">
        <is>
          <t>AV - Agen Verified</t>
        </is>
      </c>
      <c r="D612" s="1" t="inlineStr">
        <is>
          <t>OP00002</t>
        </is>
      </c>
      <c r="E612" s="8" t="n">
        <v>44918.76666666667</v>
      </c>
      <c r="F612" s="7" t="inlineStr">
        <is>
          <t>AGEN</t>
        </is>
      </c>
      <c r="G612" s="18" t="inlineStr">
        <is>
          <t>OP03967</t>
        </is>
      </c>
      <c r="H612" s="19">
        <f>UPPER(Table3[[#This Row],[Agen id]]&amp;"-"&amp;VLOOKUP(Table3[[#This Row],[Agen id]],A:B,2,0)&amp;"("&amp;Table3[[#This Row],[Short]]&amp;")")</f>
        <v/>
      </c>
      <c r="J612" s="7">
        <f>VLOOKUP(Table3[[#This Row],[Agen id]],Agen!A:C,3,0)</f>
        <v/>
      </c>
      <c r="K612" s="37">
        <f>TRIM(LEFT(Table3[[#This Row],[Group]],2))</f>
        <v/>
      </c>
      <c r="L612" s="3" t="inlineStr">
        <is>
          <t>NON SALES</t>
        </is>
      </c>
    </row>
    <row r="613">
      <c r="A613" s="5" t="inlineStr">
        <is>
          <t>OP03988</t>
        </is>
      </c>
      <c r="B613" s="6" t="inlineStr">
        <is>
          <t>Aan</t>
        </is>
      </c>
      <c r="C613" s="7" t="inlineStr">
        <is>
          <t>A - Agen</t>
        </is>
      </c>
      <c r="D613" s="1" t="inlineStr">
        <is>
          <t>OP00002</t>
        </is>
      </c>
      <c r="E613" s="8" t="n">
        <v>44919.78263888889</v>
      </c>
      <c r="F613" s="7" t="inlineStr">
        <is>
          <t>AGEN</t>
        </is>
      </c>
      <c r="G613" s="18" t="inlineStr">
        <is>
          <t>OP03988</t>
        </is>
      </c>
      <c r="H613" s="19">
        <f>UPPER(Table3[[#This Row],[Agen id]]&amp;"-"&amp;VLOOKUP(Table3[[#This Row],[Agen id]],A:B,2,0)&amp;"("&amp;Table3[[#This Row],[Short]]&amp;")")</f>
        <v/>
      </c>
      <c r="J613" s="7">
        <f>VLOOKUP(Table3[[#This Row],[Agen id]],Agen!A:C,3,0)</f>
        <v/>
      </c>
      <c r="K613" s="37">
        <f>TRIM(LEFT(Table3[[#This Row],[Group]],2))</f>
        <v/>
      </c>
      <c r="L613" s="3" t="inlineStr">
        <is>
          <t>NON SALES</t>
        </is>
      </c>
    </row>
    <row r="614">
      <c r="A614" s="5" t="inlineStr">
        <is>
          <t>OP03990</t>
        </is>
      </c>
      <c r="B614" s="6" t="inlineStr">
        <is>
          <t>Tokone Mak Njum</t>
        </is>
      </c>
      <c r="C614" s="7" t="inlineStr">
        <is>
          <t>A - Agen</t>
        </is>
      </c>
      <c r="D614" s="1" t="inlineStr">
        <is>
          <t>OP00996</t>
        </is>
      </c>
      <c r="E614" s="8" t="n">
        <v>44919.81458333333</v>
      </c>
      <c r="F614" s="7" t="inlineStr">
        <is>
          <t>DOWNLINE</t>
        </is>
      </c>
      <c r="G614" s="18" t="inlineStr">
        <is>
          <t>OP00996</t>
        </is>
      </c>
      <c r="H614" s="19">
        <f>UPPER(Table3[[#This Row],[Agen id]]&amp;"-"&amp;VLOOKUP(Table3[[#This Row],[Agen id]],A:B,2,0)&amp;"("&amp;Table3[[#This Row],[Short]]&amp;")")</f>
        <v/>
      </c>
      <c r="J614" s="7">
        <f>VLOOKUP(Table3[[#This Row],[Agen id]],Agen!A:C,3,0)</f>
        <v/>
      </c>
      <c r="K614" s="37">
        <f>TRIM(LEFT(Table3[[#This Row],[Group]],2))</f>
        <v/>
      </c>
      <c r="L614" s="3" t="inlineStr">
        <is>
          <t>NON SALES</t>
        </is>
      </c>
    </row>
    <row r="615">
      <c r="A615" s="5" t="inlineStr">
        <is>
          <t>OP03995</t>
        </is>
      </c>
      <c r="B615" s="6" t="inlineStr">
        <is>
          <t>RINA RIDARA</t>
        </is>
      </c>
      <c r="C615" s="7" t="inlineStr">
        <is>
          <t>AV - Agen Verified</t>
        </is>
      </c>
      <c r="D615" s="1" t="inlineStr">
        <is>
          <t>OP00825</t>
        </is>
      </c>
      <c r="E615" s="8" t="n">
        <v>44919.92083333333</v>
      </c>
      <c r="F615" s="7" t="inlineStr">
        <is>
          <t>DOWNLINE</t>
        </is>
      </c>
      <c r="G615" s="18" t="inlineStr">
        <is>
          <t>OP00014</t>
        </is>
      </c>
      <c r="H615" s="19">
        <f>UPPER(Table3[[#This Row],[Agen id]]&amp;"-"&amp;VLOOKUP(Table3[[#This Row],[Agen id]],A:B,2,0)&amp;"("&amp;Table3[[#This Row],[Short]]&amp;")")</f>
        <v/>
      </c>
      <c r="J615" s="7">
        <f>VLOOKUP(Table3[[#This Row],[Agen id]],Agen!A:C,3,0)</f>
        <v/>
      </c>
      <c r="K615" s="37">
        <f>TRIM(LEFT(Table3[[#This Row],[Group]],2))</f>
        <v/>
      </c>
      <c r="L615" s="3" t="inlineStr">
        <is>
          <t>NON SALES</t>
        </is>
      </c>
    </row>
    <row r="616">
      <c r="A616" s="5" t="inlineStr">
        <is>
          <t>OP03997</t>
        </is>
      </c>
      <c r="B616" s="6" t="inlineStr">
        <is>
          <t>Nanda</t>
        </is>
      </c>
      <c r="C616" s="7" t="inlineStr">
        <is>
          <t>AV - Agen Verified</t>
        </is>
      </c>
      <c r="D616" s="1" t="inlineStr">
        <is>
          <t>OP02233</t>
        </is>
      </c>
      <c r="E616" s="8" t="n">
        <v>44920.02847222222</v>
      </c>
      <c r="F616" s="7" t="inlineStr">
        <is>
          <t>DOWNLINE</t>
        </is>
      </c>
      <c r="G616" s="18" t="inlineStr">
        <is>
          <t>OP02233</t>
        </is>
      </c>
      <c r="H616" s="19">
        <f>UPPER(Table3[[#This Row],[Agen id]]&amp;"-"&amp;VLOOKUP(Table3[[#This Row],[Agen id]],A:B,2,0)&amp;"("&amp;Table3[[#This Row],[Short]]&amp;")")</f>
        <v/>
      </c>
      <c r="J616" s="7">
        <f>VLOOKUP(Table3[[#This Row],[Agen id]],Agen!A:C,3,0)</f>
        <v/>
      </c>
      <c r="K616" s="37">
        <f>TRIM(LEFT(Table3[[#This Row],[Group]],2))</f>
        <v/>
      </c>
      <c r="L616" s="3" t="inlineStr">
        <is>
          <t>NON SALES</t>
        </is>
      </c>
    </row>
    <row r="617">
      <c r="A617" s="5" t="inlineStr">
        <is>
          <t>OP04032</t>
        </is>
      </c>
      <c r="B617" s="6" t="inlineStr">
        <is>
          <t>Aasi</t>
        </is>
      </c>
      <c r="C617" s="7" t="inlineStr">
        <is>
          <t>A - Agen</t>
        </is>
      </c>
      <c r="D617" s="1" t="inlineStr">
        <is>
          <t>OP00002</t>
        </is>
      </c>
      <c r="E617" s="8" t="n">
        <v>44921.48055555556</v>
      </c>
      <c r="F617" s="7" t="inlineStr">
        <is>
          <t>AGEN</t>
        </is>
      </c>
      <c r="G617" s="18" t="inlineStr">
        <is>
          <t>OP04032</t>
        </is>
      </c>
      <c r="H617" s="19">
        <f>UPPER(Table3[[#This Row],[Agen id]]&amp;"-"&amp;VLOOKUP(Table3[[#This Row],[Agen id]],A:B,2,0)&amp;"("&amp;Table3[[#This Row],[Short]]&amp;")")</f>
        <v/>
      </c>
      <c r="J617" s="7">
        <f>VLOOKUP(Table3[[#This Row],[Agen id]],Agen!A:C,3,0)</f>
        <v/>
      </c>
      <c r="K617" s="37">
        <f>TRIM(LEFT(Table3[[#This Row],[Group]],2))</f>
        <v/>
      </c>
      <c r="L617" s="3" t="inlineStr">
        <is>
          <t>NON SALES</t>
        </is>
      </c>
    </row>
    <row r="618">
      <c r="A618" s="5" t="inlineStr">
        <is>
          <t>OP04042</t>
        </is>
      </c>
      <c r="B618" s="6" t="inlineStr">
        <is>
          <t>Izzaceel</t>
        </is>
      </c>
      <c r="C618" s="7" t="inlineStr">
        <is>
          <t>A - Agen</t>
        </is>
      </c>
      <c r="D618" s="1" t="inlineStr">
        <is>
          <t>OP00002</t>
        </is>
      </c>
      <c r="E618" s="8" t="n">
        <v>44921.61527777778</v>
      </c>
      <c r="F618" s="7" t="inlineStr">
        <is>
          <t>AGEN</t>
        </is>
      </c>
      <c r="G618" s="18" t="inlineStr">
        <is>
          <t>OP04042</t>
        </is>
      </c>
      <c r="H618" s="19">
        <f>UPPER(Table3[[#This Row],[Agen id]]&amp;"-"&amp;VLOOKUP(Table3[[#This Row],[Agen id]],A:B,2,0)&amp;"("&amp;Table3[[#This Row],[Short]]&amp;")")</f>
        <v/>
      </c>
      <c r="J618" s="7">
        <f>VLOOKUP(Table3[[#This Row],[Agen id]],Agen!A:C,3,0)</f>
        <v/>
      </c>
      <c r="K618" s="37">
        <f>TRIM(LEFT(Table3[[#This Row],[Group]],2))</f>
        <v/>
      </c>
      <c r="L618" s="3" t="inlineStr">
        <is>
          <t>NON SALES</t>
        </is>
      </c>
    </row>
    <row r="619">
      <c r="A619" s="5" t="inlineStr">
        <is>
          <t>OP04067</t>
        </is>
      </c>
      <c r="B619" s="6" t="inlineStr">
        <is>
          <t>ahmad</t>
        </is>
      </c>
      <c r="C619" s="7" t="inlineStr">
        <is>
          <t>A - Agen</t>
        </is>
      </c>
      <c r="D619" s="1" t="inlineStr">
        <is>
          <t>OP00002</t>
        </is>
      </c>
      <c r="E619" s="8" t="n">
        <v>44922.76388888889</v>
      </c>
      <c r="F619" s="7" t="inlineStr">
        <is>
          <t>AGEN</t>
        </is>
      </c>
      <c r="G619" s="18" t="inlineStr">
        <is>
          <t>OP04067</t>
        </is>
      </c>
      <c r="H619" s="19">
        <f>UPPER(Table3[[#This Row],[Agen id]]&amp;"-"&amp;VLOOKUP(Table3[[#This Row],[Agen id]],A:B,2,0)&amp;"("&amp;Table3[[#This Row],[Short]]&amp;")")</f>
        <v/>
      </c>
      <c r="J619" s="7">
        <f>VLOOKUP(Table3[[#This Row],[Agen id]],Agen!A:C,3,0)</f>
        <v/>
      </c>
      <c r="K619" s="37">
        <f>TRIM(LEFT(Table3[[#This Row],[Group]],2))</f>
        <v/>
      </c>
      <c r="L619" s="3" t="inlineStr">
        <is>
          <t>NON SALES</t>
        </is>
      </c>
    </row>
    <row r="620">
      <c r="A620" s="5" t="inlineStr">
        <is>
          <t>OP04078</t>
        </is>
      </c>
      <c r="B620" s="6" t="inlineStr">
        <is>
          <t>Lili Solifah</t>
        </is>
      </c>
      <c r="C620" s="7" t="inlineStr">
        <is>
          <t>A - Agen</t>
        </is>
      </c>
      <c r="D620" s="1" t="inlineStr">
        <is>
          <t>OP02558</t>
        </is>
      </c>
      <c r="E620" s="8" t="n">
        <v>44923.26736111111</v>
      </c>
      <c r="F620" s="7" t="inlineStr">
        <is>
          <t>DOWNLINE</t>
        </is>
      </c>
      <c r="G620" s="18" t="inlineStr">
        <is>
          <t>OP02558</t>
        </is>
      </c>
      <c r="H620" s="19">
        <f>UPPER(Table3[[#This Row],[Agen id]]&amp;"-"&amp;VLOOKUP(Table3[[#This Row],[Agen id]],A:B,2,0)&amp;"("&amp;Table3[[#This Row],[Short]]&amp;")")</f>
        <v/>
      </c>
      <c r="J620" s="7">
        <f>VLOOKUP(Table3[[#This Row],[Agen id]],Agen!A:C,3,0)</f>
        <v/>
      </c>
      <c r="K620" s="37">
        <f>TRIM(LEFT(Table3[[#This Row],[Group]],2))</f>
        <v/>
      </c>
      <c r="L620" s="3" t="inlineStr">
        <is>
          <t>NON SALES</t>
        </is>
      </c>
    </row>
    <row r="621">
      <c r="A621" s="5" t="inlineStr">
        <is>
          <t>OP04079</t>
        </is>
      </c>
      <c r="B621" s="6" t="inlineStr">
        <is>
          <t>MEGI APRISAL</t>
        </is>
      </c>
      <c r="C621" s="7" t="inlineStr">
        <is>
          <t>A - Agen</t>
        </is>
      </c>
      <c r="D621" s="1" t="inlineStr">
        <is>
          <t>OP00002</t>
        </is>
      </c>
      <c r="E621" s="8" t="n">
        <v>44923.32013888889</v>
      </c>
      <c r="F621" s="7" t="inlineStr">
        <is>
          <t>AGEN</t>
        </is>
      </c>
      <c r="G621" s="18" t="inlineStr">
        <is>
          <t>OP04079</t>
        </is>
      </c>
      <c r="H621" s="19">
        <f>UPPER(Table3[[#This Row],[Agen id]]&amp;"-"&amp;VLOOKUP(Table3[[#This Row],[Agen id]],A:B,2,0)&amp;"("&amp;Table3[[#This Row],[Short]]&amp;")")</f>
        <v/>
      </c>
      <c r="J621" s="7">
        <f>VLOOKUP(Table3[[#This Row],[Agen id]],Agen!A:C,3,0)</f>
        <v/>
      </c>
      <c r="K621" s="37">
        <f>TRIM(LEFT(Table3[[#This Row],[Group]],2))</f>
        <v/>
      </c>
      <c r="L621" s="3" t="inlineStr">
        <is>
          <t>NON SALES</t>
        </is>
      </c>
    </row>
    <row r="622">
      <c r="A622" s="5" t="inlineStr">
        <is>
          <t>OP04082</t>
        </is>
      </c>
      <c r="B622" s="6" t="inlineStr">
        <is>
          <t>Dul karim</t>
        </is>
      </c>
      <c r="C622" s="7" t="inlineStr">
        <is>
          <t>A - Agen</t>
        </is>
      </c>
      <c r="D622" s="1" t="inlineStr">
        <is>
          <t>OP00996</t>
        </is>
      </c>
      <c r="E622" s="8" t="n">
        <v>44923.41180555556</v>
      </c>
      <c r="F622" s="7" t="inlineStr">
        <is>
          <t>DOWNLINE</t>
        </is>
      </c>
      <c r="G622" s="18" t="inlineStr">
        <is>
          <t>OP00996</t>
        </is>
      </c>
      <c r="H622" s="19">
        <f>UPPER(Table3[[#This Row],[Agen id]]&amp;"-"&amp;VLOOKUP(Table3[[#This Row],[Agen id]],A:B,2,0)&amp;"("&amp;Table3[[#This Row],[Short]]&amp;")")</f>
        <v/>
      </c>
      <c r="J622" s="7">
        <f>VLOOKUP(Table3[[#This Row],[Agen id]],Agen!A:C,3,0)</f>
        <v/>
      </c>
      <c r="K622" s="37">
        <f>TRIM(LEFT(Table3[[#This Row],[Group]],2))</f>
        <v/>
      </c>
      <c r="L622" s="3" t="inlineStr">
        <is>
          <t>NON SALES</t>
        </is>
      </c>
    </row>
    <row r="623">
      <c r="A623" s="5" t="inlineStr">
        <is>
          <t>OP04084</t>
        </is>
      </c>
      <c r="B623" s="6" t="inlineStr">
        <is>
          <t>Vania</t>
        </is>
      </c>
      <c r="C623" s="7" t="inlineStr">
        <is>
          <t>A - Agen</t>
        </is>
      </c>
      <c r="D623" s="1" t="inlineStr">
        <is>
          <t>OP00002</t>
        </is>
      </c>
      <c r="E623" s="8" t="n">
        <v>44923.49236111111</v>
      </c>
      <c r="F623" s="7" t="inlineStr">
        <is>
          <t>AGEN</t>
        </is>
      </c>
      <c r="G623" s="18" t="inlineStr">
        <is>
          <t>OP04084</t>
        </is>
      </c>
      <c r="H623" s="19">
        <f>UPPER(Table3[[#This Row],[Agen id]]&amp;"-"&amp;VLOOKUP(Table3[[#This Row],[Agen id]],A:B,2,0)&amp;"("&amp;Table3[[#This Row],[Short]]&amp;")")</f>
        <v/>
      </c>
      <c r="J623" s="7">
        <f>VLOOKUP(Table3[[#This Row],[Agen id]],Agen!A:C,3,0)</f>
        <v/>
      </c>
      <c r="K623" s="37">
        <f>TRIM(LEFT(Table3[[#This Row],[Group]],2))</f>
        <v/>
      </c>
      <c r="L623" s="3" t="inlineStr">
        <is>
          <t>NON SALES</t>
        </is>
      </c>
    </row>
    <row r="624">
      <c r="A624" s="5" t="inlineStr">
        <is>
          <t>OP04093</t>
        </is>
      </c>
      <c r="B624" s="6" t="inlineStr">
        <is>
          <t>Fenny Cell</t>
        </is>
      </c>
      <c r="C624" s="7" t="inlineStr">
        <is>
          <t>A - Agen</t>
        </is>
      </c>
      <c r="D624" s="1" t="inlineStr">
        <is>
          <t>OP00002</t>
        </is>
      </c>
      <c r="E624" s="8" t="n">
        <v>44923.82361111111</v>
      </c>
      <c r="F624" s="7" t="inlineStr">
        <is>
          <t>AGEN</t>
        </is>
      </c>
      <c r="G624" s="18" t="inlineStr">
        <is>
          <t>OP04093</t>
        </is>
      </c>
      <c r="H624" s="19">
        <f>UPPER(Table3[[#This Row],[Agen id]]&amp;"-"&amp;VLOOKUP(Table3[[#This Row],[Agen id]],A:B,2,0)&amp;"("&amp;Table3[[#This Row],[Short]]&amp;")")</f>
        <v/>
      </c>
      <c r="J624" s="7">
        <f>VLOOKUP(Table3[[#This Row],[Agen id]],Agen!A:C,3,0)</f>
        <v/>
      </c>
      <c r="K624" s="37">
        <f>TRIM(LEFT(Table3[[#This Row],[Group]],2))</f>
        <v/>
      </c>
      <c r="L624" s="3" t="inlineStr">
        <is>
          <t>NON SALES</t>
        </is>
      </c>
    </row>
    <row r="625">
      <c r="A625" s="5" t="inlineStr">
        <is>
          <t>OP04099</t>
        </is>
      </c>
      <c r="B625" s="6" t="inlineStr">
        <is>
          <t>Agni</t>
        </is>
      </c>
      <c r="C625" s="7" t="inlineStr">
        <is>
          <t>A - Agen</t>
        </is>
      </c>
      <c r="D625" s="1" t="inlineStr">
        <is>
          <t>OP00002</t>
        </is>
      </c>
      <c r="E625" s="8" t="n">
        <v>44924.00208333333</v>
      </c>
      <c r="F625" s="7" t="inlineStr">
        <is>
          <t>AGEN</t>
        </is>
      </c>
      <c r="G625" s="18" t="inlineStr">
        <is>
          <t>OP04099</t>
        </is>
      </c>
      <c r="H625" s="19">
        <f>UPPER(Table3[[#This Row],[Agen id]]&amp;"-"&amp;VLOOKUP(Table3[[#This Row],[Agen id]],A:B,2,0)&amp;"("&amp;Table3[[#This Row],[Short]]&amp;")")</f>
        <v/>
      </c>
      <c r="J625" s="7">
        <f>VLOOKUP(Table3[[#This Row],[Agen id]],Agen!A:C,3,0)</f>
        <v/>
      </c>
      <c r="K625" s="37">
        <f>TRIM(LEFT(Table3[[#This Row],[Group]],2))</f>
        <v/>
      </c>
      <c r="L625" s="3" t="inlineStr">
        <is>
          <t>NON SALES</t>
        </is>
      </c>
    </row>
    <row r="626">
      <c r="A626" s="5" t="inlineStr">
        <is>
          <t>OP04102</t>
        </is>
      </c>
      <c r="B626" s="6" t="inlineStr">
        <is>
          <t>Hafisa epin</t>
        </is>
      </c>
      <c r="C626" s="7" t="inlineStr">
        <is>
          <t>AV - Agen Verified</t>
        </is>
      </c>
      <c r="D626" s="1" t="inlineStr">
        <is>
          <t>OP00002</t>
        </is>
      </c>
      <c r="E626" s="8" t="n">
        <v>44924.29305555556</v>
      </c>
      <c r="F626" s="7" t="inlineStr">
        <is>
          <t>AGEN</t>
        </is>
      </c>
      <c r="G626" s="18" t="inlineStr">
        <is>
          <t>OP04102</t>
        </is>
      </c>
      <c r="H626" s="19">
        <f>UPPER(Table3[[#This Row],[Agen id]]&amp;"-"&amp;VLOOKUP(Table3[[#This Row],[Agen id]],A:B,2,0)&amp;"("&amp;Table3[[#This Row],[Short]]&amp;")")</f>
        <v/>
      </c>
      <c r="J626" s="7">
        <f>VLOOKUP(Table3[[#This Row],[Agen id]],Agen!A:C,3,0)</f>
        <v/>
      </c>
      <c r="K626" s="37">
        <f>TRIM(LEFT(Table3[[#This Row],[Group]],2))</f>
        <v/>
      </c>
      <c r="L626" s="3" t="inlineStr">
        <is>
          <t>NON SALES</t>
        </is>
      </c>
    </row>
    <row r="627">
      <c r="A627" s="5" t="inlineStr">
        <is>
          <t>OP04105</t>
        </is>
      </c>
      <c r="B627" s="6" t="inlineStr">
        <is>
          <t>Mirahati</t>
        </is>
      </c>
      <c r="C627" s="7" t="inlineStr">
        <is>
          <t>AV - Agen Verified</t>
        </is>
      </c>
      <c r="D627" s="1" t="inlineStr">
        <is>
          <t>OP00996</t>
        </is>
      </c>
      <c r="E627" s="8" t="n">
        <v>44924.36111111111</v>
      </c>
      <c r="F627" s="7" t="inlineStr">
        <is>
          <t>DOWNLINE</t>
        </is>
      </c>
      <c r="G627" s="18" t="inlineStr">
        <is>
          <t>OP00996</t>
        </is>
      </c>
      <c r="H627" s="19">
        <f>UPPER(Table3[[#This Row],[Agen id]]&amp;"-"&amp;VLOOKUP(Table3[[#This Row],[Agen id]],A:B,2,0)&amp;"("&amp;Table3[[#This Row],[Short]]&amp;")")</f>
        <v/>
      </c>
      <c r="J627" s="7">
        <f>VLOOKUP(Table3[[#This Row],[Agen id]],Agen!A:C,3,0)</f>
        <v/>
      </c>
      <c r="K627" s="37">
        <f>TRIM(LEFT(Table3[[#This Row],[Group]],2))</f>
        <v/>
      </c>
      <c r="L627" s="3" t="inlineStr">
        <is>
          <t>NON SALES</t>
        </is>
      </c>
    </row>
    <row r="628">
      <c r="A628" s="5" t="inlineStr">
        <is>
          <t>OP04106</t>
        </is>
      </c>
      <c r="B628" s="6" t="inlineStr">
        <is>
          <t>MTSCELL</t>
        </is>
      </c>
      <c r="C628" s="7" t="inlineStr">
        <is>
          <t>A - Agen</t>
        </is>
      </c>
      <c r="D628" s="1" t="inlineStr">
        <is>
          <t>OP00996</t>
        </is>
      </c>
      <c r="E628" s="8" t="n">
        <v>44924.37708333333</v>
      </c>
      <c r="F628" s="7" t="inlineStr">
        <is>
          <t>DOWNLINE</t>
        </is>
      </c>
      <c r="G628" s="18" t="inlineStr">
        <is>
          <t>OP00996</t>
        </is>
      </c>
      <c r="H628" s="19">
        <f>UPPER(Table3[[#This Row],[Agen id]]&amp;"-"&amp;VLOOKUP(Table3[[#This Row],[Agen id]],A:B,2,0)&amp;"("&amp;Table3[[#This Row],[Short]]&amp;")")</f>
        <v/>
      </c>
      <c r="J628" s="7">
        <f>VLOOKUP(Table3[[#This Row],[Agen id]],Agen!A:C,3,0)</f>
        <v/>
      </c>
      <c r="K628" s="37">
        <f>TRIM(LEFT(Table3[[#This Row],[Group]],2))</f>
        <v/>
      </c>
      <c r="L628" s="3" t="inlineStr">
        <is>
          <t>NON SALES</t>
        </is>
      </c>
    </row>
    <row r="629">
      <c r="A629" s="5" t="inlineStr">
        <is>
          <t>OP04109</t>
        </is>
      </c>
      <c r="B629" s="6" t="inlineStr">
        <is>
          <t>agni 1</t>
        </is>
      </c>
      <c r="C629" s="7" t="inlineStr">
        <is>
          <t>A - Agen</t>
        </is>
      </c>
      <c r="D629" s="1" t="inlineStr">
        <is>
          <t>OP04099</t>
        </is>
      </c>
      <c r="E629" s="8" t="n">
        <v>44924.42777777778</v>
      </c>
      <c r="F629" s="7" t="inlineStr">
        <is>
          <t>DOWNLINE</t>
        </is>
      </c>
      <c r="G629" s="18" t="inlineStr">
        <is>
          <t>OP04099</t>
        </is>
      </c>
      <c r="H629" s="19">
        <f>UPPER(Table3[[#This Row],[Agen id]]&amp;"-"&amp;VLOOKUP(Table3[[#This Row],[Agen id]],A:B,2,0)&amp;"("&amp;Table3[[#This Row],[Short]]&amp;")")</f>
        <v/>
      </c>
      <c r="J629" s="7">
        <f>VLOOKUP(Table3[[#This Row],[Agen id]],Agen!A:C,3,0)</f>
        <v/>
      </c>
      <c r="K629" s="37">
        <f>TRIM(LEFT(Table3[[#This Row],[Group]],2))</f>
        <v/>
      </c>
      <c r="L629" s="3" t="inlineStr">
        <is>
          <t>NON SALES</t>
        </is>
      </c>
    </row>
    <row r="630">
      <c r="A630" s="5" t="inlineStr">
        <is>
          <t>OP04112</t>
        </is>
      </c>
      <c r="B630" s="6" t="inlineStr">
        <is>
          <t>agni2</t>
        </is>
      </c>
      <c r="C630" s="7" t="inlineStr">
        <is>
          <t>AV - Agen Verified</t>
        </is>
      </c>
      <c r="D630" s="1" t="inlineStr">
        <is>
          <t>OP04109</t>
        </is>
      </c>
      <c r="E630" s="8" t="n">
        <v>44924.43125</v>
      </c>
      <c r="F630" s="7" t="inlineStr">
        <is>
          <t>DOWNLINE</t>
        </is>
      </c>
      <c r="G630" s="18" t="inlineStr">
        <is>
          <t>OP04099</t>
        </is>
      </c>
      <c r="H630" s="19">
        <f>UPPER(Table3[[#This Row],[Agen id]]&amp;"-"&amp;VLOOKUP(Table3[[#This Row],[Agen id]],A:B,2,0)&amp;"("&amp;Table3[[#This Row],[Short]]&amp;")")</f>
        <v/>
      </c>
      <c r="J630" s="7">
        <f>VLOOKUP(Table3[[#This Row],[Agen id]],Agen!A:C,3,0)</f>
        <v/>
      </c>
      <c r="K630" s="37">
        <f>TRIM(LEFT(Table3[[#This Row],[Group]],2))</f>
        <v/>
      </c>
      <c r="L630" s="3" t="inlineStr">
        <is>
          <t>NON SALES</t>
        </is>
      </c>
    </row>
    <row r="631">
      <c r="A631" s="5" t="inlineStr">
        <is>
          <t>OP04113</t>
        </is>
      </c>
      <c r="B631" s="6" t="inlineStr">
        <is>
          <t>mamah agni</t>
        </is>
      </c>
      <c r="C631" s="7" t="inlineStr">
        <is>
          <t>A - Agen</t>
        </is>
      </c>
      <c r="D631" s="1" t="inlineStr">
        <is>
          <t>OP04112</t>
        </is>
      </c>
      <c r="E631" s="8" t="n">
        <v>44924.43680555555</v>
      </c>
      <c r="F631" s="7" t="inlineStr">
        <is>
          <t>DOWNLINE</t>
        </is>
      </c>
      <c r="G631" s="18" t="inlineStr">
        <is>
          <t>OP04099</t>
        </is>
      </c>
      <c r="H631" s="19">
        <f>UPPER(Table3[[#This Row],[Agen id]]&amp;"-"&amp;VLOOKUP(Table3[[#This Row],[Agen id]],A:B,2,0)&amp;"("&amp;Table3[[#This Row],[Short]]&amp;")")</f>
        <v/>
      </c>
      <c r="J631" s="7">
        <f>VLOOKUP(Table3[[#This Row],[Agen id]],Agen!A:C,3,0)</f>
        <v/>
      </c>
      <c r="K631" s="37">
        <f>TRIM(LEFT(Table3[[#This Row],[Group]],2))</f>
        <v/>
      </c>
      <c r="L631" s="3" t="inlineStr">
        <is>
          <t>NON SALES</t>
        </is>
      </c>
    </row>
    <row r="632">
      <c r="A632" s="5" t="inlineStr">
        <is>
          <t>OP04121</t>
        </is>
      </c>
      <c r="B632" s="6" t="inlineStr">
        <is>
          <t>Anhe</t>
        </is>
      </c>
      <c r="C632" s="7" t="inlineStr">
        <is>
          <t>A - Agen</t>
        </is>
      </c>
      <c r="D632" s="1" t="inlineStr">
        <is>
          <t>OP00996</t>
        </is>
      </c>
      <c r="E632" s="8" t="n">
        <v>44924.76041666666</v>
      </c>
      <c r="F632" s="7" t="inlineStr">
        <is>
          <t>DOWNLINE</t>
        </is>
      </c>
      <c r="G632" s="18" t="inlineStr">
        <is>
          <t>OP00996</t>
        </is>
      </c>
      <c r="H632" s="19">
        <f>UPPER(Table3[[#This Row],[Agen id]]&amp;"-"&amp;VLOOKUP(Table3[[#This Row],[Agen id]],A:B,2,0)&amp;"("&amp;Table3[[#This Row],[Short]]&amp;")")</f>
        <v/>
      </c>
      <c r="J632" s="7">
        <f>VLOOKUP(Table3[[#This Row],[Agen id]],Agen!A:C,3,0)</f>
        <v/>
      </c>
      <c r="K632" s="37">
        <f>TRIM(LEFT(Table3[[#This Row],[Group]],2))</f>
        <v/>
      </c>
      <c r="L632" s="3" t="inlineStr">
        <is>
          <t>NON SALES</t>
        </is>
      </c>
    </row>
    <row r="633">
      <c r="A633" s="5" t="inlineStr">
        <is>
          <t>OP04148</t>
        </is>
      </c>
      <c r="B633" s="6" t="inlineStr">
        <is>
          <t>Akhmad Aji Pratama</t>
        </is>
      </c>
      <c r="C633" s="7" t="inlineStr">
        <is>
          <t>A - Agen</t>
        </is>
      </c>
      <c r="D633" s="1" t="inlineStr">
        <is>
          <t>OP00002</t>
        </is>
      </c>
      <c r="E633" s="8" t="n">
        <v>44925.67916666667</v>
      </c>
      <c r="F633" s="7" t="inlineStr">
        <is>
          <t>AGEN</t>
        </is>
      </c>
      <c r="G633" s="18" t="inlineStr">
        <is>
          <t>OP04148</t>
        </is>
      </c>
      <c r="H633" s="19">
        <f>UPPER(Table3[[#This Row],[Agen id]]&amp;"-"&amp;VLOOKUP(Table3[[#This Row],[Agen id]],A:B,2,0)&amp;"("&amp;Table3[[#This Row],[Short]]&amp;")")</f>
        <v/>
      </c>
      <c r="J633" s="7">
        <f>VLOOKUP(Table3[[#This Row],[Agen id]],Agen!A:C,3,0)</f>
        <v/>
      </c>
      <c r="K633" s="37">
        <f>TRIM(LEFT(Table3[[#This Row],[Group]],2))</f>
        <v/>
      </c>
      <c r="L633" s="3" t="inlineStr">
        <is>
          <t>NON SALES</t>
        </is>
      </c>
    </row>
    <row r="634">
      <c r="A634" s="5" t="inlineStr">
        <is>
          <t>OP04150</t>
        </is>
      </c>
      <c r="B634" s="6" t="inlineStr">
        <is>
          <t>Global Pulsa</t>
        </is>
      </c>
      <c r="C634" s="7" t="inlineStr">
        <is>
          <t>A - Agen</t>
        </is>
      </c>
      <c r="D634" s="1" t="inlineStr">
        <is>
          <t>OP00002</t>
        </is>
      </c>
      <c r="E634" s="8" t="n">
        <v>44925.68333333333</v>
      </c>
      <c r="F634" s="7" t="inlineStr">
        <is>
          <t>AGEN</t>
        </is>
      </c>
      <c r="G634" s="18" t="inlineStr">
        <is>
          <t>OP04150</t>
        </is>
      </c>
      <c r="H634" s="19">
        <f>UPPER(Table3[[#This Row],[Agen id]]&amp;"-"&amp;VLOOKUP(Table3[[#This Row],[Agen id]],A:B,2,0)&amp;"("&amp;Table3[[#This Row],[Short]]&amp;")")</f>
        <v/>
      </c>
      <c r="J634" s="7">
        <f>VLOOKUP(Table3[[#This Row],[Agen id]],Agen!A:C,3,0)</f>
        <v/>
      </c>
      <c r="K634" s="37">
        <f>TRIM(LEFT(Table3[[#This Row],[Group]],2))</f>
        <v/>
      </c>
      <c r="L634" s="3" t="inlineStr">
        <is>
          <t>NON SALES</t>
        </is>
      </c>
    </row>
    <row r="635">
      <c r="A635" s="5" t="inlineStr">
        <is>
          <t>OP04153</t>
        </is>
      </c>
      <c r="B635" s="6" t="inlineStr">
        <is>
          <t>FataMinalFath</t>
        </is>
      </c>
      <c r="C635" s="7" t="inlineStr">
        <is>
          <t>AV - Agen Verified</t>
        </is>
      </c>
      <c r="D635" s="1" t="inlineStr">
        <is>
          <t>OP00002</t>
        </is>
      </c>
      <c r="E635" s="8" t="n">
        <v>44925.74791666667</v>
      </c>
      <c r="F635" s="7" t="inlineStr">
        <is>
          <t>AGEN</t>
        </is>
      </c>
      <c r="G635" s="18" t="inlineStr">
        <is>
          <t>OP04153</t>
        </is>
      </c>
      <c r="H635" s="19">
        <f>UPPER(Table3[[#This Row],[Agen id]]&amp;"-"&amp;VLOOKUP(Table3[[#This Row],[Agen id]],A:B,2,0)&amp;"("&amp;Table3[[#This Row],[Short]]&amp;")")</f>
        <v/>
      </c>
      <c r="J635" s="7">
        <f>VLOOKUP(Table3[[#This Row],[Agen id]],Agen!A:C,3,0)</f>
        <v/>
      </c>
      <c r="K635" s="37">
        <f>TRIM(LEFT(Table3[[#This Row],[Group]],2))</f>
        <v/>
      </c>
      <c r="L635" s="3" t="inlineStr">
        <is>
          <t>NON SALES</t>
        </is>
      </c>
    </row>
    <row r="636">
      <c r="A636" s="5" t="inlineStr">
        <is>
          <t>OP04154</t>
        </is>
      </c>
      <c r="B636" s="6" t="inlineStr">
        <is>
          <t>Ola Pulsa</t>
        </is>
      </c>
      <c r="C636" s="7" t="inlineStr">
        <is>
          <t>A - Agen</t>
        </is>
      </c>
      <c r="D636" s="1" t="inlineStr">
        <is>
          <t>OP00002</t>
        </is>
      </c>
      <c r="E636" s="8" t="n">
        <v>44925.75069444445</v>
      </c>
      <c r="F636" s="7" t="inlineStr">
        <is>
          <t>AGEN</t>
        </is>
      </c>
      <c r="G636" s="18" t="inlineStr">
        <is>
          <t>OP04154</t>
        </is>
      </c>
      <c r="H636" s="19">
        <f>UPPER(Table3[[#This Row],[Agen id]]&amp;"-"&amp;VLOOKUP(Table3[[#This Row],[Agen id]],A:B,2,0)&amp;"("&amp;Table3[[#This Row],[Short]]&amp;")")</f>
        <v/>
      </c>
      <c r="J636" s="7">
        <f>VLOOKUP(Table3[[#This Row],[Agen id]],Agen!A:C,3,0)</f>
        <v/>
      </c>
      <c r="K636" s="37">
        <f>TRIM(LEFT(Table3[[#This Row],[Group]],2))</f>
        <v/>
      </c>
      <c r="L636" s="3" t="inlineStr">
        <is>
          <t>NON SALES</t>
        </is>
      </c>
    </row>
    <row r="637">
      <c r="A637" s="5" t="inlineStr">
        <is>
          <t>OP04156</t>
        </is>
      </c>
      <c r="B637" s="6" t="inlineStr">
        <is>
          <t>Dedehsm</t>
        </is>
      </c>
      <c r="C637" s="7" t="inlineStr">
        <is>
          <t>AV - Agen Verified</t>
        </is>
      </c>
      <c r="D637" s="1" t="inlineStr">
        <is>
          <t>OP03000</t>
        </is>
      </c>
      <c r="E637" s="8" t="n">
        <v>44925.77152777778</v>
      </c>
      <c r="F637" s="7" t="inlineStr">
        <is>
          <t>DOWNLINE</t>
        </is>
      </c>
      <c r="G637" s="18" t="inlineStr">
        <is>
          <t>OP00996</t>
        </is>
      </c>
      <c r="H637" s="19">
        <f>UPPER(Table3[[#This Row],[Agen id]]&amp;"-"&amp;VLOOKUP(Table3[[#This Row],[Agen id]],A:B,2,0)&amp;"("&amp;Table3[[#This Row],[Short]]&amp;")")</f>
        <v/>
      </c>
      <c r="J637" s="7">
        <f>VLOOKUP(Table3[[#This Row],[Agen id]],Agen!A:C,3,0)</f>
        <v/>
      </c>
      <c r="K637" s="37">
        <f>TRIM(LEFT(Table3[[#This Row],[Group]],2))</f>
        <v/>
      </c>
      <c r="L637" s="3" t="inlineStr">
        <is>
          <t>NON SALES</t>
        </is>
      </c>
    </row>
    <row r="638">
      <c r="A638" s="5" t="inlineStr">
        <is>
          <t>OP04159</t>
        </is>
      </c>
      <c r="B638" s="6" t="inlineStr">
        <is>
          <t>LBCUAN99</t>
        </is>
      </c>
      <c r="C638" s="7" t="inlineStr">
        <is>
          <t>AV - Agen Verified</t>
        </is>
      </c>
      <c r="D638" s="1" t="inlineStr">
        <is>
          <t>OP04153</t>
        </is>
      </c>
      <c r="E638" s="8" t="n">
        <v>44926.32777777778</v>
      </c>
      <c r="F638" s="7" t="inlineStr">
        <is>
          <t>DOWNLINE</t>
        </is>
      </c>
      <c r="G638" s="18" t="inlineStr">
        <is>
          <t>OP04153</t>
        </is>
      </c>
      <c r="H638" s="19">
        <f>UPPER(Table3[[#This Row],[Agen id]]&amp;"-"&amp;VLOOKUP(Table3[[#This Row],[Agen id]],A:B,2,0)&amp;"("&amp;Table3[[#This Row],[Short]]&amp;")")</f>
        <v/>
      </c>
      <c r="J638" s="7">
        <f>VLOOKUP(Table3[[#This Row],[Agen id]],Agen!A:C,3,0)</f>
        <v/>
      </c>
      <c r="K638" s="37">
        <f>TRIM(LEFT(Table3[[#This Row],[Group]],2))</f>
        <v/>
      </c>
      <c r="L638" s="3" t="inlineStr">
        <is>
          <t>NON SALES</t>
        </is>
      </c>
    </row>
    <row r="639">
      <c r="A639" s="5" t="inlineStr">
        <is>
          <t>OP04161</t>
        </is>
      </c>
      <c r="B639" s="6" t="inlineStr">
        <is>
          <t>Refbikin</t>
        </is>
      </c>
      <c r="C639" s="7" t="inlineStr">
        <is>
          <t>A - Agen</t>
        </is>
      </c>
      <c r="D639" s="1" t="inlineStr">
        <is>
          <t>OP00049</t>
        </is>
      </c>
      <c r="E639" s="8" t="n">
        <v>44926.65625</v>
      </c>
      <c r="F639" s="7" t="inlineStr">
        <is>
          <t>DOWNLINE</t>
        </is>
      </c>
      <c r="G639" s="18" t="inlineStr">
        <is>
          <t>OP00049</t>
        </is>
      </c>
      <c r="H639" s="19">
        <f>UPPER(Table3[[#This Row],[Agen id]]&amp;"-"&amp;VLOOKUP(Table3[[#This Row],[Agen id]],A:B,2,0)&amp;"("&amp;Table3[[#This Row],[Short]]&amp;")")</f>
        <v/>
      </c>
      <c r="J639" s="7">
        <f>VLOOKUP(Table3[[#This Row],[Agen id]],Agen!A:C,3,0)</f>
        <v/>
      </c>
      <c r="K639" s="37">
        <f>TRIM(LEFT(Table3[[#This Row],[Group]],2))</f>
        <v/>
      </c>
      <c r="L639" s="3" t="inlineStr">
        <is>
          <t>NON SALES</t>
        </is>
      </c>
    </row>
    <row r="640">
      <c r="A640" s="5" t="inlineStr">
        <is>
          <t>OP04162</t>
        </is>
      </c>
      <c r="B640" s="6" t="inlineStr">
        <is>
          <t>Syiah</t>
        </is>
      </c>
      <c r="C640" s="7" t="inlineStr">
        <is>
          <t>A - Agen</t>
        </is>
      </c>
      <c r="D640" s="1" t="inlineStr">
        <is>
          <t>OP00003</t>
        </is>
      </c>
      <c r="E640" s="8" t="n">
        <v>44926.82361111111</v>
      </c>
      <c r="F640" s="7" t="inlineStr">
        <is>
          <t>AGEN</t>
        </is>
      </c>
      <c r="G640" s="18" t="inlineStr">
        <is>
          <t>OP04162</t>
        </is>
      </c>
      <c r="H640" s="19">
        <f>UPPER(Table3[[#This Row],[Agen id]]&amp;"-"&amp;VLOOKUP(Table3[[#This Row],[Agen id]],A:B,2,0)&amp;"("&amp;Table3[[#This Row],[Short]]&amp;")")</f>
        <v/>
      </c>
      <c r="J640" s="7">
        <f>VLOOKUP(Table3[[#This Row],[Agen id]],Agen!A:C,3,0)</f>
        <v/>
      </c>
      <c r="K640" s="37">
        <f>TRIM(LEFT(Table3[[#This Row],[Group]],2))</f>
        <v/>
      </c>
      <c r="L640" s="3" t="inlineStr">
        <is>
          <t>NON SALES</t>
        </is>
      </c>
    </row>
    <row r="641">
      <c r="A641" s="5" t="inlineStr">
        <is>
          <t>OP04163</t>
        </is>
      </c>
      <c r="B641" s="6" t="inlineStr">
        <is>
          <t>BuanaCell</t>
        </is>
      </c>
      <c r="C641" s="7" t="inlineStr">
        <is>
          <t>AV - Agen Verified</t>
        </is>
      </c>
      <c r="D641" s="1" t="inlineStr">
        <is>
          <t>OP03810</t>
        </is>
      </c>
      <c r="E641" s="8" t="n">
        <v>44926.85069444445</v>
      </c>
      <c r="F641" s="7" t="inlineStr">
        <is>
          <t>DOWNLINE</t>
        </is>
      </c>
      <c r="G641" s="18" t="inlineStr">
        <is>
          <t>OP03810</t>
        </is>
      </c>
      <c r="H641" s="19">
        <f>UPPER(Table3[[#This Row],[Agen id]]&amp;"-"&amp;VLOOKUP(Table3[[#This Row],[Agen id]],A:B,2,0)&amp;"("&amp;Table3[[#This Row],[Short]]&amp;")")</f>
        <v/>
      </c>
      <c r="J641" s="7">
        <f>VLOOKUP(Table3[[#This Row],[Agen id]],Agen!A:C,3,0)</f>
        <v/>
      </c>
      <c r="K641" s="37">
        <f>TRIM(LEFT(Table3[[#This Row],[Group]],2))</f>
        <v/>
      </c>
      <c r="L641" s="3" t="inlineStr">
        <is>
          <t>NON SALES</t>
        </is>
      </c>
    </row>
    <row r="642">
      <c r="A642" s="5" t="inlineStr">
        <is>
          <t>OP04164</t>
        </is>
      </c>
      <c r="B642" s="6" t="inlineStr">
        <is>
          <t>Ahmad nurmizuar</t>
        </is>
      </c>
      <c r="C642" s="7" t="inlineStr">
        <is>
          <t>A - Agen</t>
        </is>
      </c>
      <c r="D642" s="1" t="inlineStr">
        <is>
          <t>OP00002</t>
        </is>
      </c>
      <c r="E642" s="8" t="n">
        <v>44926.86736111111</v>
      </c>
      <c r="F642" s="7" t="inlineStr">
        <is>
          <t>AGEN</t>
        </is>
      </c>
      <c r="G642" s="18" t="inlineStr">
        <is>
          <t>OP04164</t>
        </is>
      </c>
      <c r="H642" s="19">
        <f>UPPER(Table3[[#This Row],[Agen id]]&amp;"-"&amp;VLOOKUP(Table3[[#This Row],[Agen id]],A:B,2,0)&amp;"("&amp;Table3[[#This Row],[Short]]&amp;")")</f>
        <v/>
      </c>
      <c r="J642" s="7">
        <f>VLOOKUP(Table3[[#This Row],[Agen id]],Agen!A:C,3,0)</f>
        <v/>
      </c>
      <c r="K642" s="37">
        <f>TRIM(LEFT(Table3[[#This Row],[Group]],2))</f>
        <v/>
      </c>
      <c r="L642" s="3" t="inlineStr">
        <is>
          <t>NON SALES</t>
        </is>
      </c>
    </row>
    <row r="643">
      <c r="A643" s="5" t="inlineStr">
        <is>
          <t>OP04165</t>
        </is>
      </c>
      <c r="B643" s="6" t="inlineStr">
        <is>
          <t>PAHLAWAN PONSEL</t>
        </is>
      </c>
      <c r="C643" s="7" t="inlineStr">
        <is>
          <t>A - Agen</t>
        </is>
      </c>
      <c r="D643" s="1" t="inlineStr">
        <is>
          <t>OP03274</t>
        </is>
      </c>
      <c r="E643" s="8" t="n">
        <v>44926.94444444445</v>
      </c>
      <c r="F643" s="7" t="inlineStr">
        <is>
          <t>DOWNLINE</t>
        </is>
      </c>
      <c r="G643" s="18" t="inlineStr">
        <is>
          <t>OP03274</t>
        </is>
      </c>
      <c r="H643" s="19">
        <f>UPPER(Table3[[#This Row],[Agen id]]&amp;"-"&amp;VLOOKUP(Table3[[#This Row],[Agen id]],A:B,2,0)&amp;"("&amp;Table3[[#This Row],[Short]]&amp;")")</f>
        <v/>
      </c>
      <c r="J643" s="7">
        <f>VLOOKUP(Table3[[#This Row],[Agen id]],Agen!A:C,3,0)</f>
        <v/>
      </c>
      <c r="K643" s="37">
        <f>TRIM(LEFT(Table3[[#This Row],[Group]],2))</f>
        <v/>
      </c>
      <c r="L643" s="3" t="inlineStr">
        <is>
          <t>NON SALES</t>
        </is>
      </c>
    </row>
    <row r="644">
      <c r="A644" s="5" t="inlineStr">
        <is>
          <t>OP04184</t>
        </is>
      </c>
      <c r="B644" s="6" t="inlineStr">
        <is>
          <t>Sugengrojadi</t>
        </is>
      </c>
      <c r="C644" s="7" t="inlineStr">
        <is>
          <t>AV - Agen Verified</t>
        </is>
      </c>
      <c r="D644" s="1" t="inlineStr">
        <is>
          <t>OP00091</t>
        </is>
      </c>
      <c r="E644" s="8" t="n">
        <v>44929.525</v>
      </c>
      <c r="F644" s="7" t="inlineStr">
        <is>
          <t>DOWNLINE</t>
        </is>
      </c>
      <c r="G644" s="18" t="inlineStr">
        <is>
          <t>OP00091</t>
        </is>
      </c>
      <c r="H644" s="19">
        <f>UPPER(Table3[[#This Row],[Agen id]]&amp;"-"&amp;VLOOKUP(Table3[[#This Row],[Agen id]],A:B,2,0)&amp;"("&amp;Table3[[#This Row],[Short]]&amp;")")</f>
        <v/>
      </c>
      <c r="J644" s="7">
        <f>VLOOKUP(Table3[[#This Row],[Agen id]],Agen!A:C,3,0)</f>
        <v/>
      </c>
      <c r="K644" s="37">
        <f>TRIM(LEFT(Table3[[#This Row],[Group]],2))</f>
        <v/>
      </c>
      <c r="L644" s="3" t="inlineStr">
        <is>
          <t>NON SALES</t>
        </is>
      </c>
    </row>
    <row r="645">
      <c r="A645" s="5" t="inlineStr">
        <is>
          <t>OP04190</t>
        </is>
      </c>
      <c r="B645" s="6" t="inlineStr">
        <is>
          <t>SYARIFUDIN</t>
        </is>
      </c>
      <c r="C645" s="7" t="inlineStr">
        <is>
          <t>AB1 - Agen Kab Bogor</t>
        </is>
      </c>
      <c r="D645" s="1" t="inlineStr">
        <is>
          <t>OP02331</t>
        </is>
      </c>
      <c r="E645" s="8" t="n">
        <v>44930.57569444444</v>
      </c>
      <c r="F645" s="7" t="inlineStr">
        <is>
          <t>DOWNLINE</t>
        </is>
      </c>
      <c r="G645" s="18" t="inlineStr">
        <is>
          <t>OP02331</t>
        </is>
      </c>
      <c r="H645" s="19">
        <f>UPPER(Table3[[#This Row],[Agen id]]&amp;"-"&amp;VLOOKUP(Table3[[#This Row],[Agen id]],A:B,2,0)&amp;"("&amp;Table3[[#This Row],[Short]]&amp;")")</f>
        <v/>
      </c>
      <c r="J645" s="7">
        <f>VLOOKUP(Table3[[#This Row],[Agen id]],Agen!A:C,3,0)</f>
        <v/>
      </c>
      <c r="K645" s="37">
        <f>TRIM(LEFT(Table3[[#This Row],[Group]],2))</f>
        <v/>
      </c>
      <c r="L645" s="3" t="inlineStr">
        <is>
          <t>NON SALES</t>
        </is>
      </c>
    </row>
    <row r="646">
      <c r="A646" s="5" t="inlineStr">
        <is>
          <t>OP04206</t>
        </is>
      </c>
      <c r="B646" s="6" t="inlineStr">
        <is>
          <t>Darmayanti</t>
        </is>
      </c>
      <c r="C646" s="7" t="inlineStr">
        <is>
          <t>AV - Agen Verified</t>
        </is>
      </c>
      <c r="D646" s="1" t="inlineStr">
        <is>
          <t>OP00002</t>
        </is>
      </c>
      <c r="E646" s="8" t="n">
        <v>44933.35</v>
      </c>
      <c r="F646" s="7" t="inlineStr">
        <is>
          <t>DOWNLINE</t>
        </is>
      </c>
      <c r="G646" s="18" t="inlineStr">
        <is>
          <t>OP00996</t>
        </is>
      </c>
      <c r="H646" s="19">
        <f>UPPER(Table3[[#This Row],[Agen id]]&amp;"-"&amp;VLOOKUP(Table3[[#This Row],[Agen id]],A:B,2,0)&amp;"("&amp;Table3[[#This Row],[Short]]&amp;")")</f>
        <v/>
      </c>
      <c r="J646" s="7">
        <f>VLOOKUP(Table3[[#This Row],[Agen id]],Agen!A:C,3,0)</f>
        <v/>
      </c>
      <c r="K646" s="37">
        <f>TRIM(LEFT(Table3[[#This Row],[Group]],2))</f>
        <v/>
      </c>
      <c r="L646" s="3" t="inlineStr">
        <is>
          <t>NON SALES</t>
        </is>
      </c>
    </row>
    <row r="647">
      <c r="A647" s="5" t="inlineStr">
        <is>
          <t>OP04210</t>
        </is>
      </c>
      <c r="B647" s="6" t="inlineStr">
        <is>
          <t>Reja</t>
        </is>
      </c>
      <c r="C647" s="7" t="inlineStr">
        <is>
          <t>A - Agen</t>
        </is>
      </c>
      <c r="D647" s="1" t="inlineStr">
        <is>
          <t>OP00036</t>
        </is>
      </c>
      <c r="E647" s="8" t="n">
        <v>44933.96458333333</v>
      </c>
      <c r="F647" s="7" t="inlineStr">
        <is>
          <t>DOWNLINE</t>
        </is>
      </c>
      <c r="G647" s="18" t="inlineStr">
        <is>
          <t>OP00036</t>
        </is>
      </c>
      <c r="H647" s="19">
        <f>UPPER(Table3[[#This Row],[Agen id]]&amp;"-"&amp;VLOOKUP(Table3[[#This Row],[Agen id]],A:B,2,0)&amp;"("&amp;Table3[[#This Row],[Short]]&amp;")")</f>
        <v/>
      </c>
      <c r="J647" s="7">
        <f>VLOOKUP(Table3[[#This Row],[Agen id]],Agen!A:C,3,0)</f>
        <v/>
      </c>
      <c r="K647" s="37">
        <f>TRIM(LEFT(Table3[[#This Row],[Group]],2))</f>
        <v/>
      </c>
      <c r="L647" s="3" t="inlineStr">
        <is>
          <t>NON SALES</t>
        </is>
      </c>
    </row>
    <row r="648">
      <c r="A648" s="5" t="inlineStr">
        <is>
          <t>OP04215</t>
        </is>
      </c>
      <c r="B648" s="6" t="inlineStr">
        <is>
          <t>Agus</t>
        </is>
      </c>
      <c r="C648" s="7" t="inlineStr">
        <is>
          <t>A - Agen</t>
        </is>
      </c>
      <c r="D648" s="1" t="inlineStr">
        <is>
          <t>OP00002</t>
        </is>
      </c>
      <c r="E648" s="8" t="n">
        <v>44934.78958333333</v>
      </c>
      <c r="F648" s="7" t="inlineStr">
        <is>
          <t>AGEN</t>
        </is>
      </c>
      <c r="G648" s="18" t="inlineStr">
        <is>
          <t>OP04215</t>
        </is>
      </c>
      <c r="H648" s="19">
        <f>UPPER(Table3[[#This Row],[Agen id]]&amp;"-"&amp;VLOOKUP(Table3[[#This Row],[Agen id]],A:B,2,0)&amp;"("&amp;Table3[[#This Row],[Short]]&amp;")")</f>
        <v/>
      </c>
      <c r="J648" s="7">
        <f>VLOOKUP(Table3[[#This Row],[Agen id]],Agen!A:C,3,0)</f>
        <v/>
      </c>
      <c r="K648" s="37">
        <f>TRIM(LEFT(Table3[[#This Row],[Group]],2))</f>
        <v/>
      </c>
      <c r="L648" s="3" t="inlineStr">
        <is>
          <t>NON SALES</t>
        </is>
      </c>
    </row>
    <row r="649">
      <c r="A649" s="5" t="inlineStr">
        <is>
          <t>OP04217</t>
        </is>
      </c>
      <c r="B649" s="6" t="inlineStr">
        <is>
          <t>Maharaja</t>
        </is>
      </c>
      <c r="C649" s="7" t="inlineStr">
        <is>
          <t>A - Agen</t>
        </is>
      </c>
      <c r="D649" s="1" t="inlineStr">
        <is>
          <t>OP00996</t>
        </is>
      </c>
      <c r="E649" s="8" t="n">
        <v>44935.17569444444</v>
      </c>
      <c r="F649" s="7" t="inlineStr">
        <is>
          <t>DOWNLINE</t>
        </is>
      </c>
      <c r="G649" s="18" t="inlineStr">
        <is>
          <t>OP00996</t>
        </is>
      </c>
      <c r="H649" s="19">
        <f>UPPER(Table3[[#This Row],[Agen id]]&amp;"-"&amp;VLOOKUP(Table3[[#This Row],[Agen id]],A:B,2,0)&amp;"("&amp;Table3[[#This Row],[Short]]&amp;")")</f>
        <v/>
      </c>
      <c r="J649" s="7">
        <f>VLOOKUP(Table3[[#This Row],[Agen id]],Agen!A:C,3,0)</f>
        <v/>
      </c>
      <c r="K649" s="37">
        <f>TRIM(LEFT(Table3[[#This Row],[Group]],2))</f>
        <v/>
      </c>
      <c r="L649" s="3" t="inlineStr">
        <is>
          <t>NON SALES</t>
        </is>
      </c>
    </row>
    <row r="650">
      <c r="A650" s="5" t="inlineStr">
        <is>
          <t>OP04219</t>
        </is>
      </c>
      <c r="B650" s="6" t="inlineStr">
        <is>
          <t>Manda Cell</t>
        </is>
      </c>
      <c r="C650" s="7" t="inlineStr">
        <is>
          <t>AV - Agen Verified</t>
        </is>
      </c>
      <c r="D650" s="1" t="inlineStr">
        <is>
          <t>OP00003</t>
        </is>
      </c>
      <c r="E650" s="8" t="n">
        <v>44935.56041666667</v>
      </c>
      <c r="F650" s="7" t="inlineStr">
        <is>
          <t>AGEN</t>
        </is>
      </c>
      <c r="G650" s="18" t="inlineStr">
        <is>
          <t>OP04219</t>
        </is>
      </c>
      <c r="H650" s="19">
        <f>UPPER(Table3[[#This Row],[Agen id]]&amp;"-"&amp;VLOOKUP(Table3[[#This Row],[Agen id]],A:B,2,0)&amp;"("&amp;Table3[[#This Row],[Short]]&amp;")")</f>
        <v/>
      </c>
      <c r="J650" s="7">
        <f>VLOOKUP(Table3[[#This Row],[Agen id]],Agen!A:C,3,0)</f>
        <v/>
      </c>
      <c r="K650" s="37">
        <f>TRIM(LEFT(Table3[[#This Row],[Group]],2))</f>
        <v/>
      </c>
      <c r="L650" s="3" t="inlineStr">
        <is>
          <t>NON SALES</t>
        </is>
      </c>
    </row>
    <row r="651">
      <c r="A651" s="5" t="inlineStr">
        <is>
          <t>OP04228</t>
        </is>
      </c>
      <c r="B651" s="6" t="inlineStr">
        <is>
          <t>Veldeno</t>
        </is>
      </c>
      <c r="C651" s="7" t="inlineStr">
        <is>
          <t>A - Agen</t>
        </is>
      </c>
      <c r="D651" s="1" t="inlineStr">
        <is>
          <t>OP00002</t>
        </is>
      </c>
      <c r="E651" s="8" t="n">
        <v>44937.26111111111</v>
      </c>
      <c r="F651" s="7" t="inlineStr">
        <is>
          <t>AGEN</t>
        </is>
      </c>
      <c r="G651" s="18" t="inlineStr">
        <is>
          <t>OP04228</t>
        </is>
      </c>
      <c r="H651" s="19">
        <f>UPPER(Table3[[#This Row],[Agen id]]&amp;"-"&amp;VLOOKUP(Table3[[#This Row],[Agen id]],A:B,2,0)&amp;"("&amp;Table3[[#This Row],[Short]]&amp;")")</f>
        <v/>
      </c>
      <c r="J651" s="7">
        <f>VLOOKUP(Table3[[#This Row],[Agen id]],Agen!A:C,3,0)</f>
        <v/>
      </c>
      <c r="K651" s="37">
        <f>TRIM(LEFT(Table3[[#This Row],[Group]],2))</f>
        <v/>
      </c>
      <c r="L651" s="3" t="inlineStr">
        <is>
          <t>NON SALES</t>
        </is>
      </c>
    </row>
    <row r="652">
      <c r="A652" s="5" t="inlineStr">
        <is>
          <t>OP04237</t>
        </is>
      </c>
      <c r="B652" s="6" t="inlineStr">
        <is>
          <t>Ikhwanul Hakim</t>
        </is>
      </c>
      <c r="C652" s="7" t="inlineStr">
        <is>
          <t>AV - Agen Verified</t>
        </is>
      </c>
      <c r="D652" s="1" t="inlineStr">
        <is>
          <t>OP00002</t>
        </is>
      </c>
      <c r="E652" s="8" t="n">
        <v>44937.51041666666</v>
      </c>
      <c r="F652" s="7" t="inlineStr">
        <is>
          <t>AGEN</t>
        </is>
      </c>
      <c r="G652" s="18" t="inlineStr">
        <is>
          <t>OP04237</t>
        </is>
      </c>
      <c r="H652" s="19">
        <f>UPPER(Table3[[#This Row],[Agen id]]&amp;"-"&amp;VLOOKUP(Table3[[#This Row],[Agen id]],A:B,2,0)&amp;"("&amp;Table3[[#This Row],[Short]]&amp;")")</f>
        <v/>
      </c>
      <c r="J652" s="7">
        <f>VLOOKUP(Table3[[#This Row],[Agen id]],Agen!A:C,3,0)</f>
        <v/>
      </c>
      <c r="K652" s="37">
        <f>TRIM(LEFT(Table3[[#This Row],[Group]],2))</f>
        <v/>
      </c>
      <c r="L652" s="3" t="inlineStr">
        <is>
          <t>NON SALES</t>
        </is>
      </c>
    </row>
    <row r="653">
      <c r="A653" s="5" t="inlineStr">
        <is>
          <t>OP04250</t>
        </is>
      </c>
      <c r="B653" s="6" t="inlineStr">
        <is>
          <t>ASWAR</t>
        </is>
      </c>
      <c r="C653" s="7" t="inlineStr">
        <is>
          <t>A - Agen</t>
        </is>
      </c>
      <c r="D653" s="1" t="inlineStr">
        <is>
          <t>OP03527</t>
        </is>
      </c>
      <c r="E653" s="8" t="n">
        <v>44937.91527777778</v>
      </c>
      <c r="F653" s="7" t="inlineStr">
        <is>
          <t>DOWNLINE</t>
        </is>
      </c>
      <c r="G653" s="18" t="inlineStr">
        <is>
          <t>OP02195</t>
        </is>
      </c>
      <c r="H653" s="19">
        <f>UPPER(Table3[[#This Row],[Agen id]]&amp;"-"&amp;VLOOKUP(Table3[[#This Row],[Agen id]],A:B,2,0)&amp;"("&amp;Table3[[#This Row],[Short]]&amp;")")</f>
        <v/>
      </c>
      <c r="J653" s="7">
        <f>VLOOKUP(Table3[[#This Row],[Agen id]],Agen!A:C,3,0)</f>
        <v/>
      </c>
      <c r="K653" s="37">
        <f>TRIM(LEFT(Table3[[#This Row],[Group]],2))</f>
        <v/>
      </c>
      <c r="L653" s="3" t="inlineStr">
        <is>
          <t>NON SALES</t>
        </is>
      </c>
    </row>
    <row r="654">
      <c r="A654" s="5" t="inlineStr">
        <is>
          <t>OP04255</t>
        </is>
      </c>
      <c r="B654" s="6" t="inlineStr">
        <is>
          <t>Khotifah septiani</t>
        </is>
      </c>
      <c r="C654" s="7" t="inlineStr">
        <is>
          <t>AV - Agen Verified</t>
        </is>
      </c>
      <c r="D654" s="1" t="inlineStr">
        <is>
          <t>OP00002</t>
        </is>
      </c>
      <c r="E654" s="8" t="n">
        <v>44938.32638888889</v>
      </c>
      <c r="F654" s="7" t="inlineStr">
        <is>
          <t>AGEN</t>
        </is>
      </c>
      <c r="G654" s="18" t="inlineStr">
        <is>
          <t>OP04255</t>
        </is>
      </c>
      <c r="H654" s="19">
        <f>UPPER(Table3[[#This Row],[Agen id]]&amp;"-"&amp;VLOOKUP(Table3[[#This Row],[Agen id]],A:B,2,0)&amp;"("&amp;Table3[[#This Row],[Short]]&amp;")")</f>
        <v/>
      </c>
      <c r="J654" s="7">
        <f>VLOOKUP(Table3[[#This Row],[Agen id]],Agen!A:C,3,0)</f>
        <v/>
      </c>
      <c r="K654" s="37">
        <f>TRIM(LEFT(Table3[[#This Row],[Group]],2))</f>
        <v/>
      </c>
      <c r="L654" s="3" t="inlineStr">
        <is>
          <t>NON SALES</t>
        </is>
      </c>
    </row>
    <row r="655">
      <c r="A655" s="5" t="inlineStr">
        <is>
          <t>OP04271</t>
        </is>
      </c>
      <c r="B655" s="6" t="inlineStr">
        <is>
          <t>Taupik</t>
        </is>
      </c>
      <c r="C655" s="7" t="inlineStr">
        <is>
          <t>A - Agen</t>
        </is>
      </c>
      <c r="D655" s="1" t="inlineStr">
        <is>
          <t>OP00002</t>
        </is>
      </c>
      <c r="E655" s="8" t="n">
        <v>44938.66180555556</v>
      </c>
      <c r="F655" s="7" t="inlineStr">
        <is>
          <t>AGEN</t>
        </is>
      </c>
      <c r="G655" s="18" t="inlineStr">
        <is>
          <t>OP04271</t>
        </is>
      </c>
      <c r="H655" s="19">
        <f>UPPER(Table3[[#This Row],[Agen id]]&amp;"-"&amp;VLOOKUP(Table3[[#This Row],[Agen id]],A:B,2,0)&amp;"("&amp;Table3[[#This Row],[Short]]&amp;")")</f>
        <v/>
      </c>
      <c r="J655" s="7">
        <f>VLOOKUP(Table3[[#This Row],[Agen id]],Agen!A:C,3,0)</f>
        <v/>
      </c>
      <c r="K655" s="37">
        <f>TRIM(LEFT(Table3[[#This Row],[Group]],2))</f>
        <v/>
      </c>
      <c r="L655" s="3" t="inlineStr">
        <is>
          <t>NON SALES</t>
        </is>
      </c>
    </row>
    <row r="656">
      <c r="A656" s="5" t="inlineStr">
        <is>
          <t>OP04292</t>
        </is>
      </c>
      <c r="B656" s="6" t="inlineStr">
        <is>
          <t>RIANA</t>
        </is>
      </c>
      <c r="C656" s="7" t="inlineStr">
        <is>
          <t>A - Agen</t>
        </is>
      </c>
      <c r="D656" s="1" t="inlineStr">
        <is>
          <t>OP00091</t>
        </is>
      </c>
      <c r="E656" s="8" t="n">
        <v>44939.30347222222</v>
      </c>
      <c r="F656" s="7" t="inlineStr">
        <is>
          <t>DOWNLINE</t>
        </is>
      </c>
      <c r="G656" s="18" t="inlineStr">
        <is>
          <t>OP00091</t>
        </is>
      </c>
      <c r="H656" s="19">
        <f>UPPER(Table3[[#This Row],[Agen id]]&amp;"-"&amp;VLOOKUP(Table3[[#This Row],[Agen id]],A:B,2,0)&amp;"("&amp;Table3[[#This Row],[Short]]&amp;")")</f>
        <v/>
      </c>
      <c r="J656" s="7">
        <f>VLOOKUP(Table3[[#This Row],[Agen id]],Agen!A:C,3,0)</f>
        <v/>
      </c>
      <c r="K656" s="37">
        <f>TRIM(LEFT(Table3[[#This Row],[Group]],2))</f>
        <v/>
      </c>
      <c r="L656" s="3" t="inlineStr">
        <is>
          <t>NON SALES</t>
        </is>
      </c>
    </row>
    <row r="657">
      <c r="A657" s="5" t="inlineStr">
        <is>
          <t>OP04300</t>
        </is>
      </c>
      <c r="B657" s="6" t="inlineStr">
        <is>
          <t>toko mutiara</t>
        </is>
      </c>
      <c r="C657" s="7" t="inlineStr">
        <is>
          <t>AB1 - Agen Kab Bogor</t>
        </is>
      </c>
      <c r="D657" s="1" t="inlineStr">
        <is>
          <t>OP03711</t>
        </is>
      </c>
      <c r="E657" s="8" t="n">
        <v>44939.4625</v>
      </c>
      <c r="F657" s="7" t="inlineStr">
        <is>
          <t>DOWNLINE</t>
        </is>
      </c>
      <c r="G657" s="18" t="inlineStr">
        <is>
          <t>OP03711</t>
        </is>
      </c>
      <c r="H657" s="19">
        <f>UPPER(Table3[[#This Row],[Agen id]]&amp;"-"&amp;VLOOKUP(Table3[[#This Row],[Agen id]],A:B,2,0)&amp;"("&amp;Table3[[#This Row],[Short]]&amp;")")</f>
        <v/>
      </c>
      <c r="J657" s="7">
        <f>VLOOKUP(Table3[[#This Row],[Agen id]],Agen!A:C,3,0)</f>
        <v/>
      </c>
      <c r="K657" s="37">
        <f>TRIM(LEFT(Table3[[#This Row],[Group]],2))</f>
        <v/>
      </c>
      <c r="L657" s="3" t="inlineStr">
        <is>
          <t>NON SALES</t>
        </is>
      </c>
    </row>
    <row r="658">
      <c r="A658" s="5" t="inlineStr">
        <is>
          <t>OP04305</t>
        </is>
      </c>
      <c r="B658" s="6" t="inlineStr">
        <is>
          <t>Kadena Pulsa</t>
        </is>
      </c>
      <c r="C658" s="7" t="inlineStr">
        <is>
          <t>A - Agen</t>
        </is>
      </c>
      <c r="D658" s="1" t="inlineStr">
        <is>
          <t>OP00002</t>
        </is>
      </c>
      <c r="E658" s="8" t="n">
        <v>44939.57916666667</v>
      </c>
      <c r="F658" s="7" t="inlineStr">
        <is>
          <t>AGEN</t>
        </is>
      </c>
      <c r="G658" s="18" t="inlineStr">
        <is>
          <t>OP04305</t>
        </is>
      </c>
      <c r="H658" s="19">
        <f>UPPER(Table3[[#This Row],[Agen id]]&amp;"-"&amp;VLOOKUP(Table3[[#This Row],[Agen id]],A:B,2,0)&amp;"("&amp;Table3[[#This Row],[Short]]&amp;")")</f>
        <v/>
      </c>
      <c r="J658" s="7">
        <f>VLOOKUP(Table3[[#This Row],[Agen id]],Agen!A:C,3,0)</f>
        <v/>
      </c>
      <c r="K658" s="37">
        <f>TRIM(LEFT(Table3[[#This Row],[Group]],2))</f>
        <v/>
      </c>
      <c r="L658" s="3" t="inlineStr">
        <is>
          <t>NON SALES</t>
        </is>
      </c>
    </row>
    <row r="659">
      <c r="A659" s="5" t="inlineStr">
        <is>
          <t>OP04307</t>
        </is>
      </c>
      <c r="B659" s="6" t="inlineStr">
        <is>
          <t>Niki</t>
        </is>
      </c>
      <c r="C659" s="7" t="inlineStr">
        <is>
          <t>AV - Agen Verified</t>
        </is>
      </c>
      <c r="D659" s="1" t="inlineStr">
        <is>
          <t>OP00002</t>
        </is>
      </c>
      <c r="E659" s="8" t="n">
        <v>44939.59375</v>
      </c>
      <c r="F659" s="7" t="inlineStr">
        <is>
          <t>AGEN</t>
        </is>
      </c>
      <c r="G659" s="18" t="inlineStr">
        <is>
          <t>OP04307</t>
        </is>
      </c>
      <c r="H659" s="19">
        <f>UPPER(Table3[[#This Row],[Agen id]]&amp;"-"&amp;VLOOKUP(Table3[[#This Row],[Agen id]],A:B,2,0)&amp;"("&amp;Table3[[#This Row],[Short]]&amp;")")</f>
        <v/>
      </c>
      <c r="J659" s="7">
        <f>VLOOKUP(Table3[[#This Row],[Agen id]],Agen!A:C,3,0)</f>
        <v/>
      </c>
      <c r="K659" s="37">
        <f>TRIM(LEFT(Table3[[#This Row],[Group]],2))</f>
        <v/>
      </c>
      <c r="L659" s="3" t="inlineStr">
        <is>
          <t>NON SALES</t>
        </is>
      </c>
    </row>
    <row r="660">
      <c r="A660" s="5" t="inlineStr">
        <is>
          <t>OP04310</t>
        </is>
      </c>
      <c r="B660" s="6" t="inlineStr">
        <is>
          <t>Anie</t>
        </is>
      </c>
      <c r="C660" s="7" t="inlineStr">
        <is>
          <t>A - Agen</t>
        </is>
      </c>
      <c r="D660" s="1" t="inlineStr">
        <is>
          <t>OP00002</t>
        </is>
      </c>
      <c r="E660" s="8" t="n">
        <v>44939.66458333333</v>
      </c>
      <c r="F660" s="7" t="inlineStr">
        <is>
          <t>AGEN</t>
        </is>
      </c>
      <c r="G660" s="18" t="inlineStr">
        <is>
          <t>OP04310</t>
        </is>
      </c>
      <c r="H660" s="19">
        <f>UPPER(Table3[[#This Row],[Agen id]]&amp;"-"&amp;VLOOKUP(Table3[[#This Row],[Agen id]],A:B,2,0)&amp;"("&amp;Table3[[#This Row],[Short]]&amp;")")</f>
        <v/>
      </c>
      <c r="J660" s="7">
        <f>VLOOKUP(Table3[[#This Row],[Agen id]],Agen!A:C,3,0)</f>
        <v/>
      </c>
      <c r="K660" s="37">
        <f>TRIM(LEFT(Table3[[#This Row],[Group]],2))</f>
        <v/>
      </c>
      <c r="L660" s="3" t="inlineStr">
        <is>
          <t>NON SALES</t>
        </is>
      </c>
    </row>
    <row r="661">
      <c r="A661" s="5" t="inlineStr">
        <is>
          <t>OP04318</t>
        </is>
      </c>
      <c r="B661" s="6" t="inlineStr">
        <is>
          <t>ansoricellular</t>
        </is>
      </c>
      <c r="C661" s="7" t="inlineStr">
        <is>
          <t>A - Agen</t>
        </is>
      </c>
      <c r="D661" s="1" t="inlineStr">
        <is>
          <t>OP00002</t>
        </is>
      </c>
      <c r="E661" s="8" t="n">
        <v>44939.75763888889</v>
      </c>
      <c r="F661" s="7" t="inlineStr">
        <is>
          <t>AGEN</t>
        </is>
      </c>
      <c r="G661" s="18" t="inlineStr">
        <is>
          <t>OP04318</t>
        </is>
      </c>
      <c r="H661" s="19">
        <f>UPPER(Table3[[#This Row],[Agen id]]&amp;"-"&amp;VLOOKUP(Table3[[#This Row],[Agen id]],A:B,2,0)&amp;"("&amp;Table3[[#This Row],[Short]]&amp;")")</f>
        <v/>
      </c>
      <c r="J661" s="7">
        <f>VLOOKUP(Table3[[#This Row],[Agen id]],Agen!A:C,3,0)</f>
        <v/>
      </c>
      <c r="K661" s="37">
        <f>TRIM(LEFT(Table3[[#This Row],[Group]],2))</f>
        <v/>
      </c>
      <c r="L661" s="3" t="inlineStr">
        <is>
          <t>NON SALES</t>
        </is>
      </c>
    </row>
    <row r="662">
      <c r="A662" s="5" t="inlineStr">
        <is>
          <t>OP04325</t>
        </is>
      </c>
      <c r="B662" s="6" t="inlineStr">
        <is>
          <t>Fatih cell</t>
        </is>
      </c>
      <c r="C662" s="7" t="inlineStr">
        <is>
          <t>AV - Agen Verified</t>
        </is>
      </c>
      <c r="D662" s="1" t="inlineStr">
        <is>
          <t>OP00002</t>
        </is>
      </c>
      <c r="E662" s="8" t="n">
        <v>44939.80902777778</v>
      </c>
      <c r="F662" s="7" t="inlineStr">
        <is>
          <t>AGEN</t>
        </is>
      </c>
      <c r="G662" s="18" t="inlineStr">
        <is>
          <t>OP04325</t>
        </is>
      </c>
      <c r="H662" s="19">
        <f>UPPER(Table3[[#This Row],[Agen id]]&amp;"-"&amp;VLOOKUP(Table3[[#This Row],[Agen id]],A:B,2,0)&amp;"("&amp;Table3[[#This Row],[Short]]&amp;")")</f>
        <v/>
      </c>
      <c r="J662" s="7">
        <f>VLOOKUP(Table3[[#This Row],[Agen id]],Agen!A:C,3,0)</f>
        <v/>
      </c>
      <c r="K662" s="37">
        <f>TRIM(LEFT(Table3[[#This Row],[Group]],2))</f>
        <v/>
      </c>
      <c r="L662" s="3" t="inlineStr">
        <is>
          <t>NON SALES</t>
        </is>
      </c>
    </row>
    <row r="663">
      <c r="A663" s="5" t="inlineStr">
        <is>
          <t>OP04330</t>
        </is>
      </c>
      <c r="B663" s="6" t="inlineStr">
        <is>
          <t>Ahmad zainuri</t>
        </is>
      </c>
      <c r="C663" s="7" t="inlineStr">
        <is>
          <t>AV - Agen Verified</t>
        </is>
      </c>
      <c r="D663" s="1" t="inlineStr">
        <is>
          <t>OP00002</t>
        </is>
      </c>
      <c r="E663" s="8" t="n">
        <v>44940.04513888889</v>
      </c>
      <c r="F663" s="7" t="inlineStr">
        <is>
          <t>AGEN</t>
        </is>
      </c>
      <c r="G663" s="18" t="inlineStr">
        <is>
          <t>OP04330</t>
        </is>
      </c>
      <c r="H663" s="19">
        <f>UPPER(Table3[[#This Row],[Agen id]]&amp;"-"&amp;VLOOKUP(Table3[[#This Row],[Agen id]],A:B,2,0)&amp;"("&amp;Table3[[#This Row],[Short]]&amp;")")</f>
        <v/>
      </c>
      <c r="J663" s="7">
        <f>VLOOKUP(Table3[[#This Row],[Agen id]],Agen!A:C,3,0)</f>
        <v/>
      </c>
      <c r="K663" s="37">
        <f>TRIM(LEFT(Table3[[#This Row],[Group]],2))</f>
        <v/>
      </c>
      <c r="L663" s="3" t="inlineStr">
        <is>
          <t>NON SALES</t>
        </is>
      </c>
    </row>
    <row r="664">
      <c r="A664" s="5" t="inlineStr">
        <is>
          <t>OP04337</t>
        </is>
      </c>
      <c r="B664" s="6" t="inlineStr">
        <is>
          <t>Orlin Cell</t>
        </is>
      </c>
      <c r="C664" s="7" t="inlineStr">
        <is>
          <t>A - Agen</t>
        </is>
      </c>
      <c r="D664" s="1" t="inlineStr">
        <is>
          <t>OP00002</t>
        </is>
      </c>
      <c r="E664" s="8" t="n">
        <v>44940.35069444445</v>
      </c>
      <c r="F664" s="7" t="inlineStr">
        <is>
          <t>AGEN</t>
        </is>
      </c>
      <c r="G664" s="18" t="inlineStr">
        <is>
          <t>OP04337</t>
        </is>
      </c>
      <c r="H664" s="19">
        <f>UPPER(Table3[[#This Row],[Agen id]]&amp;"-"&amp;VLOOKUP(Table3[[#This Row],[Agen id]],A:B,2,0)&amp;"("&amp;Table3[[#This Row],[Short]]&amp;")")</f>
        <v/>
      </c>
      <c r="J664" s="7">
        <f>VLOOKUP(Table3[[#This Row],[Agen id]],Agen!A:C,3,0)</f>
        <v/>
      </c>
      <c r="K664" s="37">
        <f>TRIM(LEFT(Table3[[#This Row],[Group]],2))</f>
        <v/>
      </c>
      <c r="L664" s="3" t="inlineStr">
        <is>
          <t>NON SALES</t>
        </is>
      </c>
    </row>
    <row r="665">
      <c r="A665" s="5" t="inlineStr">
        <is>
          <t>OP04338</t>
        </is>
      </c>
      <c r="B665" s="6" t="inlineStr">
        <is>
          <t>IMAMPULSA</t>
        </is>
      </c>
      <c r="C665" s="7" t="inlineStr">
        <is>
          <t>AV - Agen Verified</t>
        </is>
      </c>
      <c r="D665" s="1" t="inlineStr">
        <is>
          <t>OP00036</t>
        </is>
      </c>
      <c r="E665" s="8" t="n">
        <v>44940.40972222222</v>
      </c>
      <c r="F665" s="7" t="inlineStr">
        <is>
          <t>DOWNLINE</t>
        </is>
      </c>
      <c r="G665" s="18" t="inlineStr">
        <is>
          <t>OP00036</t>
        </is>
      </c>
      <c r="H665" s="19">
        <f>UPPER(Table3[[#This Row],[Agen id]]&amp;"-"&amp;VLOOKUP(Table3[[#This Row],[Agen id]],A:B,2,0)&amp;"("&amp;Table3[[#This Row],[Short]]&amp;")")</f>
        <v/>
      </c>
      <c r="J665" s="7">
        <f>VLOOKUP(Table3[[#This Row],[Agen id]],Agen!A:C,3,0)</f>
        <v/>
      </c>
      <c r="K665" s="37">
        <f>TRIM(LEFT(Table3[[#This Row],[Group]],2))</f>
        <v/>
      </c>
      <c r="L665" s="3" t="inlineStr">
        <is>
          <t>NON SALES</t>
        </is>
      </c>
    </row>
    <row r="666">
      <c r="A666" s="5" t="inlineStr">
        <is>
          <t>OP04343</t>
        </is>
      </c>
      <c r="B666" s="6" t="inlineStr">
        <is>
          <t>Ade Curahman</t>
        </is>
      </c>
      <c r="C666" s="7" t="inlineStr">
        <is>
          <t>A - Agen</t>
        </is>
      </c>
      <c r="D666" s="1" t="inlineStr">
        <is>
          <t>OP00996</t>
        </is>
      </c>
      <c r="E666" s="8" t="n">
        <v>44940.55625</v>
      </c>
      <c r="F666" s="7" t="inlineStr">
        <is>
          <t>DOWNLINE</t>
        </is>
      </c>
      <c r="G666" s="18" t="inlineStr">
        <is>
          <t>OP00996</t>
        </is>
      </c>
      <c r="H666" s="19">
        <f>UPPER(Table3[[#This Row],[Agen id]]&amp;"-"&amp;VLOOKUP(Table3[[#This Row],[Agen id]],A:B,2,0)&amp;"("&amp;Table3[[#This Row],[Short]]&amp;")")</f>
        <v/>
      </c>
      <c r="J666" s="7">
        <f>VLOOKUP(Table3[[#This Row],[Agen id]],Agen!A:C,3,0)</f>
        <v/>
      </c>
      <c r="K666" s="37">
        <f>TRIM(LEFT(Table3[[#This Row],[Group]],2))</f>
        <v/>
      </c>
      <c r="L666" s="3" t="inlineStr">
        <is>
          <t>NON SALES</t>
        </is>
      </c>
    </row>
    <row r="667">
      <c r="A667" s="5" t="inlineStr">
        <is>
          <t>OP04346</t>
        </is>
      </c>
      <c r="B667" s="6" t="inlineStr">
        <is>
          <t>Nofi cell</t>
        </is>
      </c>
      <c r="C667" s="7" t="inlineStr">
        <is>
          <t>A - Agen</t>
        </is>
      </c>
      <c r="D667" s="1" t="inlineStr">
        <is>
          <t>OP00002</t>
        </is>
      </c>
      <c r="E667" s="8" t="n">
        <v>44940.59930555556</v>
      </c>
      <c r="F667" s="7" t="inlineStr">
        <is>
          <t>AGEN</t>
        </is>
      </c>
      <c r="G667" s="18" t="inlineStr">
        <is>
          <t>OP04346</t>
        </is>
      </c>
      <c r="H667" s="19">
        <f>UPPER(Table3[[#This Row],[Agen id]]&amp;"-"&amp;VLOOKUP(Table3[[#This Row],[Agen id]],A:B,2,0)&amp;"("&amp;Table3[[#This Row],[Short]]&amp;")")</f>
        <v/>
      </c>
      <c r="J667" s="7">
        <f>VLOOKUP(Table3[[#This Row],[Agen id]],Agen!A:C,3,0)</f>
        <v/>
      </c>
      <c r="K667" s="37">
        <f>TRIM(LEFT(Table3[[#This Row],[Group]],2))</f>
        <v/>
      </c>
      <c r="L667" s="3" t="inlineStr">
        <is>
          <t>NON SALES</t>
        </is>
      </c>
    </row>
    <row r="668">
      <c r="A668" s="5" t="inlineStr">
        <is>
          <t>OP04347</t>
        </is>
      </c>
      <c r="B668" s="6" t="inlineStr">
        <is>
          <t>Amrialfayat</t>
        </is>
      </c>
      <c r="C668" s="7" t="inlineStr">
        <is>
          <t>A - Agen</t>
        </is>
      </c>
      <c r="D668" s="1" t="inlineStr">
        <is>
          <t>OP03232</t>
        </is>
      </c>
      <c r="E668" s="8" t="n">
        <v>44940.65694444445</v>
      </c>
      <c r="F668" s="7" t="inlineStr">
        <is>
          <t>DOWNLINE</t>
        </is>
      </c>
      <c r="G668" s="18" t="inlineStr">
        <is>
          <t>OP03232</t>
        </is>
      </c>
      <c r="H668" s="19">
        <f>UPPER(Table3[[#This Row],[Agen id]]&amp;"-"&amp;VLOOKUP(Table3[[#This Row],[Agen id]],A:B,2,0)&amp;"("&amp;Table3[[#This Row],[Short]]&amp;")")</f>
        <v/>
      </c>
      <c r="J668" s="7">
        <f>VLOOKUP(Table3[[#This Row],[Agen id]],Agen!A:C,3,0)</f>
        <v/>
      </c>
      <c r="K668" s="37">
        <f>TRIM(LEFT(Table3[[#This Row],[Group]],2))</f>
        <v/>
      </c>
      <c r="L668" s="3" t="inlineStr">
        <is>
          <t>NON SALES</t>
        </is>
      </c>
    </row>
    <row r="669">
      <c r="A669" s="5" t="inlineStr">
        <is>
          <t>OP04356</t>
        </is>
      </c>
      <c r="B669" s="6" t="inlineStr">
        <is>
          <t>Nisa nadila</t>
        </is>
      </c>
      <c r="C669" s="7" t="inlineStr">
        <is>
          <t>A - Agen</t>
        </is>
      </c>
      <c r="D669" s="1" t="inlineStr">
        <is>
          <t>OP00996</t>
        </is>
      </c>
      <c r="E669" s="8" t="n">
        <v>44940.81597222222</v>
      </c>
      <c r="F669" s="7" t="inlineStr">
        <is>
          <t>DOWNLINE</t>
        </is>
      </c>
      <c r="G669" s="18" t="inlineStr">
        <is>
          <t>OP00996</t>
        </is>
      </c>
      <c r="H669" s="19">
        <f>UPPER(Table3[[#This Row],[Agen id]]&amp;"-"&amp;VLOOKUP(Table3[[#This Row],[Agen id]],A:B,2,0)&amp;"("&amp;Table3[[#This Row],[Short]]&amp;")")</f>
        <v/>
      </c>
      <c r="J669" s="7">
        <f>VLOOKUP(Table3[[#This Row],[Agen id]],Agen!A:C,3,0)</f>
        <v/>
      </c>
      <c r="K669" s="37">
        <f>TRIM(LEFT(Table3[[#This Row],[Group]],2))</f>
        <v/>
      </c>
      <c r="L669" s="3" t="inlineStr">
        <is>
          <t>NON SALES</t>
        </is>
      </c>
    </row>
    <row r="670">
      <c r="A670" s="5" t="inlineStr">
        <is>
          <t>OP04391</t>
        </is>
      </c>
      <c r="B670" s="6" t="inlineStr">
        <is>
          <t>lea cell</t>
        </is>
      </c>
      <c r="C670" s="7" t="inlineStr">
        <is>
          <t>AV - Agen Verified</t>
        </is>
      </c>
      <c r="D670" s="1" t="inlineStr">
        <is>
          <t>OP00002</t>
        </is>
      </c>
      <c r="E670" s="8" t="n">
        <v>44941.82013888889</v>
      </c>
      <c r="F670" s="7" t="inlineStr">
        <is>
          <t>AGEN</t>
        </is>
      </c>
      <c r="G670" s="18" t="inlineStr">
        <is>
          <t>OP04391</t>
        </is>
      </c>
      <c r="H670" s="19">
        <f>UPPER(Table3[[#This Row],[Agen id]]&amp;"-"&amp;VLOOKUP(Table3[[#This Row],[Agen id]],A:B,2,0)&amp;"("&amp;Table3[[#This Row],[Short]]&amp;")")</f>
        <v/>
      </c>
      <c r="J670" s="7">
        <f>VLOOKUP(Table3[[#This Row],[Agen id]],Agen!A:C,3,0)</f>
        <v/>
      </c>
      <c r="K670" s="37">
        <f>TRIM(LEFT(Table3[[#This Row],[Group]],2))</f>
        <v/>
      </c>
      <c r="L670" s="3" t="inlineStr">
        <is>
          <t>NON SALES</t>
        </is>
      </c>
    </row>
    <row r="671">
      <c r="A671" s="5" t="inlineStr">
        <is>
          <t>OP04395</t>
        </is>
      </c>
      <c r="B671" s="6" t="inlineStr">
        <is>
          <t>Lea cell 2</t>
        </is>
      </c>
      <c r="C671" s="7" t="inlineStr">
        <is>
          <t>A - Agen</t>
        </is>
      </c>
      <c r="D671" s="1" t="inlineStr">
        <is>
          <t>OP04391</t>
        </is>
      </c>
      <c r="E671" s="8" t="n">
        <v>44941.90208333333</v>
      </c>
      <c r="F671" s="7" t="inlineStr">
        <is>
          <t>DOWNLINE</t>
        </is>
      </c>
      <c r="G671" s="18" t="inlineStr">
        <is>
          <t>OP04391</t>
        </is>
      </c>
      <c r="H671" s="19">
        <f>UPPER(Table3[[#This Row],[Agen id]]&amp;"-"&amp;VLOOKUP(Table3[[#This Row],[Agen id]],A:B,2,0)&amp;"("&amp;Table3[[#This Row],[Short]]&amp;")")</f>
        <v/>
      </c>
      <c r="J671" s="7">
        <f>VLOOKUP(Table3[[#This Row],[Agen id]],Agen!A:C,3,0)</f>
        <v/>
      </c>
      <c r="K671" s="37">
        <f>TRIM(LEFT(Table3[[#This Row],[Group]],2))</f>
        <v/>
      </c>
      <c r="L671" s="3" t="inlineStr">
        <is>
          <t>NON SALES</t>
        </is>
      </c>
    </row>
    <row r="672">
      <c r="A672" s="5" t="inlineStr">
        <is>
          <t>OP04408</t>
        </is>
      </c>
      <c r="B672" s="6" t="inlineStr">
        <is>
          <t>Kartini phutry thalib</t>
        </is>
      </c>
      <c r="C672" s="7" t="inlineStr">
        <is>
          <t>AV - Agen Verified</t>
        </is>
      </c>
      <c r="D672" s="1" t="inlineStr">
        <is>
          <t>OP00051</t>
        </is>
      </c>
      <c r="E672" s="8" t="n">
        <v>44942.60347222222</v>
      </c>
      <c r="F672" s="7" t="inlineStr">
        <is>
          <t>DOWNLINE</t>
        </is>
      </c>
      <c r="G672" s="18" t="inlineStr">
        <is>
          <t>OP00051</t>
        </is>
      </c>
      <c r="H672" s="19">
        <f>UPPER(Table3[[#This Row],[Agen id]]&amp;"-"&amp;VLOOKUP(Table3[[#This Row],[Agen id]],A:B,2,0)&amp;"("&amp;Table3[[#This Row],[Short]]&amp;")")</f>
        <v/>
      </c>
      <c r="J672" s="7">
        <f>VLOOKUP(Table3[[#This Row],[Agen id]],Agen!A:C,3,0)</f>
        <v/>
      </c>
      <c r="K672" s="37">
        <f>TRIM(LEFT(Table3[[#This Row],[Group]],2))</f>
        <v/>
      </c>
      <c r="L672" s="3" t="inlineStr">
        <is>
          <t>NON SALES</t>
        </is>
      </c>
    </row>
    <row r="673">
      <c r="A673" s="5" t="inlineStr">
        <is>
          <t>OP04409</t>
        </is>
      </c>
      <c r="B673" s="6" t="inlineStr">
        <is>
          <t>Azam</t>
        </is>
      </c>
      <c r="C673" s="7" t="inlineStr">
        <is>
          <t>A - Agen</t>
        </is>
      </c>
      <c r="D673" s="1" t="inlineStr">
        <is>
          <t>OP00002</t>
        </is>
      </c>
      <c r="E673" s="8" t="n">
        <v>44942.60555555556</v>
      </c>
      <c r="F673" s="7" t="inlineStr">
        <is>
          <t>AGEN</t>
        </is>
      </c>
      <c r="G673" s="18" t="inlineStr">
        <is>
          <t>OP04409</t>
        </is>
      </c>
      <c r="H673" s="19">
        <f>UPPER(Table3[[#This Row],[Agen id]]&amp;"-"&amp;VLOOKUP(Table3[[#This Row],[Agen id]],A:B,2,0)&amp;"("&amp;Table3[[#This Row],[Short]]&amp;")")</f>
        <v/>
      </c>
      <c r="J673" s="7">
        <f>VLOOKUP(Table3[[#This Row],[Agen id]],Agen!A:C,3,0)</f>
        <v/>
      </c>
      <c r="K673" s="37">
        <f>TRIM(LEFT(Table3[[#This Row],[Group]],2))</f>
        <v/>
      </c>
      <c r="L673" s="3" t="inlineStr">
        <is>
          <t>NON SALES</t>
        </is>
      </c>
    </row>
    <row r="674">
      <c r="A674" s="5" t="inlineStr">
        <is>
          <t>OP04410</t>
        </is>
      </c>
      <c r="B674" s="6" t="inlineStr">
        <is>
          <t>Faeyza</t>
        </is>
      </c>
      <c r="C674" s="7" t="inlineStr">
        <is>
          <t>A - Agen</t>
        </is>
      </c>
      <c r="D674" s="1" t="inlineStr">
        <is>
          <t>OP00002</t>
        </is>
      </c>
      <c r="E674" s="8" t="n">
        <v>44942.61388888889</v>
      </c>
      <c r="F674" s="7" t="inlineStr">
        <is>
          <t>AGEN</t>
        </is>
      </c>
      <c r="G674" s="18" t="inlineStr">
        <is>
          <t>OP04410</t>
        </is>
      </c>
      <c r="H674" s="19">
        <f>UPPER(Table3[[#This Row],[Agen id]]&amp;"-"&amp;VLOOKUP(Table3[[#This Row],[Agen id]],A:B,2,0)&amp;"("&amp;Table3[[#This Row],[Short]]&amp;")")</f>
        <v/>
      </c>
      <c r="J674" s="7">
        <f>VLOOKUP(Table3[[#This Row],[Agen id]],Agen!A:C,3,0)</f>
        <v/>
      </c>
      <c r="K674" s="37">
        <f>TRIM(LEFT(Table3[[#This Row],[Group]],2))</f>
        <v/>
      </c>
      <c r="L674" s="3" t="inlineStr">
        <is>
          <t>NON SALES</t>
        </is>
      </c>
    </row>
    <row r="675">
      <c r="A675" s="5" t="inlineStr">
        <is>
          <t>OP04411</t>
        </is>
      </c>
      <c r="B675" s="6" t="inlineStr">
        <is>
          <t>jeham</t>
        </is>
      </c>
      <c r="C675" s="7" t="inlineStr">
        <is>
          <t>A - Agen</t>
        </is>
      </c>
      <c r="D675" s="1" t="inlineStr">
        <is>
          <t>OP03060</t>
        </is>
      </c>
      <c r="E675" s="8" t="n">
        <v>44942.63402777778</v>
      </c>
      <c r="F675" s="7" t="inlineStr">
        <is>
          <t>DOWNLINE</t>
        </is>
      </c>
      <c r="G675" s="18" t="inlineStr">
        <is>
          <t>OP00996</t>
        </is>
      </c>
      <c r="H675" s="19">
        <f>UPPER(Table3[[#This Row],[Agen id]]&amp;"-"&amp;VLOOKUP(Table3[[#This Row],[Agen id]],A:B,2,0)&amp;"("&amp;Table3[[#This Row],[Short]]&amp;")")</f>
        <v/>
      </c>
      <c r="J675" s="7">
        <f>VLOOKUP(Table3[[#This Row],[Agen id]],Agen!A:C,3,0)</f>
        <v/>
      </c>
      <c r="K675" s="37">
        <f>TRIM(LEFT(Table3[[#This Row],[Group]],2))</f>
        <v/>
      </c>
      <c r="L675" s="3" t="inlineStr">
        <is>
          <t>NON SALES</t>
        </is>
      </c>
    </row>
    <row r="676">
      <c r="A676" s="5" t="inlineStr">
        <is>
          <t>OP04413</t>
        </is>
      </c>
      <c r="B676" s="6" t="inlineStr">
        <is>
          <t>Zaylen</t>
        </is>
      </c>
      <c r="C676" s="7" t="inlineStr">
        <is>
          <t>A - Agen</t>
        </is>
      </c>
      <c r="D676" s="1" t="inlineStr">
        <is>
          <t>OP00996</t>
        </is>
      </c>
      <c r="E676" s="8" t="n">
        <v>44942.65347222222</v>
      </c>
      <c r="F676" s="7" t="inlineStr">
        <is>
          <t>DOWNLINE</t>
        </is>
      </c>
      <c r="G676" s="18" t="inlineStr">
        <is>
          <t>OP00996</t>
        </is>
      </c>
      <c r="H676" s="19">
        <f>UPPER(Table3[[#This Row],[Agen id]]&amp;"-"&amp;VLOOKUP(Table3[[#This Row],[Agen id]],A:B,2,0)&amp;"("&amp;Table3[[#This Row],[Short]]&amp;")")</f>
        <v/>
      </c>
      <c r="J676" s="7">
        <f>VLOOKUP(Table3[[#This Row],[Agen id]],Agen!A:C,3,0)</f>
        <v/>
      </c>
      <c r="K676" s="37">
        <f>TRIM(LEFT(Table3[[#This Row],[Group]],2))</f>
        <v/>
      </c>
      <c r="L676" s="3" t="inlineStr">
        <is>
          <t>NON SALES</t>
        </is>
      </c>
    </row>
    <row r="677">
      <c r="A677" s="5" t="inlineStr">
        <is>
          <t>OP04415</t>
        </is>
      </c>
      <c r="B677" s="6" t="inlineStr">
        <is>
          <t>galih</t>
        </is>
      </c>
      <c r="C677" s="7" t="inlineStr">
        <is>
          <t>A - Agen</t>
        </is>
      </c>
      <c r="D677" s="1" t="inlineStr">
        <is>
          <t>OP03527</t>
        </is>
      </c>
      <c r="E677" s="8" t="n">
        <v>44942.69027777778</v>
      </c>
      <c r="F677" s="7" t="inlineStr">
        <is>
          <t>DOWNLINE</t>
        </is>
      </c>
      <c r="G677" s="18" t="inlineStr">
        <is>
          <t>OP02195</t>
        </is>
      </c>
      <c r="H677" s="19">
        <f>UPPER(Table3[[#This Row],[Agen id]]&amp;"-"&amp;VLOOKUP(Table3[[#This Row],[Agen id]],A:B,2,0)&amp;"("&amp;Table3[[#This Row],[Short]]&amp;")")</f>
        <v/>
      </c>
      <c r="J677" s="7">
        <f>VLOOKUP(Table3[[#This Row],[Agen id]],Agen!A:C,3,0)</f>
        <v/>
      </c>
      <c r="K677" s="37">
        <f>TRIM(LEFT(Table3[[#This Row],[Group]],2))</f>
        <v/>
      </c>
      <c r="L677" s="3" t="inlineStr">
        <is>
          <t>NON SALES</t>
        </is>
      </c>
    </row>
    <row r="678">
      <c r="A678" s="5" t="inlineStr">
        <is>
          <t>OP04417</t>
        </is>
      </c>
      <c r="B678" s="6" t="inlineStr">
        <is>
          <t>gayah</t>
        </is>
      </c>
      <c r="C678" s="7" t="inlineStr">
        <is>
          <t>A - Agen</t>
        </is>
      </c>
      <c r="D678" s="1" t="inlineStr">
        <is>
          <t>OP03527</t>
        </is>
      </c>
      <c r="E678" s="8" t="n">
        <v>44942.71666666667</v>
      </c>
      <c r="F678" s="7" t="inlineStr">
        <is>
          <t>DOWNLINE</t>
        </is>
      </c>
      <c r="G678" s="18" t="inlineStr">
        <is>
          <t>OP02195</t>
        </is>
      </c>
      <c r="H678" s="19">
        <f>UPPER(Table3[[#This Row],[Agen id]]&amp;"-"&amp;VLOOKUP(Table3[[#This Row],[Agen id]],A:B,2,0)&amp;"("&amp;Table3[[#This Row],[Short]]&amp;")")</f>
        <v/>
      </c>
      <c r="J678" s="7">
        <f>VLOOKUP(Table3[[#This Row],[Agen id]],Agen!A:C,3,0)</f>
        <v/>
      </c>
      <c r="K678" s="37">
        <f>TRIM(LEFT(Table3[[#This Row],[Group]],2))</f>
        <v/>
      </c>
      <c r="L678" s="3" t="inlineStr">
        <is>
          <t>NON SALES</t>
        </is>
      </c>
    </row>
    <row r="679">
      <c r="A679" s="5" t="inlineStr">
        <is>
          <t>OP04422</t>
        </is>
      </c>
      <c r="B679" s="6" t="inlineStr">
        <is>
          <t>Fransiskus Meo</t>
        </is>
      </c>
      <c r="C679" s="7" t="inlineStr">
        <is>
          <t>A - Agen</t>
        </is>
      </c>
      <c r="D679" s="1" t="inlineStr">
        <is>
          <t>OP00002</t>
        </is>
      </c>
      <c r="E679" s="8" t="n">
        <v>44942.80625</v>
      </c>
      <c r="F679" s="7" t="inlineStr">
        <is>
          <t>AGEN</t>
        </is>
      </c>
      <c r="G679" s="18" t="inlineStr">
        <is>
          <t>OP04422</t>
        </is>
      </c>
      <c r="H679" s="19">
        <f>UPPER(Table3[[#This Row],[Agen id]]&amp;"-"&amp;VLOOKUP(Table3[[#This Row],[Agen id]],A:B,2,0)&amp;"("&amp;Table3[[#This Row],[Short]]&amp;")")</f>
        <v/>
      </c>
      <c r="J679" s="7">
        <f>VLOOKUP(Table3[[#This Row],[Agen id]],Agen!A:C,3,0)</f>
        <v/>
      </c>
      <c r="K679" s="37">
        <f>TRIM(LEFT(Table3[[#This Row],[Group]],2))</f>
        <v/>
      </c>
      <c r="L679" s="3" t="inlineStr">
        <is>
          <t>NON SALES</t>
        </is>
      </c>
    </row>
    <row r="680">
      <c r="A680" s="5" t="inlineStr">
        <is>
          <t>OP04427</t>
        </is>
      </c>
      <c r="B680" s="6" t="inlineStr">
        <is>
          <t>Tatacellular</t>
        </is>
      </c>
      <c r="C680" s="7" t="inlineStr">
        <is>
          <t>A - Agen</t>
        </is>
      </c>
      <c r="D680" s="1" t="inlineStr">
        <is>
          <t>OP00002</t>
        </is>
      </c>
      <c r="E680" s="8" t="n">
        <v>44943.23958333334</v>
      </c>
      <c r="F680" s="7" t="inlineStr">
        <is>
          <t>AGEN</t>
        </is>
      </c>
      <c r="G680" s="18" t="inlineStr">
        <is>
          <t>OP04427</t>
        </is>
      </c>
      <c r="H680" s="19">
        <f>UPPER(Table3[[#This Row],[Agen id]]&amp;"-"&amp;VLOOKUP(Table3[[#This Row],[Agen id]],A:B,2,0)&amp;"("&amp;Table3[[#This Row],[Short]]&amp;")")</f>
        <v/>
      </c>
      <c r="J680" s="7">
        <f>VLOOKUP(Table3[[#This Row],[Agen id]],Agen!A:C,3,0)</f>
        <v/>
      </c>
      <c r="K680" s="37">
        <f>TRIM(LEFT(Table3[[#This Row],[Group]],2))</f>
        <v/>
      </c>
      <c r="L680" s="3" t="inlineStr">
        <is>
          <t>NON SALES</t>
        </is>
      </c>
    </row>
    <row r="681">
      <c r="A681" s="5" t="inlineStr">
        <is>
          <t>OP04436</t>
        </is>
      </c>
      <c r="B681" s="6" t="inlineStr">
        <is>
          <t>Andira</t>
        </is>
      </c>
      <c r="C681" s="7" t="inlineStr">
        <is>
          <t>A - Agen</t>
        </is>
      </c>
      <c r="D681" s="1" t="inlineStr">
        <is>
          <t>OP00002</t>
        </is>
      </c>
      <c r="E681" s="8" t="n">
        <v>44943.73055555556</v>
      </c>
      <c r="F681" s="7" t="inlineStr">
        <is>
          <t>AGEN</t>
        </is>
      </c>
      <c r="G681" s="18" t="inlineStr">
        <is>
          <t>OP04436</t>
        </is>
      </c>
      <c r="H681" s="19">
        <f>UPPER(Table3[[#This Row],[Agen id]]&amp;"-"&amp;VLOOKUP(Table3[[#This Row],[Agen id]],A:B,2,0)&amp;"("&amp;Table3[[#This Row],[Short]]&amp;")")</f>
        <v/>
      </c>
      <c r="J681" s="7">
        <f>VLOOKUP(Table3[[#This Row],[Agen id]],Agen!A:C,3,0)</f>
        <v/>
      </c>
      <c r="K681" s="37">
        <f>TRIM(LEFT(Table3[[#This Row],[Group]],2))</f>
        <v/>
      </c>
      <c r="L681" s="3" t="inlineStr">
        <is>
          <t>NON SALES</t>
        </is>
      </c>
    </row>
    <row r="682">
      <c r="A682" s="5" t="inlineStr">
        <is>
          <t>OP04437</t>
        </is>
      </c>
      <c r="B682" s="6" t="inlineStr">
        <is>
          <t>090820.nama</t>
        </is>
      </c>
      <c r="C682" s="7" t="inlineStr">
        <is>
          <t>A - Agen</t>
        </is>
      </c>
      <c r="D682" s="1" t="inlineStr">
        <is>
          <t>OP00996</t>
        </is>
      </c>
      <c r="E682" s="8" t="n">
        <v>44943.78194444445</v>
      </c>
      <c r="F682" s="7" t="inlineStr">
        <is>
          <t>DOWNLINE</t>
        </is>
      </c>
      <c r="G682" s="18" t="inlineStr">
        <is>
          <t>OP00996</t>
        </is>
      </c>
      <c r="H682" s="19">
        <f>UPPER(Table3[[#This Row],[Agen id]]&amp;"-"&amp;VLOOKUP(Table3[[#This Row],[Agen id]],A:B,2,0)&amp;"("&amp;Table3[[#This Row],[Short]]&amp;")")</f>
        <v/>
      </c>
      <c r="J682" s="7">
        <f>VLOOKUP(Table3[[#This Row],[Agen id]],Agen!A:C,3,0)</f>
        <v/>
      </c>
      <c r="K682" s="37">
        <f>TRIM(LEFT(Table3[[#This Row],[Group]],2))</f>
        <v/>
      </c>
      <c r="L682" s="3" t="inlineStr">
        <is>
          <t>NON SALES</t>
        </is>
      </c>
    </row>
    <row r="683">
      <c r="A683" s="5" t="inlineStr">
        <is>
          <t>OP04438</t>
        </is>
      </c>
      <c r="B683" s="6" t="inlineStr">
        <is>
          <t>Sinank</t>
        </is>
      </c>
      <c r="C683" s="7" t="inlineStr">
        <is>
          <t>A - Agen</t>
        </is>
      </c>
      <c r="D683" s="1" t="inlineStr">
        <is>
          <t>OP00002</t>
        </is>
      </c>
      <c r="E683" s="8" t="n">
        <v>44943.78611111111</v>
      </c>
      <c r="F683" s="7" t="inlineStr">
        <is>
          <t>AGEN</t>
        </is>
      </c>
      <c r="G683" s="18" t="inlineStr">
        <is>
          <t>OP04438</t>
        </is>
      </c>
      <c r="H683" s="19">
        <f>UPPER(Table3[[#This Row],[Agen id]]&amp;"-"&amp;VLOOKUP(Table3[[#This Row],[Agen id]],A:B,2,0)&amp;"("&amp;Table3[[#This Row],[Short]]&amp;")")</f>
        <v/>
      </c>
      <c r="J683" s="7">
        <f>VLOOKUP(Table3[[#This Row],[Agen id]],Agen!A:C,3,0)</f>
        <v/>
      </c>
      <c r="K683" s="37">
        <f>TRIM(LEFT(Table3[[#This Row],[Group]],2))</f>
        <v/>
      </c>
      <c r="L683" s="3" t="inlineStr">
        <is>
          <t>NON SALES</t>
        </is>
      </c>
    </row>
    <row r="684">
      <c r="A684" s="5" t="inlineStr">
        <is>
          <t>OP04445</t>
        </is>
      </c>
      <c r="B684" s="6" t="inlineStr">
        <is>
          <t>BengLandhek</t>
        </is>
      </c>
      <c r="C684" s="7" t="inlineStr">
        <is>
          <t>AV - Agen Verified</t>
        </is>
      </c>
      <c r="D684" s="1" t="inlineStr">
        <is>
          <t>OP00002</t>
        </is>
      </c>
      <c r="E684" s="8" t="n">
        <v>44944.23888888889</v>
      </c>
      <c r="F684" s="7" t="inlineStr">
        <is>
          <t>AGEN</t>
        </is>
      </c>
      <c r="G684" s="18" t="inlineStr">
        <is>
          <t>OP04445</t>
        </is>
      </c>
      <c r="H684" s="19">
        <f>UPPER(Table3[[#This Row],[Agen id]]&amp;"-"&amp;VLOOKUP(Table3[[#This Row],[Agen id]],A:B,2,0)&amp;"("&amp;Table3[[#This Row],[Short]]&amp;")")</f>
        <v/>
      </c>
      <c r="J684" s="7">
        <f>VLOOKUP(Table3[[#This Row],[Agen id]],Agen!A:C,3,0)</f>
        <v/>
      </c>
      <c r="K684" s="37">
        <f>TRIM(LEFT(Table3[[#This Row],[Group]],2))</f>
        <v/>
      </c>
      <c r="L684" s="3" t="inlineStr">
        <is>
          <t>NON SALES</t>
        </is>
      </c>
    </row>
    <row r="685">
      <c r="A685" s="5" t="inlineStr">
        <is>
          <t>OP04459</t>
        </is>
      </c>
      <c r="B685" s="6" t="inlineStr">
        <is>
          <t>Erni Susanti</t>
        </is>
      </c>
      <c r="C685" s="7" t="inlineStr">
        <is>
          <t>A - Agen</t>
        </is>
      </c>
      <c r="D685" s="1" t="inlineStr">
        <is>
          <t>OP03527</t>
        </is>
      </c>
      <c r="E685" s="8" t="n">
        <v>44944.59166666667</v>
      </c>
      <c r="F685" s="7" t="inlineStr">
        <is>
          <t>DOWNLINE</t>
        </is>
      </c>
      <c r="G685" s="18" t="inlineStr">
        <is>
          <t>OP02195</t>
        </is>
      </c>
      <c r="H685" s="19">
        <f>UPPER(Table3[[#This Row],[Agen id]]&amp;"-"&amp;VLOOKUP(Table3[[#This Row],[Agen id]],A:B,2,0)&amp;"("&amp;Table3[[#This Row],[Short]]&amp;")")</f>
        <v/>
      </c>
      <c r="J685" s="7">
        <f>VLOOKUP(Table3[[#This Row],[Agen id]],Agen!A:C,3,0)</f>
        <v/>
      </c>
      <c r="K685" s="37">
        <f>TRIM(LEFT(Table3[[#This Row],[Group]],2))</f>
        <v/>
      </c>
      <c r="L685" s="3" t="inlineStr">
        <is>
          <t>NON SALES</t>
        </is>
      </c>
    </row>
    <row r="686">
      <c r="A686" s="5" t="inlineStr">
        <is>
          <t>OP04461</t>
        </is>
      </c>
      <c r="B686" s="6" t="inlineStr">
        <is>
          <t>gefa</t>
        </is>
      </c>
      <c r="C686" s="7" t="inlineStr">
        <is>
          <t>A - Agen</t>
        </is>
      </c>
      <c r="D686" s="1" t="inlineStr">
        <is>
          <t>OP00996</t>
        </is>
      </c>
      <c r="E686" s="8" t="n">
        <v>44944.69722222222</v>
      </c>
      <c r="F686" s="7" t="inlineStr">
        <is>
          <t>DOWNLINE</t>
        </is>
      </c>
      <c r="G686" s="18" t="inlineStr">
        <is>
          <t>OP00996</t>
        </is>
      </c>
      <c r="H686" s="19">
        <f>UPPER(Table3[[#This Row],[Agen id]]&amp;"-"&amp;VLOOKUP(Table3[[#This Row],[Agen id]],A:B,2,0)&amp;"("&amp;Table3[[#This Row],[Short]]&amp;")")</f>
        <v/>
      </c>
      <c r="J686" s="7">
        <f>VLOOKUP(Table3[[#This Row],[Agen id]],Agen!A:C,3,0)</f>
        <v/>
      </c>
      <c r="K686" s="37">
        <f>TRIM(LEFT(Table3[[#This Row],[Group]],2))</f>
        <v/>
      </c>
      <c r="L686" s="3" t="inlineStr">
        <is>
          <t>NON SALES</t>
        </is>
      </c>
    </row>
    <row r="687">
      <c r="A687" s="5" t="inlineStr">
        <is>
          <t>OP04472</t>
        </is>
      </c>
      <c r="B687" s="6" t="inlineStr">
        <is>
          <t>Githa</t>
        </is>
      </c>
      <c r="C687" s="7" t="inlineStr">
        <is>
          <t>A - Agen</t>
        </is>
      </c>
      <c r="D687" s="1" t="inlineStr">
        <is>
          <t>OP00002</t>
        </is>
      </c>
      <c r="E687" s="8" t="n">
        <v>44944.81111111111</v>
      </c>
      <c r="F687" s="7" t="inlineStr">
        <is>
          <t>AGEN</t>
        </is>
      </c>
      <c r="G687" s="18" t="inlineStr">
        <is>
          <t>OP04472</t>
        </is>
      </c>
      <c r="H687" s="19">
        <f>UPPER(Table3[[#This Row],[Agen id]]&amp;"-"&amp;VLOOKUP(Table3[[#This Row],[Agen id]],A:B,2,0)&amp;"("&amp;Table3[[#This Row],[Short]]&amp;")")</f>
        <v/>
      </c>
      <c r="J687" s="7">
        <f>VLOOKUP(Table3[[#This Row],[Agen id]],Agen!A:C,3,0)</f>
        <v/>
      </c>
      <c r="K687" s="37">
        <f>TRIM(LEFT(Table3[[#This Row],[Group]],2))</f>
        <v/>
      </c>
      <c r="L687" s="3" t="inlineStr">
        <is>
          <t>NON SALES</t>
        </is>
      </c>
    </row>
    <row r="688">
      <c r="A688" s="5" t="inlineStr">
        <is>
          <t>OP04478</t>
        </is>
      </c>
      <c r="B688" s="6" t="inlineStr">
        <is>
          <t>Mei wijiati</t>
        </is>
      </c>
      <c r="C688" s="7" t="inlineStr">
        <is>
          <t>A - Agen</t>
        </is>
      </c>
      <c r="D688" s="1" t="inlineStr">
        <is>
          <t>OP00002</t>
        </is>
      </c>
      <c r="E688" s="8" t="n">
        <v>44945.37986111111</v>
      </c>
      <c r="F688" s="7" t="inlineStr">
        <is>
          <t>AGEN</t>
        </is>
      </c>
      <c r="G688" s="18" t="inlineStr">
        <is>
          <t>OP04478</t>
        </is>
      </c>
      <c r="H688" s="19">
        <f>UPPER(Table3[[#This Row],[Agen id]]&amp;"-"&amp;VLOOKUP(Table3[[#This Row],[Agen id]],A:B,2,0)&amp;"("&amp;Table3[[#This Row],[Short]]&amp;")")</f>
        <v/>
      </c>
      <c r="J688" s="7">
        <f>VLOOKUP(Table3[[#This Row],[Agen id]],Agen!A:C,3,0)</f>
        <v/>
      </c>
      <c r="K688" s="37">
        <f>TRIM(LEFT(Table3[[#This Row],[Group]],2))</f>
        <v/>
      </c>
      <c r="L688" s="3" t="inlineStr">
        <is>
          <t>NON SALES</t>
        </is>
      </c>
    </row>
    <row r="689">
      <c r="A689" s="5" t="inlineStr">
        <is>
          <t>OP04482</t>
        </is>
      </c>
      <c r="B689" s="6" t="inlineStr">
        <is>
          <t>ALI</t>
        </is>
      </c>
      <c r="C689" s="7" t="inlineStr">
        <is>
          <t>A - Agen</t>
        </is>
      </c>
      <c r="D689" s="1" t="inlineStr">
        <is>
          <t>OP00002</t>
        </is>
      </c>
      <c r="E689" s="8" t="n">
        <v>44945.46805555555</v>
      </c>
      <c r="F689" s="7" t="inlineStr">
        <is>
          <t>AGEN</t>
        </is>
      </c>
      <c r="G689" s="18" t="inlineStr">
        <is>
          <t>OP04482</t>
        </is>
      </c>
      <c r="H689" s="19">
        <f>UPPER(Table3[[#This Row],[Agen id]]&amp;"-"&amp;VLOOKUP(Table3[[#This Row],[Agen id]],A:B,2,0)&amp;"("&amp;Table3[[#This Row],[Short]]&amp;")")</f>
        <v/>
      </c>
      <c r="J689" s="7">
        <f>VLOOKUP(Table3[[#This Row],[Agen id]],Agen!A:C,3,0)</f>
        <v/>
      </c>
      <c r="K689" s="37">
        <f>TRIM(LEFT(Table3[[#This Row],[Group]],2))</f>
        <v/>
      </c>
      <c r="L689" s="3" t="inlineStr">
        <is>
          <t>NON SALES</t>
        </is>
      </c>
    </row>
    <row r="690">
      <c r="A690" s="5" t="inlineStr">
        <is>
          <t>OP04484</t>
        </is>
      </c>
      <c r="B690" s="6" t="inlineStr">
        <is>
          <t>Roby</t>
        </is>
      </c>
      <c r="C690" s="7" t="inlineStr">
        <is>
          <t>A - Agen</t>
        </is>
      </c>
      <c r="D690" s="1" t="inlineStr">
        <is>
          <t>OP00336</t>
        </is>
      </c>
      <c r="E690" s="8" t="n">
        <v>44945.64583333334</v>
      </c>
      <c r="F690" s="7" t="inlineStr">
        <is>
          <t>DOWNLINE</t>
        </is>
      </c>
      <c r="G690" s="18" t="inlineStr">
        <is>
          <t>OP00335</t>
        </is>
      </c>
      <c r="H690" s="19">
        <f>UPPER(Table3[[#This Row],[Agen id]]&amp;"-"&amp;VLOOKUP(Table3[[#This Row],[Agen id]],A:B,2,0)&amp;"("&amp;Table3[[#This Row],[Short]]&amp;")")</f>
        <v/>
      </c>
      <c r="J690" s="7">
        <f>VLOOKUP(Table3[[#This Row],[Agen id]],Agen!A:C,3,0)</f>
        <v/>
      </c>
      <c r="K690" s="37">
        <f>TRIM(LEFT(Table3[[#This Row],[Group]],2))</f>
        <v/>
      </c>
      <c r="L690" s="3" t="inlineStr">
        <is>
          <t>NON SALES</t>
        </is>
      </c>
    </row>
    <row r="691">
      <c r="A691" s="5" t="inlineStr">
        <is>
          <t>OP04506</t>
        </is>
      </c>
      <c r="B691" s="6" t="inlineStr">
        <is>
          <t>Novandika</t>
        </is>
      </c>
      <c r="C691" s="7" t="inlineStr">
        <is>
          <t>AV - Agen Verified</t>
        </is>
      </c>
      <c r="D691" s="1" t="inlineStr">
        <is>
          <t>OP00003</t>
        </is>
      </c>
      <c r="E691" s="8" t="n">
        <v>44946.61805555555</v>
      </c>
      <c r="F691" s="7" t="inlineStr">
        <is>
          <t>AGEN</t>
        </is>
      </c>
      <c r="G691" s="18" t="inlineStr">
        <is>
          <t>OP04506</t>
        </is>
      </c>
      <c r="H691" s="19">
        <f>UPPER(Table3[[#This Row],[Agen id]]&amp;"-"&amp;VLOOKUP(Table3[[#This Row],[Agen id]],A:B,2,0)&amp;"("&amp;Table3[[#This Row],[Short]]&amp;")")</f>
        <v/>
      </c>
      <c r="J691" s="7">
        <f>VLOOKUP(Table3[[#This Row],[Agen id]],Agen!A:C,3,0)</f>
        <v/>
      </c>
      <c r="K691" s="37">
        <f>TRIM(LEFT(Table3[[#This Row],[Group]],2))</f>
        <v/>
      </c>
      <c r="L691" s="3" t="inlineStr">
        <is>
          <t>NON SALES</t>
        </is>
      </c>
    </row>
    <row r="692">
      <c r="A692" s="5" t="inlineStr">
        <is>
          <t>OP04509</t>
        </is>
      </c>
      <c r="B692" s="6" t="inlineStr">
        <is>
          <t>Azin marriatul janah</t>
        </is>
      </c>
      <c r="C692" s="7" t="inlineStr">
        <is>
          <t>A - Agen</t>
        </is>
      </c>
      <c r="D692" s="1" t="inlineStr">
        <is>
          <t>OP04478</t>
        </is>
      </c>
      <c r="E692" s="8" t="n">
        <v>44946.71666666667</v>
      </c>
      <c r="F692" s="7" t="inlineStr">
        <is>
          <t>DOWNLINE</t>
        </is>
      </c>
      <c r="G692" s="18" t="inlineStr">
        <is>
          <t>OP04478</t>
        </is>
      </c>
      <c r="H692" s="19">
        <f>UPPER(Table3[[#This Row],[Agen id]]&amp;"-"&amp;VLOOKUP(Table3[[#This Row],[Agen id]],A:B,2,0)&amp;"("&amp;Table3[[#This Row],[Short]]&amp;")")</f>
        <v/>
      </c>
      <c r="J692" s="7">
        <f>VLOOKUP(Table3[[#This Row],[Agen id]],Agen!A:C,3,0)</f>
        <v/>
      </c>
      <c r="K692" s="37">
        <f>TRIM(LEFT(Table3[[#This Row],[Group]],2))</f>
        <v/>
      </c>
      <c r="L692" s="3" t="inlineStr">
        <is>
          <t>NON SALES</t>
        </is>
      </c>
    </row>
    <row r="693">
      <c r="A693" s="5" t="inlineStr">
        <is>
          <t>OP04514</t>
        </is>
      </c>
      <c r="B693" s="6" t="inlineStr">
        <is>
          <t>Anwar</t>
        </is>
      </c>
      <c r="C693" s="7" t="inlineStr">
        <is>
          <t>AV - Agen Verified</t>
        </is>
      </c>
      <c r="D693" s="1" t="inlineStr">
        <is>
          <t>OP00002</t>
        </is>
      </c>
      <c r="E693" s="8" t="n">
        <v>44946.87222222222</v>
      </c>
      <c r="F693" s="7" t="inlineStr">
        <is>
          <t>AGEN</t>
        </is>
      </c>
      <c r="G693" s="18" t="inlineStr">
        <is>
          <t>OP04514</t>
        </is>
      </c>
      <c r="H693" s="19">
        <f>UPPER(Table3[[#This Row],[Agen id]]&amp;"-"&amp;VLOOKUP(Table3[[#This Row],[Agen id]],A:B,2,0)&amp;"("&amp;Table3[[#This Row],[Short]]&amp;")")</f>
        <v/>
      </c>
      <c r="J693" s="7">
        <f>VLOOKUP(Table3[[#This Row],[Agen id]],Agen!A:C,3,0)</f>
        <v/>
      </c>
      <c r="K693" s="37">
        <f>TRIM(LEFT(Table3[[#This Row],[Group]],2))</f>
        <v/>
      </c>
      <c r="L693" s="3" t="inlineStr">
        <is>
          <t>NON SALES</t>
        </is>
      </c>
    </row>
    <row r="694">
      <c r="A694" s="5" t="inlineStr">
        <is>
          <t>OP04515</t>
        </is>
      </c>
      <c r="B694" s="6" t="inlineStr">
        <is>
          <t>Mul cell</t>
        </is>
      </c>
      <c r="C694" s="7" t="inlineStr">
        <is>
          <t>AV - Agen Verified</t>
        </is>
      </c>
      <c r="D694" s="1" t="inlineStr">
        <is>
          <t>OP00002</t>
        </is>
      </c>
      <c r="E694" s="8" t="n">
        <v>44946.96111111111</v>
      </c>
      <c r="F694" s="7" t="inlineStr">
        <is>
          <t>AGEN</t>
        </is>
      </c>
      <c r="G694" s="18" t="inlineStr">
        <is>
          <t>OP04515</t>
        </is>
      </c>
      <c r="H694" s="19">
        <f>UPPER(Table3[[#This Row],[Agen id]]&amp;"-"&amp;VLOOKUP(Table3[[#This Row],[Agen id]],A:B,2,0)&amp;"("&amp;Table3[[#This Row],[Short]]&amp;")")</f>
        <v/>
      </c>
      <c r="J694" s="7">
        <f>VLOOKUP(Table3[[#This Row],[Agen id]],Agen!A:C,3,0)</f>
        <v/>
      </c>
      <c r="K694" s="37">
        <f>TRIM(LEFT(Table3[[#This Row],[Group]],2))</f>
        <v/>
      </c>
      <c r="L694" s="3" t="inlineStr">
        <is>
          <t>NON SALES</t>
        </is>
      </c>
    </row>
    <row r="695">
      <c r="A695" s="5" t="inlineStr">
        <is>
          <t>OP04521</t>
        </is>
      </c>
      <c r="B695" s="6" t="inlineStr">
        <is>
          <t>Jambi</t>
        </is>
      </c>
      <c r="C695" s="7" t="inlineStr">
        <is>
          <t>A - Agen</t>
        </is>
      </c>
      <c r="D695" s="1" t="inlineStr">
        <is>
          <t>OP00002</t>
        </is>
      </c>
      <c r="E695" s="8" t="n">
        <v>44947.31041666667</v>
      </c>
      <c r="F695" s="7" t="inlineStr">
        <is>
          <t>AGEN</t>
        </is>
      </c>
      <c r="G695" s="18" t="inlineStr">
        <is>
          <t>OP04521</t>
        </is>
      </c>
      <c r="H695" s="19">
        <f>UPPER(Table3[[#This Row],[Agen id]]&amp;"-"&amp;VLOOKUP(Table3[[#This Row],[Agen id]],A:B,2,0)&amp;"("&amp;Table3[[#This Row],[Short]]&amp;")")</f>
        <v/>
      </c>
      <c r="J695" s="7">
        <f>VLOOKUP(Table3[[#This Row],[Agen id]],Agen!A:C,3,0)</f>
        <v/>
      </c>
      <c r="K695" s="37">
        <f>TRIM(LEFT(Table3[[#This Row],[Group]],2))</f>
        <v/>
      </c>
      <c r="L695" s="3" t="inlineStr">
        <is>
          <t>NON SALES</t>
        </is>
      </c>
    </row>
    <row r="696">
      <c r="A696" s="5" t="inlineStr">
        <is>
          <t>OP04523</t>
        </is>
      </c>
      <c r="B696" s="6" t="inlineStr">
        <is>
          <t>Miftahul Khair Cell</t>
        </is>
      </c>
      <c r="C696" s="7" t="inlineStr">
        <is>
          <t>AV - Agen Verified</t>
        </is>
      </c>
      <c r="D696" s="1" t="inlineStr">
        <is>
          <t>OP00002</t>
        </is>
      </c>
      <c r="E696" s="8" t="n">
        <v>44947.44166666667</v>
      </c>
      <c r="F696" s="7" t="inlineStr">
        <is>
          <t>AGEN</t>
        </is>
      </c>
      <c r="G696" s="18" t="inlineStr">
        <is>
          <t>OP04523</t>
        </is>
      </c>
      <c r="H696" s="19">
        <f>UPPER(Table3[[#This Row],[Agen id]]&amp;"-"&amp;VLOOKUP(Table3[[#This Row],[Agen id]],A:B,2,0)&amp;"("&amp;Table3[[#This Row],[Short]]&amp;")")</f>
        <v/>
      </c>
      <c r="J696" s="7">
        <f>VLOOKUP(Table3[[#This Row],[Agen id]],Agen!A:C,3,0)</f>
        <v/>
      </c>
      <c r="K696" s="37">
        <f>TRIM(LEFT(Table3[[#This Row],[Group]],2))</f>
        <v/>
      </c>
      <c r="L696" s="3" t="inlineStr">
        <is>
          <t>NON SALES</t>
        </is>
      </c>
    </row>
    <row r="697">
      <c r="A697" s="5" t="inlineStr">
        <is>
          <t>OP04541</t>
        </is>
      </c>
      <c r="B697" s="6" t="inlineStr">
        <is>
          <t>Kamsiah</t>
        </is>
      </c>
      <c r="C697" s="7" t="inlineStr">
        <is>
          <t>A - Agen</t>
        </is>
      </c>
      <c r="D697" s="1" t="inlineStr">
        <is>
          <t>OP00996</t>
        </is>
      </c>
      <c r="E697" s="8" t="n">
        <v>44948.50416666667</v>
      </c>
      <c r="F697" s="7" t="inlineStr">
        <is>
          <t>DOWNLINE</t>
        </is>
      </c>
      <c r="G697" s="18" t="inlineStr">
        <is>
          <t>OP00996</t>
        </is>
      </c>
      <c r="H697" s="19">
        <f>UPPER(Table3[[#This Row],[Agen id]]&amp;"-"&amp;VLOOKUP(Table3[[#This Row],[Agen id]],A:B,2,0)&amp;"("&amp;Table3[[#This Row],[Short]]&amp;")")</f>
        <v/>
      </c>
      <c r="J697" s="7">
        <f>VLOOKUP(Table3[[#This Row],[Agen id]],Agen!A:C,3,0)</f>
        <v/>
      </c>
      <c r="K697" s="37">
        <f>TRIM(LEFT(Table3[[#This Row],[Group]],2))</f>
        <v/>
      </c>
      <c r="L697" s="3" t="inlineStr">
        <is>
          <t>NON SALES</t>
        </is>
      </c>
    </row>
    <row r="698">
      <c r="A698" s="5" t="inlineStr">
        <is>
          <t>OP04549</t>
        </is>
      </c>
      <c r="B698" s="6" t="inlineStr">
        <is>
          <t>Zulferdi</t>
        </is>
      </c>
      <c r="C698" s="7" t="inlineStr">
        <is>
          <t>A - Agen</t>
        </is>
      </c>
      <c r="D698" s="1" t="inlineStr">
        <is>
          <t>OP03060</t>
        </is>
      </c>
      <c r="E698" s="8" t="n">
        <v>44948.74027777778</v>
      </c>
      <c r="F698" s="7" t="inlineStr">
        <is>
          <t>DOWNLINE</t>
        </is>
      </c>
      <c r="G698" s="18" t="inlineStr">
        <is>
          <t>OP00996</t>
        </is>
      </c>
      <c r="H698" s="19">
        <f>UPPER(Table3[[#This Row],[Agen id]]&amp;"-"&amp;VLOOKUP(Table3[[#This Row],[Agen id]],A:B,2,0)&amp;"("&amp;Table3[[#This Row],[Short]]&amp;")")</f>
        <v/>
      </c>
      <c r="J698" s="7">
        <f>VLOOKUP(Table3[[#This Row],[Agen id]],Agen!A:C,3,0)</f>
        <v/>
      </c>
      <c r="K698" s="37">
        <f>TRIM(LEFT(Table3[[#This Row],[Group]],2))</f>
        <v/>
      </c>
      <c r="L698" s="3" t="inlineStr">
        <is>
          <t>NON SALES</t>
        </is>
      </c>
    </row>
    <row r="699">
      <c r="A699" s="5" t="inlineStr">
        <is>
          <t>OP04551</t>
        </is>
      </c>
      <c r="B699" s="6" t="inlineStr">
        <is>
          <t>Fitri Nabila Irpani</t>
        </is>
      </c>
      <c r="C699" s="7" t="inlineStr">
        <is>
          <t>A - Agen</t>
        </is>
      </c>
      <c r="D699" s="1" t="inlineStr">
        <is>
          <t>OP00002</t>
        </is>
      </c>
      <c r="E699" s="8" t="n">
        <v>44948.79097222222</v>
      </c>
      <c r="F699" s="7" t="inlineStr">
        <is>
          <t>AGEN</t>
        </is>
      </c>
      <c r="G699" s="18" t="inlineStr">
        <is>
          <t>OP04551</t>
        </is>
      </c>
      <c r="H699" s="19">
        <f>UPPER(Table3[[#This Row],[Agen id]]&amp;"-"&amp;VLOOKUP(Table3[[#This Row],[Agen id]],A:B,2,0)&amp;"("&amp;Table3[[#This Row],[Short]]&amp;")")</f>
        <v/>
      </c>
      <c r="J699" s="7">
        <f>VLOOKUP(Table3[[#This Row],[Agen id]],Agen!A:C,3,0)</f>
        <v/>
      </c>
      <c r="K699" s="37">
        <f>TRIM(LEFT(Table3[[#This Row],[Group]],2))</f>
        <v/>
      </c>
      <c r="L699" s="3" t="inlineStr">
        <is>
          <t>NON SALES</t>
        </is>
      </c>
    </row>
    <row r="700">
      <c r="A700" s="5" t="inlineStr">
        <is>
          <t>OP04563</t>
        </is>
      </c>
      <c r="B700" s="6" t="inlineStr">
        <is>
          <t>Cha Cell</t>
        </is>
      </c>
      <c r="C700" s="7" t="inlineStr">
        <is>
          <t>A - Agen</t>
        </is>
      </c>
      <c r="D700" s="1" t="inlineStr">
        <is>
          <t>OP00002</t>
        </is>
      </c>
      <c r="E700" s="8" t="n">
        <v>44949.33819444444</v>
      </c>
      <c r="F700" s="7" t="inlineStr">
        <is>
          <t>AGEN</t>
        </is>
      </c>
      <c r="G700" s="18" t="inlineStr">
        <is>
          <t>OP04563</t>
        </is>
      </c>
      <c r="H700" s="19">
        <f>UPPER(Table3[[#This Row],[Agen id]]&amp;"-"&amp;VLOOKUP(Table3[[#This Row],[Agen id]],A:B,2,0)&amp;"("&amp;Table3[[#This Row],[Short]]&amp;")")</f>
        <v/>
      </c>
      <c r="J700" s="7">
        <f>VLOOKUP(Table3[[#This Row],[Agen id]],Agen!A:C,3,0)</f>
        <v/>
      </c>
      <c r="K700" s="37">
        <f>TRIM(LEFT(Table3[[#This Row],[Group]],2))</f>
        <v/>
      </c>
      <c r="L700" s="3" t="inlineStr">
        <is>
          <t>NON SALES</t>
        </is>
      </c>
    </row>
    <row r="701">
      <c r="A701" s="5" t="inlineStr">
        <is>
          <t>OP04565</t>
        </is>
      </c>
      <c r="B701" s="6" t="inlineStr">
        <is>
          <t>Aspani</t>
        </is>
      </c>
      <c r="C701" s="7" t="inlineStr">
        <is>
          <t>A - Agen</t>
        </is>
      </c>
      <c r="D701" s="1" t="inlineStr">
        <is>
          <t>OP00002</t>
        </is>
      </c>
      <c r="E701" s="8" t="n">
        <v>44949.48055555556</v>
      </c>
      <c r="F701" s="7" t="inlineStr">
        <is>
          <t>AGEN</t>
        </is>
      </c>
      <c r="G701" s="18" t="inlineStr">
        <is>
          <t>OP04565</t>
        </is>
      </c>
      <c r="H701" s="19">
        <f>UPPER(Table3[[#This Row],[Agen id]]&amp;"-"&amp;VLOOKUP(Table3[[#This Row],[Agen id]],A:B,2,0)&amp;"("&amp;Table3[[#This Row],[Short]]&amp;")")</f>
        <v/>
      </c>
      <c r="J701" s="7">
        <f>VLOOKUP(Table3[[#This Row],[Agen id]],Agen!A:C,3,0)</f>
        <v/>
      </c>
      <c r="K701" s="37">
        <f>TRIM(LEFT(Table3[[#This Row],[Group]],2))</f>
        <v/>
      </c>
      <c r="L701" s="3" t="inlineStr">
        <is>
          <t>NON SALES</t>
        </is>
      </c>
    </row>
    <row r="702">
      <c r="A702" s="5" t="inlineStr">
        <is>
          <t>OP04583</t>
        </is>
      </c>
      <c r="B702" s="6" t="inlineStr">
        <is>
          <t>WAHYU SELULLER</t>
        </is>
      </c>
      <c r="C702" s="7" t="inlineStr">
        <is>
          <t>A - Agen</t>
        </is>
      </c>
      <c r="D702" s="1" t="inlineStr">
        <is>
          <t>OP00002</t>
        </is>
      </c>
      <c r="E702" s="8" t="n">
        <v>44950.13402777778</v>
      </c>
      <c r="F702" s="7" t="inlineStr">
        <is>
          <t>AGEN</t>
        </is>
      </c>
      <c r="G702" s="18" t="inlineStr">
        <is>
          <t>OP04583</t>
        </is>
      </c>
      <c r="H702" s="19">
        <f>UPPER(Table3[[#This Row],[Agen id]]&amp;"-"&amp;VLOOKUP(Table3[[#This Row],[Agen id]],A:B,2,0)&amp;"("&amp;Table3[[#This Row],[Short]]&amp;")")</f>
        <v/>
      </c>
      <c r="J702" s="7">
        <f>VLOOKUP(Table3[[#This Row],[Agen id]],Agen!A:C,3,0)</f>
        <v/>
      </c>
      <c r="K702" s="37">
        <f>TRIM(LEFT(Table3[[#This Row],[Group]],2))</f>
        <v/>
      </c>
      <c r="L702" s="3" t="inlineStr">
        <is>
          <t>NON SALES</t>
        </is>
      </c>
    </row>
    <row r="703">
      <c r="A703" s="5" t="inlineStr">
        <is>
          <t>OP04589</t>
        </is>
      </c>
      <c r="B703" s="6" t="inlineStr">
        <is>
          <t>Nisacel</t>
        </is>
      </c>
      <c r="C703" s="7" t="inlineStr">
        <is>
          <t>A - Agen</t>
        </is>
      </c>
      <c r="D703" s="1" t="inlineStr">
        <is>
          <t>OP00996</t>
        </is>
      </c>
      <c r="E703" s="8" t="n">
        <v>44950.35069444445</v>
      </c>
      <c r="F703" s="7" t="inlineStr">
        <is>
          <t>DOWNLINE</t>
        </is>
      </c>
      <c r="G703" s="18" t="inlineStr">
        <is>
          <t>OP00996</t>
        </is>
      </c>
      <c r="H703" s="19">
        <f>UPPER(Table3[[#This Row],[Agen id]]&amp;"-"&amp;VLOOKUP(Table3[[#This Row],[Agen id]],A:B,2,0)&amp;"("&amp;Table3[[#This Row],[Short]]&amp;")")</f>
        <v/>
      </c>
      <c r="J703" s="7">
        <f>VLOOKUP(Table3[[#This Row],[Agen id]],Agen!A:C,3,0)</f>
        <v/>
      </c>
      <c r="K703" s="37">
        <f>TRIM(LEFT(Table3[[#This Row],[Group]],2))</f>
        <v/>
      </c>
      <c r="L703" s="3" t="inlineStr">
        <is>
          <t>NON SALES</t>
        </is>
      </c>
    </row>
    <row r="704">
      <c r="A704" s="5" t="inlineStr">
        <is>
          <t>OP04592</t>
        </is>
      </c>
      <c r="B704" s="6" t="inlineStr">
        <is>
          <t>Yantocell</t>
        </is>
      </c>
      <c r="C704" s="7" t="inlineStr">
        <is>
          <t>A - Agen</t>
        </is>
      </c>
      <c r="D704" s="1" t="inlineStr">
        <is>
          <t>OP00002</t>
        </is>
      </c>
      <c r="E704" s="8" t="n">
        <v>44950.44444444445</v>
      </c>
      <c r="F704" s="7" t="inlineStr">
        <is>
          <t>AGEN</t>
        </is>
      </c>
      <c r="G704" s="18" t="inlineStr">
        <is>
          <t>OP04592</t>
        </is>
      </c>
      <c r="H704" s="19">
        <f>UPPER(Table3[[#This Row],[Agen id]]&amp;"-"&amp;VLOOKUP(Table3[[#This Row],[Agen id]],A:B,2,0)&amp;"("&amp;Table3[[#This Row],[Short]]&amp;")")</f>
        <v/>
      </c>
      <c r="J704" s="7">
        <f>VLOOKUP(Table3[[#This Row],[Agen id]],Agen!A:C,3,0)</f>
        <v/>
      </c>
      <c r="K704" s="37">
        <f>TRIM(LEFT(Table3[[#This Row],[Group]],2))</f>
        <v/>
      </c>
      <c r="L704" s="3" t="inlineStr">
        <is>
          <t>NON SALES</t>
        </is>
      </c>
    </row>
    <row r="705">
      <c r="A705" s="5" t="inlineStr">
        <is>
          <t>OP04595</t>
        </is>
      </c>
      <c r="B705" s="6" t="inlineStr">
        <is>
          <t>eka Herman pay</t>
        </is>
      </c>
      <c r="C705" s="7" t="inlineStr">
        <is>
          <t>AV - Agen Verified</t>
        </is>
      </c>
      <c r="D705" s="1" t="inlineStr">
        <is>
          <t>OP00003</t>
        </is>
      </c>
      <c r="E705" s="8" t="n">
        <v>44950.58680555555</v>
      </c>
      <c r="F705" s="7" t="inlineStr">
        <is>
          <t>AGEN</t>
        </is>
      </c>
      <c r="G705" s="18" t="inlineStr">
        <is>
          <t>OP04595</t>
        </is>
      </c>
      <c r="H705" s="19">
        <f>UPPER(Table3[[#This Row],[Agen id]]&amp;"-"&amp;VLOOKUP(Table3[[#This Row],[Agen id]],A:B,2,0)&amp;"("&amp;Table3[[#This Row],[Short]]&amp;")")</f>
        <v/>
      </c>
      <c r="J705" s="7">
        <f>VLOOKUP(Table3[[#This Row],[Agen id]],Agen!A:C,3,0)</f>
        <v/>
      </c>
      <c r="K705" s="37">
        <f>TRIM(LEFT(Table3[[#This Row],[Group]],2))</f>
        <v/>
      </c>
      <c r="L705" s="3" t="inlineStr">
        <is>
          <t>NON SALES</t>
        </is>
      </c>
    </row>
    <row r="706">
      <c r="A706" s="5" t="inlineStr">
        <is>
          <t>OP04601</t>
        </is>
      </c>
      <c r="B706" s="6" t="inlineStr">
        <is>
          <t>Fabian</t>
        </is>
      </c>
      <c r="C706" s="7" t="inlineStr">
        <is>
          <t>A - Agen</t>
        </is>
      </c>
      <c r="D706" s="1" t="inlineStr">
        <is>
          <t>OP00002</t>
        </is>
      </c>
      <c r="E706" s="8" t="n">
        <v>44950.7375</v>
      </c>
      <c r="F706" s="7" t="inlineStr">
        <is>
          <t>AGEN</t>
        </is>
      </c>
      <c r="G706" s="18" t="inlineStr">
        <is>
          <t>OP04601</t>
        </is>
      </c>
      <c r="H706" s="19">
        <f>UPPER(Table3[[#This Row],[Agen id]]&amp;"-"&amp;VLOOKUP(Table3[[#This Row],[Agen id]],A:B,2,0)&amp;"("&amp;Table3[[#This Row],[Short]]&amp;")")</f>
        <v/>
      </c>
      <c r="J706" s="7">
        <f>VLOOKUP(Table3[[#This Row],[Agen id]],Agen!A:C,3,0)</f>
        <v/>
      </c>
      <c r="K706" s="37">
        <f>TRIM(LEFT(Table3[[#This Row],[Group]],2))</f>
        <v/>
      </c>
      <c r="L706" s="3" t="inlineStr">
        <is>
          <t>NON SALES</t>
        </is>
      </c>
    </row>
    <row r="707">
      <c r="A707" s="5" t="inlineStr">
        <is>
          <t>OP04610</t>
        </is>
      </c>
      <c r="B707" s="6" t="inlineStr">
        <is>
          <t>Riki Ahmad SUBAGIA</t>
        </is>
      </c>
      <c r="C707" s="7" t="inlineStr">
        <is>
          <t>A - Agen</t>
        </is>
      </c>
      <c r="D707" s="1" t="inlineStr">
        <is>
          <t>OP00002</t>
        </is>
      </c>
      <c r="E707" s="8" t="n">
        <v>44950.84305555555</v>
      </c>
      <c r="F707" s="7" t="inlineStr">
        <is>
          <t>AGEN</t>
        </is>
      </c>
      <c r="G707" s="18" t="inlineStr">
        <is>
          <t>OP04610</t>
        </is>
      </c>
      <c r="H707" s="19">
        <f>UPPER(Table3[[#This Row],[Agen id]]&amp;"-"&amp;VLOOKUP(Table3[[#This Row],[Agen id]],A:B,2,0)&amp;"("&amp;Table3[[#This Row],[Short]]&amp;")")</f>
        <v/>
      </c>
      <c r="J707" s="7">
        <f>VLOOKUP(Table3[[#This Row],[Agen id]],Agen!A:C,3,0)</f>
        <v/>
      </c>
      <c r="K707" s="37">
        <f>TRIM(LEFT(Table3[[#This Row],[Group]],2))</f>
        <v/>
      </c>
      <c r="L707" s="3" t="inlineStr">
        <is>
          <t>NON SALES</t>
        </is>
      </c>
    </row>
    <row r="708">
      <c r="A708" s="5" t="inlineStr">
        <is>
          <t>OP04613</t>
        </is>
      </c>
      <c r="B708" s="6" t="inlineStr">
        <is>
          <t>Albudi</t>
        </is>
      </c>
      <c r="C708" s="7" t="inlineStr">
        <is>
          <t>A - Agen</t>
        </is>
      </c>
      <c r="D708" s="1" t="inlineStr">
        <is>
          <t>OP00996</t>
        </is>
      </c>
      <c r="E708" s="8" t="n">
        <v>44950.95625</v>
      </c>
      <c r="F708" s="7" t="inlineStr">
        <is>
          <t>DOWNLINE</t>
        </is>
      </c>
      <c r="G708" s="18" t="inlineStr">
        <is>
          <t>OP00996</t>
        </is>
      </c>
      <c r="H708" s="19">
        <f>UPPER(Table3[[#This Row],[Agen id]]&amp;"-"&amp;VLOOKUP(Table3[[#This Row],[Agen id]],A:B,2,0)&amp;"("&amp;Table3[[#This Row],[Short]]&amp;")")</f>
        <v/>
      </c>
      <c r="J708" s="7">
        <f>VLOOKUP(Table3[[#This Row],[Agen id]],Agen!A:C,3,0)</f>
        <v/>
      </c>
      <c r="K708" s="37">
        <f>TRIM(LEFT(Table3[[#This Row],[Group]],2))</f>
        <v/>
      </c>
      <c r="L708" s="3" t="inlineStr">
        <is>
          <t>NON SALES</t>
        </is>
      </c>
    </row>
    <row r="709">
      <c r="A709" s="5" t="inlineStr">
        <is>
          <t>OP04617</t>
        </is>
      </c>
      <c r="B709" s="6" t="inlineStr">
        <is>
          <t>Jaya reload Cell</t>
        </is>
      </c>
      <c r="C709" s="7" t="inlineStr">
        <is>
          <t>AV - Agen Verified</t>
        </is>
      </c>
      <c r="D709" s="1" t="inlineStr">
        <is>
          <t>OP00003</t>
        </is>
      </c>
      <c r="E709" s="8" t="n">
        <v>44951.32152777778</v>
      </c>
      <c r="F709" s="7" t="inlineStr">
        <is>
          <t>AGEN</t>
        </is>
      </c>
      <c r="G709" s="18" t="inlineStr">
        <is>
          <t>OP04617</t>
        </is>
      </c>
      <c r="H709" s="19">
        <f>UPPER(Table3[[#This Row],[Agen id]]&amp;"-"&amp;VLOOKUP(Table3[[#This Row],[Agen id]],A:B,2,0)&amp;"("&amp;Table3[[#This Row],[Short]]&amp;")")</f>
        <v/>
      </c>
      <c r="J709" s="7">
        <f>VLOOKUP(Table3[[#This Row],[Agen id]],Agen!A:C,3,0)</f>
        <v/>
      </c>
      <c r="K709" s="37">
        <f>TRIM(LEFT(Table3[[#This Row],[Group]],2))</f>
        <v/>
      </c>
      <c r="L709" s="3" t="inlineStr">
        <is>
          <t>NON SALES</t>
        </is>
      </c>
    </row>
    <row r="710">
      <c r="A710" s="5" t="inlineStr">
        <is>
          <t>OP04619</t>
        </is>
      </c>
      <c r="B710" s="6" t="inlineStr">
        <is>
          <t>Sinar gemilang Cell jaya</t>
        </is>
      </c>
      <c r="C710" s="7" t="inlineStr">
        <is>
          <t>AV - Agen Verified</t>
        </is>
      </c>
      <c r="D710" s="1" t="inlineStr">
        <is>
          <t>OP00003</t>
        </is>
      </c>
      <c r="E710" s="8" t="n">
        <v>44951.42430555556</v>
      </c>
      <c r="F710" s="7" t="inlineStr">
        <is>
          <t>AGEN</t>
        </is>
      </c>
      <c r="G710" s="18" t="inlineStr">
        <is>
          <t>OP04619</t>
        </is>
      </c>
      <c r="H710" s="19">
        <f>UPPER(Table3[[#This Row],[Agen id]]&amp;"-"&amp;VLOOKUP(Table3[[#This Row],[Agen id]],A:B,2,0)&amp;"("&amp;Table3[[#This Row],[Short]]&amp;")")</f>
        <v/>
      </c>
      <c r="J710" s="7">
        <f>VLOOKUP(Table3[[#This Row],[Agen id]],Agen!A:C,3,0)</f>
        <v/>
      </c>
      <c r="K710" s="37">
        <f>TRIM(LEFT(Table3[[#This Row],[Group]],2))</f>
        <v/>
      </c>
      <c r="L710" s="3" t="inlineStr">
        <is>
          <t>NON SALES</t>
        </is>
      </c>
    </row>
    <row r="711">
      <c r="A711" s="5" t="inlineStr">
        <is>
          <t>OP04620</t>
        </is>
      </c>
      <c r="B711" s="6" t="inlineStr">
        <is>
          <t>Aulia</t>
        </is>
      </c>
      <c r="C711" s="7" t="inlineStr">
        <is>
          <t>A - Agen</t>
        </is>
      </c>
      <c r="D711" s="1" t="inlineStr">
        <is>
          <t>OP00049</t>
        </is>
      </c>
      <c r="E711" s="8" t="n">
        <v>44951.48055555556</v>
      </c>
      <c r="F711" s="7" t="inlineStr">
        <is>
          <t>DOWNLINE</t>
        </is>
      </c>
      <c r="G711" s="18" t="inlineStr">
        <is>
          <t>OP00049</t>
        </is>
      </c>
      <c r="H711" s="19">
        <f>UPPER(Table3[[#This Row],[Agen id]]&amp;"-"&amp;VLOOKUP(Table3[[#This Row],[Agen id]],A:B,2,0)&amp;"("&amp;Table3[[#This Row],[Short]]&amp;")")</f>
        <v/>
      </c>
      <c r="J711" s="7">
        <f>VLOOKUP(Table3[[#This Row],[Agen id]],Agen!A:C,3,0)</f>
        <v/>
      </c>
      <c r="K711" s="37">
        <f>TRIM(LEFT(Table3[[#This Row],[Group]],2))</f>
        <v/>
      </c>
      <c r="L711" s="3" t="inlineStr">
        <is>
          <t>NON SALES</t>
        </is>
      </c>
    </row>
    <row r="712">
      <c r="A712" s="5" t="inlineStr">
        <is>
          <t>OP04627</t>
        </is>
      </c>
      <c r="B712" s="6" t="inlineStr">
        <is>
          <t>BARA CELL</t>
        </is>
      </c>
      <c r="C712" s="7" t="inlineStr">
        <is>
          <t>A - Agen</t>
        </is>
      </c>
      <c r="D712" s="1" t="inlineStr">
        <is>
          <t>OP00003</t>
        </is>
      </c>
      <c r="E712" s="8" t="n">
        <v>44951.57847222222</v>
      </c>
      <c r="F712" s="7" t="inlineStr">
        <is>
          <t>AGEN</t>
        </is>
      </c>
      <c r="G712" s="18" t="inlineStr">
        <is>
          <t>OP04627</t>
        </is>
      </c>
      <c r="H712" s="19">
        <f>UPPER(Table3[[#This Row],[Agen id]]&amp;"-"&amp;VLOOKUP(Table3[[#This Row],[Agen id]],A:B,2,0)&amp;"("&amp;Table3[[#This Row],[Short]]&amp;")")</f>
        <v/>
      </c>
      <c r="J712" s="7">
        <f>VLOOKUP(Table3[[#This Row],[Agen id]],Agen!A:C,3,0)</f>
        <v/>
      </c>
      <c r="K712" s="37">
        <f>TRIM(LEFT(Table3[[#This Row],[Group]],2))</f>
        <v/>
      </c>
      <c r="L712" s="3" t="inlineStr">
        <is>
          <t>NON SALES</t>
        </is>
      </c>
    </row>
    <row r="713">
      <c r="A713" s="5" t="inlineStr">
        <is>
          <t>OP04632</t>
        </is>
      </c>
      <c r="B713" s="6" t="inlineStr">
        <is>
          <t>ADIT CELL</t>
        </is>
      </c>
      <c r="C713" s="7" t="inlineStr">
        <is>
          <t>A - Agen</t>
        </is>
      </c>
      <c r="D713" s="1" t="inlineStr">
        <is>
          <t>OP04627</t>
        </is>
      </c>
      <c r="E713" s="8" t="n">
        <v>44951.67291666667</v>
      </c>
      <c r="F713" s="7" t="inlineStr">
        <is>
          <t>DOWNLINE</t>
        </is>
      </c>
      <c r="G713" s="18" t="inlineStr">
        <is>
          <t>OP04627</t>
        </is>
      </c>
      <c r="H713" s="19">
        <f>UPPER(Table3[[#This Row],[Agen id]]&amp;"-"&amp;VLOOKUP(Table3[[#This Row],[Agen id]],A:B,2,0)&amp;"("&amp;Table3[[#This Row],[Short]]&amp;")")</f>
        <v/>
      </c>
      <c r="J713" s="7">
        <f>VLOOKUP(Table3[[#This Row],[Agen id]],Agen!A:C,3,0)</f>
        <v/>
      </c>
      <c r="K713" s="37">
        <f>TRIM(LEFT(Table3[[#This Row],[Group]],2))</f>
        <v/>
      </c>
      <c r="L713" s="3" t="inlineStr">
        <is>
          <t>NON SALES</t>
        </is>
      </c>
    </row>
    <row r="714">
      <c r="A714" s="5" t="inlineStr">
        <is>
          <t>OP04634</t>
        </is>
      </c>
      <c r="B714" s="6" t="inlineStr">
        <is>
          <t>NDARU</t>
        </is>
      </c>
      <c r="C714" s="7" t="inlineStr">
        <is>
          <t>A - Agen</t>
        </is>
      </c>
      <c r="D714" s="1" t="inlineStr">
        <is>
          <t>OP00002</t>
        </is>
      </c>
      <c r="E714" s="8" t="n">
        <v>44951.77222222222</v>
      </c>
      <c r="F714" s="7" t="inlineStr">
        <is>
          <t>AGEN</t>
        </is>
      </c>
      <c r="G714" s="18" t="inlineStr">
        <is>
          <t>OP04634</t>
        </is>
      </c>
      <c r="H714" s="19">
        <f>UPPER(Table3[[#This Row],[Agen id]]&amp;"-"&amp;VLOOKUP(Table3[[#This Row],[Agen id]],A:B,2,0)&amp;"("&amp;Table3[[#This Row],[Short]]&amp;")")</f>
        <v/>
      </c>
      <c r="J714" s="7">
        <f>VLOOKUP(Table3[[#This Row],[Agen id]],Agen!A:C,3,0)</f>
        <v/>
      </c>
      <c r="K714" s="37">
        <f>TRIM(LEFT(Table3[[#This Row],[Group]],2))</f>
        <v/>
      </c>
      <c r="L714" s="3" t="inlineStr">
        <is>
          <t>NON SALES</t>
        </is>
      </c>
    </row>
    <row r="715">
      <c r="A715" s="5" t="inlineStr">
        <is>
          <t>OP04635</t>
        </is>
      </c>
      <c r="B715" s="6" t="inlineStr">
        <is>
          <t>Cucu hayati</t>
        </is>
      </c>
      <c r="C715" s="7" t="inlineStr">
        <is>
          <t>A - Agen</t>
        </is>
      </c>
      <c r="D715" s="1" t="inlineStr">
        <is>
          <t>OP00002</t>
        </is>
      </c>
      <c r="E715" s="8" t="n">
        <v>44951.77708333333</v>
      </c>
      <c r="F715" s="7" t="inlineStr">
        <is>
          <t>AGEN</t>
        </is>
      </c>
      <c r="G715" s="18" t="inlineStr">
        <is>
          <t>OP04635</t>
        </is>
      </c>
      <c r="H715" s="19">
        <f>UPPER(Table3[[#This Row],[Agen id]]&amp;"-"&amp;VLOOKUP(Table3[[#This Row],[Agen id]],A:B,2,0)&amp;"("&amp;Table3[[#This Row],[Short]]&amp;")")</f>
        <v/>
      </c>
      <c r="J715" s="7">
        <f>VLOOKUP(Table3[[#This Row],[Agen id]],Agen!A:C,3,0)</f>
        <v/>
      </c>
      <c r="K715" s="37">
        <f>TRIM(LEFT(Table3[[#This Row],[Group]],2))</f>
        <v/>
      </c>
      <c r="L715" s="3" t="inlineStr">
        <is>
          <t>NON SALES</t>
        </is>
      </c>
    </row>
    <row r="716">
      <c r="A716" s="5" t="inlineStr">
        <is>
          <t>OP04644</t>
        </is>
      </c>
      <c r="B716" s="6" t="inlineStr">
        <is>
          <t>HENDRA INDRAWAN</t>
        </is>
      </c>
      <c r="C716" s="7" t="inlineStr">
        <is>
          <t>AV - Agen Verified</t>
        </is>
      </c>
      <c r="D716" s="1" t="inlineStr">
        <is>
          <t>OP00002</t>
        </is>
      </c>
      <c r="E716" s="8" t="n">
        <v>44951.94236111111</v>
      </c>
      <c r="F716" s="7" t="inlineStr">
        <is>
          <t>AGEN</t>
        </is>
      </c>
      <c r="G716" s="18" t="inlineStr">
        <is>
          <t>OP04644</t>
        </is>
      </c>
      <c r="H716" s="19">
        <f>UPPER(Table3[[#This Row],[Agen id]]&amp;"-"&amp;VLOOKUP(Table3[[#This Row],[Agen id]],A:B,2,0)&amp;"("&amp;Table3[[#This Row],[Short]]&amp;")")</f>
        <v/>
      </c>
      <c r="J716" s="7">
        <f>VLOOKUP(Table3[[#This Row],[Agen id]],Agen!A:C,3,0)</f>
        <v/>
      </c>
      <c r="K716" s="37">
        <f>TRIM(LEFT(Table3[[#This Row],[Group]],2))</f>
        <v/>
      </c>
      <c r="L716" s="3" t="inlineStr">
        <is>
          <t>NON SALES</t>
        </is>
      </c>
    </row>
    <row r="717">
      <c r="A717" s="5" t="inlineStr">
        <is>
          <t>OP04667</t>
        </is>
      </c>
      <c r="B717" s="6" t="inlineStr">
        <is>
          <t>ANI - CELL</t>
        </is>
      </c>
      <c r="C717" s="7" t="inlineStr">
        <is>
          <t>A - Agen</t>
        </is>
      </c>
      <c r="D717" s="1" t="inlineStr">
        <is>
          <t>OP00002</t>
        </is>
      </c>
      <c r="E717" s="8" t="n">
        <v>44952.61458333334</v>
      </c>
      <c r="F717" s="7" t="inlineStr">
        <is>
          <t>AGEN</t>
        </is>
      </c>
      <c r="G717" s="18" t="inlineStr">
        <is>
          <t>OP04667</t>
        </is>
      </c>
      <c r="H717" s="19">
        <f>UPPER(Table3[[#This Row],[Agen id]]&amp;"-"&amp;VLOOKUP(Table3[[#This Row],[Agen id]],A:B,2,0)&amp;"("&amp;Table3[[#This Row],[Short]]&amp;")")</f>
        <v/>
      </c>
      <c r="J717" s="7">
        <f>VLOOKUP(Table3[[#This Row],[Agen id]],Agen!A:C,3,0)</f>
        <v/>
      </c>
      <c r="K717" s="37">
        <f>TRIM(LEFT(Table3[[#This Row],[Group]],2))</f>
        <v/>
      </c>
      <c r="L717" s="3" t="inlineStr">
        <is>
          <t>NON SALES</t>
        </is>
      </c>
    </row>
    <row r="718">
      <c r="A718" s="5" t="inlineStr">
        <is>
          <t>OP04670</t>
        </is>
      </c>
      <c r="B718" s="6" t="inlineStr">
        <is>
          <t>Iis rosita</t>
        </is>
      </c>
      <c r="C718" s="7" t="inlineStr">
        <is>
          <t>A - Agen</t>
        </is>
      </c>
      <c r="D718" s="1" t="inlineStr">
        <is>
          <t>OP00002</t>
        </is>
      </c>
      <c r="E718" s="8" t="n">
        <v>44952.62777777778</v>
      </c>
      <c r="F718" s="7" t="inlineStr">
        <is>
          <t>AGEN</t>
        </is>
      </c>
      <c r="G718" s="18" t="inlineStr">
        <is>
          <t>OP04670</t>
        </is>
      </c>
      <c r="H718" s="19">
        <f>UPPER(Table3[[#This Row],[Agen id]]&amp;"-"&amp;VLOOKUP(Table3[[#This Row],[Agen id]],A:B,2,0)&amp;"("&amp;Table3[[#This Row],[Short]]&amp;")")</f>
        <v/>
      </c>
      <c r="J718" s="7">
        <f>VLOOKUP(Table3[[#This Row],[Agen id]],Agen!A:C,3,0)</f>
        <v/>
      </c>
      <c r="K718" s="37">
        <f>TRIM(LEFT(Table3[[#This Row],[Group]],2))</f>
        <v/>
      </c>
      <c r="L718" s="3" t="inlineStr">
        <is>
          <t>NON SALES</t>
        </is>
      </c>
    </row>
    <row r="719">
      <c r="A719" s="5" t="inlineStr">
        <is>
          <t>OP04672</t>
        </is>
      </c>
      <c r="B719" s="6" t="inlineStr">
        <is>
          <t>DADAN CELL</t>
        </is>
      </c>
      <c r="C719" s="7" t="inlineStr">
        <is>
          <t>A - Agen</t>
        </is>
      </c>
      <c r="D719" s="1" t="inlineStr">
        <is>
          <t>OP00002</t>
        </is>
      </c>
      <c r="E719" s="8" t="n">
        <v>44952.66666666666</v>
      </c>
      <c r="F719" s="7" t="inlineStr">
        <is>
          <t>AGEN</t>
        </is>
      </c>
      <c r="G719" s="18" t="inlineStr">
        <is>
          <t>OP04672</t>
        </is>
      </c>
      <c r="H719" s="19">
        <f>UPPER(Table3[[#This Row],[Agen id]]&amp;"-"&amp;VLOOKUP(Table3[[#This Row],[Agen id]],A:B,2,0)&amp;"("&amp;Table3[[#This Row],[Short]]&amp;")")</f>
        <v/>
      </c>
      <c r="J719" s="7">
        <f>VLOOKUP(Table3[[#This Row],[Agen id]],Agen!A:C,3,0)</f>
        <v/>
      </c>
      <c r="K719" s="37">
        <f>TRIM(LEFT(Table3[[#This Row],[Group]],2))</f>
        <v/>
      </c>
      <c r="L719" s="3" t="inlineStr">
        <is>
          <t>NON SALES</t>
        </is>
      </c>
    </row>
    <row r="720">
      <c r="A720" s="5" t="inlineStr">
        <is>
          <t>OP04674</t>
        </is>
      </c>
      <c r="B720" s="6" t="inlineStr">
        <is>
          <t>FEBBY CELL</t>
        </is>
      </c>
      <c r="C720" s="7" t="inlineStr">
        <is>
          <t>A - Agen</t>
        </is>
      </c>
      <c r="D720" s="1" t="inlineStr">
        <is>
          <t>OP00002</t>
        </is>
      </c>
      <c r="E720" s="8" t="n">
        <v>44952.74583333333</v>
      </c>
      <c r="F720" s="7" t="inlineStr">
        <is>
          <t>AGEN</t>
        </is>
      </c>
      <c r="G720" s="18" t="inlineStr">
        <is>
          <t>OP04674</t>
        </is>
      </c>
      <c r="H720" s="19">
        <f>UPPER(Table3[[#This Row],[Agen id]]&amp;"-"&amp;VLOOKUP(Table3[[#This Row],[Agen id]],A:B,2,0)&amp;"("&amp;Table3[[#This Row],[Short]]&amp;")")</f>
        <v/>
      </c>
      <c r="J720" s="7">
        <f>VLOOKUP(Table3[[#This Row],[Agen id]],Agen!A:C,3,0)</f>
        <v/>
      </c>
      <c r="K720" s="37">
        <f>TRIM(LEFT(Table3[[#This Row],[Group]],2))</f>
        <v/>
      </c>
      <c r="L720" s="3" t="inlineStr">
        <is>
          <t>NON SALES</t>
        </is>
      </c>
    </row>
    <row r="721">
      <c r="A721" s="5" t="inlineStr">
        <is>
          <t>OP04681</t>
        </is>
      </c>
      <c r="B721" s="6" t="inlineStr">
        <is>
          <t>Syarofah</t>
        </is>
      </c>
      <c r="C721" s="7" t="inlineStr">
        <is>
          <t>AV - Agen Verified</t>
        </is>
      </c>
      <c r="D721" s="1" t="inlineStr">
        <is>
          <t>OP02280</t>
        </is>
      </c>
      <c r="E721" s="8" t="n">
        <v>44952.87847222222</v>
      </c>
      <c r="F721" s="7" t="inlineStr">
        <is>
          <t>DOWNLINE</t>
        </is>
      </c>
      <c r="G721" s="18" t="inlineStr">
        <is>
          <t>OP02280</t>
        </is>
      </c>
      <c r="H721" s="19">
        <f>UPPER(Table3[[#This Row],[Agen id]]&amp;"-"&amp;VLOOKUP(Table3[[#This Row],[Agen id]],A:B,2,0)&amp;"("&amp;Table3[[#This Row],[Short]]&amp;")")</f>
        <v/>
      </c>
      <c r="J721" s="7">
        <f>VLOOKUP(Table3[[#This Row],[Agen id]],Agen!A:C,3,0)</f>
        <v/>
      </c>
      <c r="K721" s="37">
        <f>TRIM(LEFT(Table3[[#This Row],[Group]],2))</f>
        <v/>
      </c>
      <c r="L721" s="3" t="inlineStr">
        <is>
          <t>NON SALES</t>
        </is>
      </c>
    </row>
    <row r="722">
      <c r="A722" s="5" t="inlineStr">
        <is>
          <t>OP04696</t>
        </is>
      </c>
      <c r="B722" s="6" t="inlineStr">
        <is>
          <t>Najwa</t>
        </is>
      </c>
      <c r="C722" s="7" t="inlineStr">
        <is>
          <t>A - Agen</t>
        </is>
      </c>
      <c r="D722" s="1" t="inlineStr">
        <is>
          <t>OP00002</t>
        </is>
      </c>
      <c r="E722" s="8" t="n">
        <v>44953.61041666667</v>
      </c>
      <c r="F722" s="7" t="inlineStr">
        <is>
          <t>AGEN</t>
        </is>
      </c>
      <c r="G722" s="18" t="inlineStr">
        <is>
          <t>OP04696</t>
        </is>
      </c>
      <c r="H722" s="19">
        <f>UPPER(Table3[[#This Row],[Agen id]]&amp;"-"&amp;VLOOKUP(Table3[[#This Row],[Agen id]],A:B,2,0)&amp;"("&amp;Table3[[#This Row],[Short]]&amp;")")</f>
        <v/>
      </c>
      <c r="J722" s="7">
        <f>VLOOKUP(Table3[[#This Row],[Agen id]],Agen!A:C,3,0)</f>
        <v/>
      </c>
      <c r="K722" s="37">
        <f>TRIM(LEFT(Table3[[#This Row],[Group]],2))</f>
        <v/>
      </c>
      <c r="L722" s="3" t="inlineStr">
        <is>
          <t>NON SALES</t>
        </is>
      </c>
    </row>
    <row r="723">
      <c r="A723" s="5" t="inlineStr">
        <is>
          <t>OP04706</t>
        </is>
      </c>
      <c r="B723" s="6" t="inlineStr">
        <is>
          <t>Nelpiyati</t>
        </is>
      </c>
      <c r="C723" s="7" t="inlineStr">
        <is>
          <t>A - Agen</t>
        </is>
      </c>
      <c r="D723" s="1" t="inlineStr">
        <is>
          <t>OP00002</t>
        </is>
      </c>
      <c r="E723" s="8" t="n">
        <v>44953.81041666667</v>
      </c>
      <c r="F723" s="7" t="inlineStr">
        <is>
          <t>AGEN</t>
        </is>
      </c>
      <c r="G723" s="18" t="inlineStr">
        <is>
          <t>OP04706</t>
        </is>
      </c>
      <c r="H723" s="19">
        <f>UPPER(Table3[[#This Row],[Agen id]]&amp;"-"&amp;VLOOKUP(Table3[[#This Row],[Agen id]],A:B,2,0)&amp;"("&amp;Table3[[#This Row],[Short]]&amp;")")</f>
        <v/>
      </c>
      <c r="J723" s="7">
        <f>VLOOKUP(Table3[[#This Row],[Agen id]],Agen!A:C,3,0)</f>
        <v/>
      </c>
      <c r="K723" s="37">
        <f>TRIM(LEFT(Table3[[#This Row],[Group]],2))</f>
        <v/>
      </c>
      <c r="L723" s="3" t="inlineStr">
        <is>
          <t>NON SALES</t>
        </is>
      </c>
    </row>
    <row r="724">
      <c r="A724" s="5" t="inlineStr">
        <is>
          <t>OP04709</t>
        </is>
      </c>
      <c r="B724" s="6" t="inlineStr">
        <is>
          <t>ETEH - CELL</t>
        </is>
      </c>
      <c r="C724" s="7" t="inlineStr">
        <is>
          <t>A - Agen</t>
        </is>
      </c>
      <c r="D724" s="1" t="inlineStr">
        <is>
          <t>OP00002</t>
        </is>
      </c>
      <c r="E724" s="8" t="n">
        <v>44953.89027777778</v>
      </c>
      <c r="F724" s="7" t="inlineStr">
        <is>
          <t>AGEN</t>
        </is>
      </c>
      <c r="G724" s="18" t="inlineStr">
        <is>
          <t>OP04709</t>
        </is>
      </c>
      <c r="H724" s="19">
        <f>UPPER(Table3[[#This Row],[Agen id]]&amp;"-"&amp;VLOOKUP(Table3[[#This Row],[Agen id]],A:B,2,0)&amp;"("&amp;Table3[[#This Row],[Short]]&amp;")")</f>
        <v/>
      </c>
      <c r="J724" s="7">
        <f>VLOOKUP(Table3[[#This Row],[Agen id]],Agen!A:C,3,0)</f>
        <v/>
      </c>
      <c r="K724" s="37">
        <f>TRIM(LEFT(Table3[[#This Row],[Group]],2))</f>
        <v/>
      </c>
      <c r="L724" s="3" t="inlineStr">
        <is>
          <t>NON SALES</t>
        </is>
      </c>
    </row>
    <row r="725">
      <c r="A725" s="5" t="inlineStr">
        <is>
          <t>OP04726</t>
        </is>
      </c>
      <c r="B725" s="6" t="inlineStr">
        <is>
          <t>DEVIN - CELL</t>
        </is>
      </c>
      <c r="C725" s="7" t="inlineStr">
        <is>
          <t>AK - Agen Khusus</t>
        </is>
      </c>
      <c r="D725" s="1" t="inlineStr">
        <is>
          <t>OP02176</t>
        </is>
      </c>
      <c r="E725" s="8" t="n">
        <v>44954.61180555556</v>
      </c>
      <c r="F725" s="7" t="inlineStr">
        <is>
          <t>DOWNLINE</t>
        </is>
      </c>
      <c r="G725" s="18" t="inlineStr">
        <is>
          <t>OP00014</t>
        </is>
      </c>
      <c r="H725" s="19">
        <f>UPPER(Table3[[#This Row],[Agen id]]&amp;"-"&amp;VLOOKUP(Table3[[#This Row],[Agen id]],A:B,2,0)&amp;"("&amp;Table3[[#This Row],[Short]]&amp;")")</f>
        <v/>
      </c>
      <c r="J725" s="7">
        <f>VLOOKUP(Table3[[#This Row],[Agen id]],Agen!A:C,3,0)</f>
        <v/>
      </c>
      <c r="K725" s="37">
        <f>TRIM(LEFT(Table3[[#This Row],[Group]],2))</f>
        <v/>
      </c>
      <c r="L725" s="3" t="inlineStr">
        <is>
          <t>NON SALES</t>
        </is>
      </c>
    </row>
    <row r="726">
      <c r="A726" s="5" t="inlineStr">
        <is>
          <t>OP04728</t>
        </is>
      </c>
      <c r="B726" s="6" t="inlineStr">
        <is>
          <t>NABILA CELL</t>
        </is>
      </c>
      <c r="C726" s="7" t="inlineStr">
        <is>
          <t>AK - Agen Khusus</t>
        </is>
      </c>
      <c r="D726" s="1" t="inlineStr">
        <is>
          <t>OP02176</t>
        </is>
      </c>
      <c r="E726" s="8" t="n">
        <v>44954.63472222222</v>
      </c>
      <c r="F726" s="7" t="inlineStr">
        <is>
          <t>DOWNLINE</t>
        </is>
      </c>
      <c r="G726" s="18" t="inlineStr">
        <is>
          <t>OP00014</t>
        </is>
      </c>
      <c r="H726" s="19">
        <f>UPPER(Table3[[#This Row],[Agen id]]&amp;"-"&amp;VLOOKUP(Table3[[#This Row],[Agen id]],A:B,2,0)&amp;"("&amp;Table3[[#This Row],[Short]]&amp;")")</f>
        <v/>
      </c>
      <c r="J726" s="7">
        <f>VLOOKUP(Table3[[#This Row],[Agen id]],Agen!A:C,3,0)</f>
        <v/>
      </c>
      <c r="K726" s="37">
        <f>TRIM(LEFT(Table3[[#This Row],[Group]],2))</f>
        <v/>
      </c>
      <c r="L726" s="3" t="inlineStr">
        <is>
          <t>NON SALES</t>
        </is>
      </c>
    </row>
    <row r="727">
      <c r="A727" s="5" t="inlineStr">
        <is>
          <t>OP04732</t>
        </is>
      </c>
      <c r="B727" s="6" t="inlineStr">
        <is>
          <t>Dedy purwanto</t>
        </is>
      </c>
      <c r="C727" s="7" t="inlineStr">
        <is>
          <t>AV - Agen Verified</t>
        </is>
      </c>
      <c r="D727" s="1" t="inlineStr">
        <is>
          <t>OP00002</t>
        </is>
      </c>
      <c r="E727" s="8" t="n">
        <v>44954.77430555555</v>
      </c>
      <c r="F727" s="7" t="inlineStr">
        <is>
          <t>AGEN</t>
        </is>
      </c>
      <c r="G727" s="18" t="inlineStr">
        <is>
          <t>OP04732</t>
        </is>
      </c>
      <c r="H727" s="19">
        <f>UPPER(Table3[[#This Row],[Agen id]]&amp;"-"&amp;VLOOKUP(Table3[[#This Row],[Agen id]],A:B,2,0)&amp;"("&amp;Table3[[#This Row],[Short]]&amp;")")</f>
        <v/>
      </c>
      <c r="J727" s="7">
        <f>VLOOKUP(Table3[[#This Row],[Agen id]],Agen!A:C,3,0)</f>
        <v/>
      </c>
      <c r="K727" s="37">
        <f>TRIM(LEFT(Table3[[#This Row],[Group]],2))</f>
        <v/>
      </c>
      <c r="L727" s="3" t="inlineStr">
        <is>
          <t>NON SALES</t>
        </is>
      </c>
    </row>
    <row r="728">
      <c r="A728" s="5" t="inlineStr">
        <is>
          <t>OP04747</t>
        </is>
      </c>
      <c r="B728" s="6" t="inlineStr">
        <is>
          <t>RIKA PONSEL</t>
        </is>
      </c>
      <c r="C728" s="7" t="inlineStr">
        <is>
          <t>A - Agen</t>
        </is>
      </c>
      <c r="D728" s="1" t="inlineStr">
        <is>
          <t>OP00091</t>
        </is>
      </c>
      <c r="E728" s="8" t="n">
        <v>44955.35694444444</v>
      </c>
      <c r="F728" s="7" t="inlineStr">
        <is>
          <t>DOWNLINE</t>
        </is>
      </c>
      <c r="G728" s="18" t="inlineStr">
        <is>
          <t>OP00091</t>
        </is>
      </c>
      <c r="H728" s="19">
        <f>UPPER(Table3[[#This Row],[Agen id]]&amp;"-"&amp;VLOOKUP(Table3[[#This Row],[Agen id]],A:B,2,0)&amp;"("&amp;Table3[[#This Row],[Short]]&amp;")")</f>
        <v/>
      </c>
      <c r="J728" s="7">
        <f>VLOOKUP(Table3[[#This Row],[Agen id]],Agen!A:C,3,0)</f>
        <v/>
      </c>
      <c r="K728" s="37">
        <f>TRIM(LEFT(Table3[[#This Row],[Group]],2))</f>
        <v/>
      </c>
      <c r="L728" s="3" t="inlineStr">
        <is>
          <t>NON SALES</t>
        </is>
      </c>
    </row>
    <row r="729">
      <c r="A729" s="5" t="inlineStr">
        <is>
          <t>OP04750</t>
        </is>
      </c>
      <c r="B729" s="6" t="inlineStr">
        <is>
          <t>Ruli restuti</t>
        </is>
      </c>
      <c r="C729" s="7" t="inlineStr">
        <is>
          <t>AV - Agen Verified</t>
        </is>
      </c>
      <c r="D729" s="1" t="inlineStr">
        <is>
          <t>OP00002</t>
        </is>
      </c>
      <c r="E729" s="8" t="n">
        <v>44955.45416666667</v>
      </c>
      <c r="F729" s="7" t="inlineStr">
        <is>
          <t>AGEN</t>
        </is>
      </c>
      <c r="G729" s="18" t="inlineStr">
        <is>
          <t>OP04750</t>
        </is>
      </c>
      <c r="H729" s="19">
        <f>UPPER(Table3[[#This Row],[Agen id]]&amp;"-"&amp;VLOOKUP(Table3[[#This Row],[Agen id]],A:B,2,0)&amp;"("&amp;Table3[[#This Row],[Short]]&amp;")")</f>
        <v/>
      </c>
      <c r="J729" s="7">
        <f>VLOOKUP(Table3[[#This Row],[Agen id]],Agen!A:C,3,0)</f>
        <v/>
      </c>
      <c r="K729" s="37">
        <f>TRIM(LEFT(Table3[[#This Row],[Group]],2))</f>
        <v/>
      </c>
      <c r="L729" s="3" t="inlineStr">
        <is>
          <t>NON SALES</t>
        </is>
      </c>
    </row>
    <row r="730">
      <c r="A730" s="5" t="inlineStr">
        <is>
          <t>OP04756</t>
        </is>
      </c>
      <c r="B730" s="6" t="inlineStr">
        <is>
          <t>JANAH CELL</t>
        </is>
      </c>
      <c r="C730" s="7" t="inlineStr">
        <is>
          <t>AK - Agen Khusus</t>
        </is>
      </c>
      <c r="D730" s="1" t="inlineStr">
        <is>
          <t>OP02176</t>
        </is>
      </c>
      <c r="E730" s="8" t="n">
        <v>44955.56875</v>
      </c>
      <c r="F730" s="7" t="inlineStr">
        <is>
          <t>DOWNLINE</t>
        </is>
      </c>
      <c r="G730" s="18" t="inlineStr">
        <is>
          <t>OP00014</t>
        </is>
      </c>
      <c r="H730" s="19">
        <f>UPPER(Table3[[#This Row],[Agen id]]&amp;"-"&amp;VLOOKUP(Table3[[#This Row],[Agen id]],A:B,2,0)&amp;"("&amp;Table3[[#This Row],[Short]]&amp;")")</f>
        <v/>
      </c>
      <c r="J730" s="7">
        <f>VLOOKUP(Table3[[#This Row],[Agen id]],Agen!A:C,3,0)</f>
        <v/>
      </c>
      <c r="K730" s="37">
        <f>TRIM(LEFT(Table3[[#This Row],[Group]],2))</f>
        <v/>
      </c>
      <c r="L730" s="3" t="inlineStr">
        <is>
          <t>NON SALES</t>
        </is>
      </c>
    </row>
    <row r="731">
      <c r="A731" s="5" t="inlineStr">
        <is>
          <t>OP04763</t>
        </is>
      </c>
      <c r="B731" s="6" t="inlineStr">
        <is>
          <t>Herman</t>
        </is>
      </c>
      <c r="C731" s="7" t="inlineStr">
        <is>
          <t>A - Agen</t>
        </is>
      </c>
      <c r="D731" s="1" t="inlineStr">
        <is>
          <t>OP00002</t>
        </is>
      </c>
      <c r="E731" s="8" t="n">
        <v>44955.67083333333</v>
      </c>
      <c r="F731" s="7" t="inlineStr">
        <is>
          <t>AGEN</t>
        </is>
      </c>
      <c r="G731" s="18" t="inlineStr">
        <is>
          <t>OP04763</t>
        </is>
      </c>
      <c r="H731" s="19">
        <f>UPPER(Table3[[#This Row],[Agen id]]&amp;"-"&amp;VLOOKUP(Table3[[#This Row],[Agen id]],A:B,2,0)&amp;"("&amp;Table3[[#This Row],[Short]]&amp;")")</f>
        <v/>
      </c>
      <c r="J731" s="7">
        <f>VLOOKUP(Table3[[#This Row],[Agen id]],Agen!A:C,3,0)</f>
        <v/>
      </c>
      <c r="K731" s="37">
        <f>TRIM(LEFT(Table3[[#This Row],[Group]],2))</f>
        <v/>
      </c>
      <c r="L731" s="3" t="inlineStr">
        <is>
          <t>NON SALES</t>
        </is>
      </c>
    </row>
    <row r="732">
      <c r="A732" s="5" t="inlineStr">
        <is>
          <t>OP04766</t>
        </is>
      </c>
      <c r="B732" s="6" t="inlineStr">
        <is>
          <t>Abi</t>
        </is>
      </c>
      <c r="C732" s="7" t="inlineStr">
        <is>
          <t>A - Agen</t>
        </is>
      </c>
      <c r="D732" s="1" t="inlineStr">
        <is>
          <t>OP00003</t>
        </is>
      </c>
      <c r="E732" s="8" t="n">
        <v>44955.73055555556</v>
      </c>
      <c r="F732" s="7" t="inlineStr">
        <is>
          <t>AGEN</t>
        </is>
      </c>
      <c r="G732" s="18" t="inlineStr">
        <is>
          <t>OP04766</t>
        </is>
      </c>
      <c r="H732" s="19">
        <f>UPPER(Table3[[#This Row],[Agen id]]&amp;"-"&amp;VLOOKUP(Table3[[#This Row],[Agen id]],A:B,2,0)&amp;"("&amp;Table3[[#This Row],[Short]]&amp;")")</f>
        <v/>
      </c>
      <c r="J732" s="7">
        <f>VLOOKUP(Table3[[#This Row],[Agen id]],Agen!A:C,3,0)</f>
        <v/>
      </c>
      <c r="K732" s="37">
        <f>TRIM(LEFT(Table3[[#This Row],[Group]],2))</f>
        <v/>
      </c>
      <c r="L732" s="3" t="inlineStr">
        <is>
          <t>NON SALES</t>
        </is>
      </c>
    </row>
    <row r="733">
      <c r="A733" s="5" t="inlineStr">
        <is>
          <t>OP04771</t>
        </is>
      </c>
      <c r="B733" s="6" t="inlineStr">
        <is>
          <t>Tresia toby</t>
        </is>
      </c>
      <c r="C733" s="7" t="inlineStr">
        <is>
          <t>AV - Agen Verified</t>
        </is>
      </c>
      <c r="D733" s="1" t="inlineStr">
        <is>
          <t>OP00002</t>
        </is>
      </c>
      <c r="E733" s="8" t="n">
        <v>44955.77916666667</v>
      </c>
      <c r="F733" s="7" t="inlineStr">
        <is>
          <t>AGEN</t>
        </is>
      </c>
      <c r="G733" s="18" t="inlineStr">
        <is>
          <t>OP04771</t>
        </is>
      </c>
      <c r="H733" s="19">
        <f>UPPER(Table3[[#This Row],[Agen id]]&amp;"-"&amp;VLOOKUP(Table3[[#This Row],[Agen id]],A:B,2,0)&amp;"("&amp;Table3[[#This Row],[Short]]&amp;")")</f>
        <v/>
      </c>
      <c r="J733" s="7">
        <f>VLOOKUP(Table3[[#This Row],[Agen id]],Agen!A:C,3,0)</f>
        <v/>
      </c>
      <c r="K733" s="37">
        <f>TRIM(LEFT(Table3[[#This Row],[Group]],2))</f>
        <v/>
      </c>
      <c r="L733" s="3" t="inlineStr">
        <is>
          <t>NON SALES</t>
        </is>
      </c>
    </row>
    <row r="734">
      <c r="A734" s="5" t="inlineStr">
        <is>
          <t>OP04794</t>
        </is>
      </c>
      <c r="B734" s="6" t="inlineStr">
        <is>
          <t>Iin andrianti</t>
        </is>
      </c>
      <c r="C734" s="7" t="inlineStr">
        <is>
          <t>A - Agen</t>
        </is>
      </c>
      <c r="D734" s="1" t="inlineStr">
        <is>
          <t>OP00002</t>
        </is>
      </c>
      <c r="E734" s="8" t="n">
        <v>44956.59236111111</v>
      </c>
      <c r="F734" s="7" t="inlineStr">
        <is>
          <t>AGEN</t>
        </is>
      </c>
      <c r="G734" s="18" t="inlineStr">
        <is>
          <t>OP04794</t>
        </is>
      </c>
      <c r="H734" s="19">
        <f>UPPER(Table3[[#This Row],[Agen id]]&amp;"-"&amp;VLOOKUP(Table3[[#This Row],[Agen id]],A:B,2,0)&amp;"("&amp;Table3[[#This Row],[Short]]&amp;")")</f>
        <v/>
      </c>
      <c r="J734" s="7">
        <f>VLOOKUP(Table3[[#This Row],[Agen id]],Agen!A:C,3,0)</f>
        <v/>
      </c>
      <c r="K734" s="37">
        <f>TRIM(LEFT(Table3[[#This Row],[Group]],2))</f>
        <v/>
      </c>
      <c r="L734" s="3" t="inlineStr">
        <is>
          <t>NON SALES</t>
        </is>
      </c>
    </row>
    <row r="735">
      <c r="A735" s="5" t="inlineStr">
        <is>
          <t>OP04795</t>
        </is>
      </c>
      <c r="B735" s="6" t="inlineStr">
        <is>
          <t>Abdur</t>
        </is>
      </c>
      <c r="C735" s="7" t="inlineStr">
        <is>
          <t>A - Agen</t>
        </is>
      </c>
      <c r="D735" s="1" t="inlineStr">
        <is>
          <t>OP00014</t>
        </is>
      </c>
      <c r="E735" s="8" t="n">
        <v>44956.59791666667</v>
      </c>
      <c r="F735" s="7" t="inlineStr">
        <is>
          <t>DOWNLINE</t>
        </is>
      </c>
      <c r="G735" s="18" t="inlineStr">
        <is>
          <t>OP00014</t>
        </is>
      </c>
      <c r="H735" s="19">
        <f>UPPER(Table3[[#This Row],[Agen id]]&amp;"-"&amp;VLOOKUP(Table3[[#This Row],[Agen id]],A:B,2,0)&amp;"("&amp;Table3[[#This Row],[Short]]&amp;")")</f>
        <v/>
      </c>
      <c r="J735" s="7">
        <f>VLOOKUP(Table3[[#This Row],[Agen id]],Agen!A:C,3,0)</f>
        <v/>
      </c>
      <c r="K735" s="37">
        <f>TRIM(LEFT(Table3[[#This Row],[Group]],2))</f>
        <v/>
      </c>
      <c r="L735" s="3" t="inlineStr">
        <is>
          <t>NON SALES</t>
        </is>
      </c>
    </row>
    <row r="736">
      <c r="A736" s="5" t="inlineStr">
        <is>
          <t>OP04797</t>
        </is>
      </c>
      <c r="B736" s="6" t="inlineStr">
        <is>
          <t>Feli</t>
        </is>
      </c>
      <c r="C736" s="7" t="inlineStr">
        <is>
          <t>A - Agen</t>
        </is>
      </c>
      <c r="D736" s="1" t="inlineStr">
        <is>
          <t>OP00996</t>
        </is>
      </c>
      <c r="E736" s="8" t="n">
        <v>44956.74583333333</v>
      </c>
      <c r="F736" s="7" t="inlineStr">
        <is>
          <t>DOWNLINE</t>
        </is>
      </c>
      <c r="G736" s="18" t="inlineStr">
        <is>
          <t>OP00996</t>
        </is>
      </c>
      <c r="H736" s="19">
        <f>UPPER(Table3[[#This Row],[Agen id]]&amp;"-"&amp;VLOOKUP(Table3[[#This Row],[Agen id]],A:B,2,0)&amp;"("&amp;Table3[[#This Row],[Short]]&amp;")")</f>
        <v/>
      </c>
      <c r="J736" s="7">
        <f>VLOOKUP(Table3[[#This Row],[Agen id]],Agen!A:C,3,0)</f>
        <v/>
      </c>
      <c r="K736" s="37">
        <f>TRIM(LEFT(Table3[[#This Row],[Group]],2))</f>
        <v/>
      </c>
      <c r="L736" s="3" t="inlineStr">
        <is>
          <t>NON SALES</t>
        </is>
      </c>
    </row>
    <row r="737">
      <c r="A737" s="5" t="inlineStr">
        <is>
          <t>OP04805</t>
        </is>
      </c>
      <c r="B737" s="6" t="inlineStr">
        <is>
          <t>Sumiati</t>
        </is>
      </c>
      <c r="C737" s="7" t="inlineStr">
        <is>
          <t>AV - Agen Verified</t>
        </is>
      </c>
      <c r="D737" s="1" t="inlineStr">
        <is>
          <t>OP00002</t>
        </is>
      </c>
      <c r="E737" s="8" t="n">
        <v>44957.36805555555</v>
      </c>
      <c r="F737" s="7" t="inlineStr">
        <is>
          <t>AGEN</t>
        </is>
      </c>
      <c r="G737" s="18" t="inlineStr">
        <is>
          <t>OP04805</t>
        </is>
      </c>
      <c r="H737" s="19">
        <f>UPPER(Table3[[#This Row],[Agen id]]&amp;"-"&amp;VLOOKUP(Table3[[#This Row],[Agen id]],A:B,2,0)&amp;"("&amp;Table3[[#This Row],[Short]]&amp;")")</f>
        <v/>
      </c>
      <c r="J737" s="7">
        <f>VLOOKUP(Table3[[#This Row],[Agen id]],Agen!A:C,3,0)</f>
        <v/>
      </c>
      <c r="K737" s="37">
        <f>TRIM(LEFT(Table3[[#This Row],[Group]],2))</f>
        <v/>
      </c>
      <c r="L737" s="3" t="inlineStr">
        <is>
          <t>NON SALES</t>
        </is>
      </c>
    </row>
    <row r="738">
      <c r="A738" s="5" t="inlineStr">
        <is>
          <t>OP04807</t>
        </is>
      </c>
      <c r="B738" s="6" t="inlineStr">
        <is>
          <t>ATI KUSWATI</t>
        </is>
      </c>
      <c r="C738" s="7" t="inlineStr">
        <is>
          <t>AV - Agen Verified</t>
        </is>
      </c>
      <c r="D738" s="1" t="inlineStr">
        <is>
          <t>OP03967</t>
        </is>
      </c>
      <c r="E738" s="8" t="n">
        <v>44957.40625</v>
      </c>
      <c r="F738" s="7" t="inlineStr">
        <is>
          <t>DOWNLINE</t>
        </is>
      </c>
      <c r="G738" s="18" t="inlineStr">
        <is>
          <t>OP03967</t>
        </is>
      </c>
      <c r="H738" s="19">
        <f>UPPER(Table3[[#This Row],[Agen id]]&amp;"-"&amp;VLOOKUP(Table3[[#This Row],[Agen id]],A:B,2,0)&amp;"("&amp;Table3[[#This Row],[Short]]&amp;")")</f>
        <v/>
      </c>
      <c r="J738" s="7">
        <f>VLOOKUP(Table3[[#This Row],[Agen id]],Agen!A:C,3,0)</f>
        <v/>
      </c>
      <c r="K738" s="37">
        <f>TRIM(LEFT(Table3[[#This Row],[Group]],2))</f>
        <v/>
      </c>
      <c r="L738" s="3" t="inlineStr">
        <is>
          <t>NON SALES</t>
        </is>
      </c>
    </row>
    <row r="739">
      <c r="A739" s="5" t="inlineStr">
        <is>
          <t>OP04809</t>
        </is>
      </c>
      <c r="B739" s="6" t="inlineStr">
        <is>
          <t>accu cell</t>
        </is>
      </c>
      <c r="C739" s="7" t="inlineStr">
        <is>
          <t>A - Agen</t>
        </is>
      </c>
      <c r="D739" s="1" t="inlineStr">
        <is>
          <t>OP00996</t>
        </is>
      </c>
      <c r="E739" s="8" t="n">
        <v>44957.41180555556</v>
      </c>
      <c r="F739" s="7" t="inlineStr">
        <is>
          <t>DOWNLINE</t>
        </is>
      </c>
      <c r="G739" s="18" t="inlineStr">
        <is>
          <t>OP00996</t>
        </is>
      </c>
      <c r="H739" s="19">
        <f>UPPER(Table3[[#This Row],[Agen id]]&amp;"-"&amp;VLOOKUP(Table3[[#This Row],[Agen id]],A:B,2,0)&amp;"("&amp;Table3[[#This Row],[Short]]&amp;")")</f>
        <v/>
      </c>
      <c r="J739" s="7">
        <f>VLOOKUP(Table3[[#This Row],[Agen id]],Agen!A:C,3,0)</f>
        <v/>
      </c>
      <c r="K739" s="37">
        <f>TRIM(LEFT(Table3[[#This Row],[Group]],2))</f>
        <v/>
      </c>
      <c r="L739" s="3" t="inlineStr">
        <is>
          <t>NON SALES</t>
        </is>
      </c>
    </row>
    <row r="740">
      <c r="A740" s="5" t="inlineStr">
        <is>
          <t>OP04825</t>
        </is>
      </c>
      <c r="B740" s="6" t="inlineStr">
        <is>
          <t>Abd kholiq489</t>
        </is>
      </c>
      <c r="C740" s="7" t="inlineStr">
        <is>
          <t>A - Agen</t>
        </is>
      </c>
      <c r="D740" s="1" t="inlineStr">
        <is>
          <t>OP00003</t>
        </is>
      </c>
      <c r="E740" s="8" t="n">
        <v>44958.25694444445</v>
      </c>
      <c r="F740" s="7" t="inlineStr">
        <is>
          <t>AGEN</t>
        </is>
      </c>
      <c r="G740" s="18" t="inlineStr">
        <is>
          <t>OP04825</t>
        </is>
      </c>
      <c r="H740" s="19">
        <f>UPPER(Table3[[#This Row],[Agen id]]&amp;"-"&amp;VLOOKUP(Table3[[#This Row],[Agen id]],A:B,2,0)&amp;"("&amp;Table3[[#This Row],[Short]]&amp;")")</f>
        <v/>
      </c>
      <c r="J740" s="7">
        <f>VLOOKUP(Table3[[#This Row],[Agen id]],Agen!A:C,3,0)</f>
        <v/>
      </c>
      <c r="K740" s="37">
        <f>TRIM(LEFT(Table3[[#This Row],[Group]],2))</f>
        <v/>
      </c>
      <c r="L740" s="3" t="inlineStr">
        <is>
          <t>NON SALES</t>
        </is>
      </c>
    </row>
    <row r="741">
      <c r="A741" s="5" t="inlineStr">
        <is>
          <t>OP04830</t>
        </is>
      </c>
      <c r="B741" s="6" t="inlineStr">
        <is>
          <t>ELISA - CELL</t>
        </is>
      </c>
      <c r="C741" s="7" t="inlineStr">
        <is>
          <t>AK - Agen Khusus</t>
        </is>
      </c>
      <c r="D741" s="1" t="inlineStr">
        <is>
          <t>OP02176</t>
        </is>
      </c>
      <c r="E741" s="8" t="n">
        <v>44958.70416666667</v>
      </c>
      <c r="F741" s="7" t="inlineStr">
        <is>
          <t>DOWNLINE</t>
        </is>
      </c>
      <c r="G741" s="18" t="inlineStr">
        <is>
          <t>OP00014</t>
        </is>
      </c>
      <c r="H741" s="19">
        <f>UPPER(Table3[[#This Row],[Agen id]]&amp;"-"&amp;VLOOKUP(Table3[[#This Row],[Agen id]],A:B,2,0)&amp;"("&amp;Table3[[#This Row],[Short]]&amp;")")</f>
        <v/>
      </c>
      <c r="J741" s="7">
        <f>VLOOKUP(Table3[[#This Row],[Agen id]],Agen!A:C,3,0)</f>
        <v/>
      </c>
      <c r="K741" s="37">
        <f>TRIM(LEFT(Table3[[#This Row],[Group]],2))</f>
        <v/>
      </c>
      <c r="L741" s="3" t="inlineStr">
        <is>
          <t>NON SALES</t>
        </is>
      </c>
    </row>
    <row r="742">
      <c r="A742" s="5" t="inlineStr">
        <is>
          <t>OP04831</t>
        </is>
      </c>
      <c r="B742" s="6" t="inlineStr">
        <is>
          <t>Noor rahmah</t>
        </is>
      </c>
      <c r="C742" s="7" t="inlineStr">
        <is>
          <t>AV - Agen Verified</t>
        </is>
      </c>
      <c r="D742" s="1" t="inlineStr">
        <is>
          <t>OP03215</t>
        </is>
      </c>
      <c r="E742" s="8" t="n">
        <v>44958.70555555556</v>
      </c>
      <c r="F742" s="7" t="inlineStr">
        <is>
          <t>DOWNLINE</t>
        </is>
      </c>
      <c r="G742" s="18" t="inlineStr">
        <is>
          <t>OP03179</t>
        </is>
      </c>
      <c r="H742" s="19">
        <f>UPPER(Table3[[#This Row],[Agen id]]&amp;"-"&amp;VLOOKUP(Table3[[#This Row],[Agen id]],A:B,2,0)&amp;"("&amp;Table3[[#This Row],[Short]]&amp;")")</f>
        <v/>
      </c>
      <c r="J742" s="7">
        <f>VLOOKUP(Table3[[#This Row],[Agen id]],Agen!A:C,3,0)</f>
        <v/>
      </c>
      <c r="K742" s="37">
        <f>TRIM(LEFT(Table3[[#This Row],[Group]],2))</f>
        <v/>
      </c>
      <c r="L742" s="3" t="inlineStr">
        <is>
          <t>NON SALES</t>
        </is>
      </c>
    </row>
    <row r="743">
      <c r="A743" s="5" t="inlineStr">
        <is>
          <t>OP04852</t>
        </is>
      </c>
      <c r="B743" s="6" t="inlineStr">
        <is>
          <t>Novhy Kadur</t>
        </is>
      </c>
      <c r="C743" s="7" t="inlineStr">
        <is>
          <t>A - Agen</t>
        </is>
      </c>
      <c r="D743" s="1" t="inlineStr">
        <is>
          <t>OP00002</t>
        </is>
      </c>
      <c r="E743" s="8" t="n">
        <v>44959.99236111111</v>
      </c>
      <c r="F743" s="7" t="inlineStr">
        <is>
          <t>AGEN</t>
        </is>
      </c>
      <c r="G743" s="18" t="inlineStr">
        <is>
          <t>OP04852</t>
        </is>
      </c>
      <c r="H743" s="19">
        <f>UPPER(Table3[[#This Row],[Agen id]]&amp;"-"&amp;VLOOKUP(Table3[[#This Row],[Agen id]],A:B,2,0)&amp;"("&amp;Table3[[#This Row],[Short]]&amp;")")</f>
        <v/>
      </c>
      <c r="J743" s="7">
        <f>VLOOKUP(Table3[[#This Row],[Agen id]],Agen!A:C,3,0)</f>
        <v/>
      </c>
      <c r="K743" s="37">
        <f>TRIM(LEFT(Table3[[#This Row],[Group]],2))</f>
        <v/>
      </c>
      <c r="L743" s="3" t="inlineStr">
        <is>
          <t>NON SALES</t>
        </is>
      </c>
    </row>
    <row r="744">
      <c r="A744" s="5" t="inlineStr">
        <is>
          <t>OP04856</t>
        </is>
      </c>
      <c r="B744" s="6" t="inlineStr">
        <is>
          <t>syarifah</t>
        </is>
      </c>
      <c r="C744" s="7" t="inlineStr">
        <is>
          <t>A - Agen</t>
        </is>
      </c>
      <c r="D744" s="1" t="inlineStr">
        <is>
          <t>OP00002</t>
        </is>
      </c>
      <c r="E744" s="8" t="n">
        <v>44960.39444444444</v>
      </c>
      <c r="F744" s="7" t="inlineStr">
        <is>
          <t>AGEN</t>
        </is>
      </c>
      <c r="G744" s="18" t="inlineStr">
        <is>
          <t>OP04856</t>
        </is>
      </c>
      <c r="H744" s="19">
        <f>UPPER(Table3[[#This Row],[Agen id]]&amp;"-"&amp;VLOOKUP(Table3[[#This Row],[Agen id]],A:B,2,0)&amp;"("&amp;Table3[[#This Row],[Short]]&amp;")")</f>
        <v/>
      </c>
      <c r="J744" s="7">
        <f>VLOOKUP(Table3[[#This Row],[Agen id]],Agen!A:C,3,0)</f>
        <v/>
      </c>
      <c r="K744" s="37">
        <f>TRIM(LEFT(Table3[[#This Row],[Group]],2))</f>
        <v/>
      </c>
      <c r="L744" s="3" t="inlineStr">
        <is>
          <t>NON SALES</t>
        </is>
      </c>
    </row>
    <row r="745">
      <c r="A745" s="5" t="inlineStr">
        <is>
          <t>OP04863</t>
        </is>
      </c>
      <c r="B745" s="6" t="inlineStr">
        <is>
          <t>diki01</t>
        </is>
      </c>
      <c r="C745" s="7" t="inlineStr">
        <is>
          <t>AV - Agen Verified</t>
        </is>
      </c>
      <c r="D745" s="1" t="inlineStr">
        <is>
          <t>OP04310</t>
        </is>
      </c>
      <c r="E745" s="8" t="n">
        <v>44960.49652777778</v>
      </c>
      <c r="F745" s="7" t="inlineStr">
        <is>
          <t>DOWNLINE</t>
        </is>
      </c>
      <c r="G745" s="18" t="inlineStr">
        <is>
          <t>OP04310</t>
        </is>
      </c>
      <c r="H745" s="19">
        <f>UPPER(Table3[[#This Row],[Agen id]]&amp;"-"&amp;VLOOKUP(Table3[[#This Row],[Agen id]],A:B,2,0)&amp;"("&amp;Table3[[#This Row],[Short]]&amp;")")</f>
        <v/>
      </c>
      <c r="J745" s="7">
        <f>VLOOKUP(Table3[[#This Row],[Agen id]],Agen!A:C,3,0)</f>
        <v/>
      </c>
      <c r="K745" s="37">
        <f>TRIM(LEFT(Table3[[#This Row],[Group]],2))</f>
        <v/>
      </c>
      <c r="L745" s="3" t="inlineStr">
        <is>
          <t>NON SALES</t>
        </is>
      </c>
    </row>
    <row r="746">
      <c r="A746" s="5" t="inlineStr">
        <is>
          <t>OP04887</t>
        </is>
      </c>
      <c r="B746" s="6" t="inlineStr">
        <is>
          <t>Amel</t>
        </is>
      </c>
      <c r="C746" s="7" t="inlineStr">
        <is>
          <t>A - Agen</t>
        </is>
      </c>
      <c r="D746" s="1" t="inlineStr">
        <is>
          <t>OP03060</t>
        </is>
      </c>
      <c r="E746" s="8" t="n">
        <v>44961.47083333333</v>
      </c>
      <c r="F746" s="7" t="inlineStr">
        <is>
          <t>DOWNLINE</t>
        </is>
      </c>
      <c r="G746" s="18" t="inlineStr">
        <is>
          <t>OP00996</t>
        </is>
      </c>
      <c r="H746" s="19">
        <f>UPPER(Table3[[#This Row],[Agen id]]&amp;"-"&amp;VLOOKUP(Table3[[#This Row],[Agen id]],A:B,2,0)&amp;"("&amp;Table3[[#This Row],[Short]]&amp;")")</f>
        <v/>
      </c>
      <c r="J746" s="7">
        <f>VLOOKUP(Table3[[#This Row],[Agen id]],Agen!A:C,3,0)</f>
        <v/>
      </c>
      <c r="K746" s="37">
        <f>TRIM(LEFT(Table3[[#This Row],[Group]],2))</f>
        <v/>
      </c>
      <c r="L746" s="3" t="inlineStr">
        <is>
          <t>NON SALES</t>
        </is>
      </c>
    </row>
    <row r="747">
      <c r="A747" s="5" t="inlineStr">
        <is>
          <t>OP04888</t>
        </is>
      </c>
      <c r="B747" s="6" t="inlineStr">
        <is>
          <t>Jaenal</t>
        </is>
      </c>
      <c r="C747" s="7" t="inlineStr">
        <is>
          <t>AT1 - Agen Tangerang</t>
        </is>
      </c>
      <c r="D747" s="1" t="inlineStr">
        <is>
          <t>OP00023</t>
        </is>
      </c>
      <c r="E747" s="8" t="n">
        <v>44961.49861111111</v>
      </c>
      <c r="F747" s="7" t="inlineStr">
        <is>
          <t>DOWNLINE</t>
        </is>
      </c>
      <c r="G747" s="18" t="inlineStr">
        <is>
          <t>OP00023</t>
        </is>
      </c>
      <c r="H747" s="19">
        <f>UPPER(Table3[[#This Row],[Agen id]]&amp;"-"&amp;VLOOKUP(Table3[[#This Row],[Agen id]],A:B,2,0)&amp;"("&amp;Table3[[#This Row],[Short]]&amp;")")</f>
        <v/>
      </c>
      <c r="J747" s="7">
        <f>VLOOKUP(Table3[[#This Row],[Agen id]],Agen!A:C,3,0)</f>
        <v/>
      </c>
      <c r="K747" s="37">
        <f>TRIM(LEFT(Table3[[#This Row],[Group]],2))</f>
        <v/>
      </c>
      <c r="L747" s="3" t="inlineStr">
        <is>
          <t>NON SALES</t>
        </is>
      </c>
    </row>
    <row r="748">
      <c r="A748" s="5" t="inlineStr">
        <is>
          <t>OP04893</t>
        </is>
      </c>
      <c r="B748" s="6" t="inlineStr">
        <is>
          <t>Sayufathur</t>
        </is>
      </c>
      <c r="C748" s="7" t="inlineStr">
        <is>
          <t>AV - Agen Verified</t>
        </is>
      </c>
      <c r="D748" s="1" t="inlineStr">
        <is>
          <t>OP00002</t>
        </is>
      </c>
      <c r="E748" s="8" t="n">
        <v>44961.81111111111</v>
      </c>
      <c r="F748" s="7" t="inlineStr">
        <is>
          <t>AGEN</t>
        </is>
      </c>
      <c r="G748" s="18" t="inlineStr">
        <is>
          <t>OP04893</t>
        </is>
      </c>
      <c r="H748" s="19">
        <f>UPPER(Table3[[#This Row],[Agen id]]&amp;"-"&amp;VLOOKUP(Table3[[#This Row],[Agen id]],A:B,2,0)&amp;"("&amp;Table3[[#This Row],[Short]]&amp;")")</f>
        <v/>
      </c>
      <c r="J748" s="7">
        <f>VLOOKUP(Table3[[#This Row],[Agen id]],Agen!A:C,3,0)</f>
        <v/>
      </c>
      <c r="K748" s="37">
        <f>TRIM(LEFT(Table3[[#This Row],[Group]],2))</f>
        <v/>
      </c>
      <c r="L748" s="3" t="inlineStr">
        <is>
          <t>NON SALES</t>
        </is>
      </c>
    </row>
    <row r="749">
      <c r="A749" s="5" t="inlineStr">
        <is>
          <t>OP04899</t>
        </is>
      </c>
      <c r="B749" s="6" t="inlineStr">
        <is>
          <t>Wahyu cell</t>
        </is>
      </c>
      <c r="C749" s="7" t="inlineStr">
        <is>
          <t>A - Agen</t>
        </is>
      </c>
      <c r="D749" s="1" t="inlineStr">
        <is>
          <t>OP00014</t>
        </is>
      </c>
      <c r="E749" s="8" t="n">
        <v>44962.19722222222</v>
      </c>
      <c r="F749" s="7" t="inlineStr">
        <is>
          <t>DOWNLINE</t>
        </is>
      </c>
      <c r="G749" s="18" t="inlineStr">
        <is>
          <t>OP00014</t>
        </is>
      </c>
      <c r="H749" s="19">
        <f>UPPER(Table3[[#This Row],[Agen id]]&amp;"-"&amp;VLOOKUP(Table3[[#This Row],[Agen id]],A:B,2,0)&amp;"("&amp;Table3[[#This Row],[Short]]&amp;")")</f>
        <v/>
      </c>
      <c r="J749" s="7">
        <f>VLOOKUP(Table3[[#This Row],[Agen id]],Agen!A:C,3,0)</f>
        <v/>
      </c>
      <c r="K749" s="37">
        <f>TRIM(LEFT(Table3[[#This Row],[Group]],2))</f>
        <v/>
      </c>
      <c r="L749" s="3" t="inlineStr">
        <is>
          <t>NON SALES</t>
        </is>
      </c>
    </row>
    <row r="750">
      <c r="A750" s="5" t="inlineStr">
        <is>
          <t>OP04910</t>
        </is>
      </c>
      <c r="B750" s="6" t="inlineStr">
        <is>
          <t>Abdi</t>
        </is>
      </c>
      <c r="C750" s="7" t="inlineStr">
        <is>
          <t>AV - Agen Verified</t>
        </is>
      </c>
      <c r="D750" s="1" t="inlineStr">
        <is>
          <t>OP00002</t>
        </is>
      </c>
      <c r="E750" s="8" t="n">
        <v>44962.60625</v>
      </c>
      <c r="F750" s="7" t="inlineStr">
        <is>
          <t>AGEN</t>
        </is>
      </c>
      <c r="G750" s="18" t="inlineStr">
        <is>
          <t>OP04910</t>
        </is>
      </c>
      <c r="H750" s="19">
        <f>UPPER(Table3[[#This Row],[Agen id]]&amp;"-"&amp;VLOOKUP(Table3[[#This Row],[Agen id]],A:B,2,0)&amp;"("&amp;Table3[[#This Row],[Short]]&amp;")")</f>
        <v/>
      </c>
      <c r="J750" s="7">
        <f>VLOOKUP(Table3[[#This Row],[Agen id]],Agen!A:C,3,0)</f>
        <v/>
      </c>
      <c r="K750" s="37">
        <f>TRIM(LEFT(Table3[[#This Row],[Group]],2))</f>
        <v/>
      </c>
      <c r="L750" s="3" t="inlineStr">
        <is>
          <t>NON SALES</t>
        </is>
      </c>
    </row>
    <row r="751">
      <c r="A751" s="5" t="inlineStr">
        <is>
          <t>OP04923</t>
        </is>
      </c>
      <c r="B751" s="6" t="inlineStr">
        <is>
          <t>Suryi</t>
        </is>
      </c>
      <c r="C751" s="7" t="inlineStr">
        <is>
          <t>A - Agen</t>
        </is>
      </c>
      <c r="D751" s="1" t="inlineStr">
        <is>
          <t>OP00996</t>
        </is>
      </c>
      <c r="E751" s="8" t="n">
        <v>44962.78055555555</v>
      </c>
      <c r="F751" s="7" t="inlineStr">
        <is>
          <t>DOWNLINE</t>
        </is>
      </c>
      <c r="G751" s="18" t="inlineStr">
        <is>
          <t>OP00996</t>
        </is>
      </c>
      <c r="H751" s="19">
        <f>UPPER(Table3[[#This Row],[Agen id]]&amp;"-"&amp;VLOOKUP(Table3[[#This Row],[Agen id]],A:B,2,0)&amp;"("&amp;Table3[[#This Row],[Short]]&amp;")")</f>
        <v/>
      </c>
      <c r="J751" s="7">
        <f>VLOOKUP(Table3[[#This Row],[Agen id]],Agen!A:C,3,0)</f>
        <v/>
      </c>
      <c r="K751" s="37">
        <f>TRIM(LEFT(Table3[[#This Row],[Group]],2))</f>
        <v/>
      </c>
      <c r="L751" s="3" t="inlineStr">
        <is>
          <t>NON SALES</t>
        </is>
      </c>
    </row>
    <row r="752">
      <c r="A752" s="5" t="inlineStr">
        <is>
          <t>OP04926</t>
        </is>
      </c>
      <c r="B752" s="6" t="inlineStr">
        <is>
          <t>Halik</t>
        </is>
      </c>
      <c r="C752" s="7" t="inlineStr">
        <is>
          <t>AV - Agen Verified</t>
        </is>
      </c>
      <c r="D752" s="1" t="inlineStr">
        <is>
          <t>OP00002</t>
        </is>
      </c>
      <c r="E752" s="8" t="n">
        <v>44962.82777777778</v>
      </c>
      <c r="F752" s="7" t="inlineStr">
        <is>
          <t>AGEN</t>
        </is>
      </c>
      <c r="G752" s="18" t="inlineStr">
        <is>
          <t>OP04926</t>
        </is>
      </c>
      <c r="H752" s="19">
        <f>UPPER(Table3[[#This Row],[Agen id]]&amp;"-"&amp;VLOOKUP(Table3[[#This Row],[Agen id]],A:B,2,0)&amp;"("&amp;Table3[[#This Row],[Short]]&amp;")")</f>
        <v/>
      </c>
      <c r="J752" s="7">
        <f>VLOOKUP(Table3[[#This Row],[Agen id]],Agen!A:C,3,0)</f>
        <v/>
      </c>
      <c r="K752" s="37">
        <f>TRIM(LEFT(Table3[[#This Row],[Group]],2))</f>
        <v/>
      </c>
      <c r="L752" s="3" t="inlineStr">
        <is>
          <t>NON SALES</t>
        </is>
      </c>
    </row>
    <row r="753">
      <c r="A753" s="5" t="inlineStr">
        <is>
          <t>OP04928</t>
        </is>
      </c>
      <c r="B753" s="6" t="inlineStr">
        <is>
          <t>EVA LUSIANA</t>
        </is>
      </c>
      <c r="C753" s="7" t="inlineStr">
        <is>
          <t>A - Agen</t>
        </is>
      </c>
      <c r="D753" s="1" t="inlineStr">
        <is>
          <t>OP00002</t>
        </is>
      </c>
      <c r="E753" s="8" t="n">
        <v>44962.85972222222</v>
      </c>
      <c r="F753" s="7" t="inlineStr">
        <is>
          <t>AGEN</t>
        </is>
      </c>
      <c r="G753" s="18" t="inlineStr">
        <is>
          <t>OP04928</t>
        </is>
      </c>
      <c r="H753" s="19">
        <f>UPPER(Table3[[#This Row],[Agen id]]&amp;"-"&amp;VLOOKUP(Table3[[#This Row],[Agen id]],A:B,2,0)&amp;"("&amp;Table3[[#This Row],[Short]]&amp;")")</f>
        <v/>
      </c>
      <c r="J753" s="7">
        <f>VLOOKUP(Table3[[#This Row],[Agen id]],Agen!A:C,3,0)</f>
        <v/>
      </c>
      <c r="K753" s="37">
        <f>TRIM(LEFT(Table3[[#This Row],[Group]],2))</f>
        <v/>
      </c>
      <c r="L753" s="3" t="inlineStr">
        <is>
          <t>NON SALES</t>
        </is>
      </c>
    </row>
    <row r="754">
      <c r="A754" s="5" t="inlineStr">
        <is>
          <t>OP04935</t>
        </is>
      </c>
      <c r="B754" s="6" t="inlineStr">
        <is>
          <t>KAHFIE CELL</t>
        </is>
      </c>
      <c r="C754" s="7" t="inlineStr">
        <is>
          <t>A - Agen</t>
        </is>
      </c>
      <c r="D754" s="1" t="inlineStr">
        <is>
          <t>OP00003</t>
        </is>
      </c>
      <c r="E754" s="8" t="n">
        <v>44963.35902777778</v>
      </c>
      <c r="F754" s="7" t="inlineStr">
        <is>
          <t>AGEN</t>
        </is>
      </c>
      <c r="G754" s="18" t="inlineStr">
        <is>
          <t>OP04935</t>
        </is>
      </c>
      <c r="H754" s="19">
        <f>UPPER(Table3[[#This Row],[Agen id]]&amp;"-"&amp;VLOOKUP(Table3[[#This Row],[Agen id]],A:B,2,0)&amp;"("&amp;Table3[[#This Row],[Short]]&amp;")")</f>
        <v/>
      </c>
      <c r="J754" s="7">
        <f>VLOOKUP(Table3[[#This Row],[Agen id]],Agen!A:C,3,0)</f>
        <v/>
      </c>
      <c r="K754" s="37">
        <f>TRIM(LEFT(Table3[[#This Row],[Group]],2))</f>
        <v/>
      </c>
      <c r="L754" s="3" t="inlineStr">
        <is>
          <t>NON SALES</t>
        </is>
      </c>
    </row>
    <row r="755">
      <c r="A755" s="5" t="inlineStr">
        <is>
          <t>OP04946</t>
        </is>
      </c>
      <c r="B755" s="6" t="inlineStr">
        <is>
          <t>Isma Cell</t>
        </is>
      </c>
      <c r="C755" s="7" t="inlineStr">
        <is>
          <t>A - Agen</t>
        </is>
      </c>
      <c r="D755" s="1" t="inlineStr">
        <is>
          <t>OP00996</t>
        </is>
      </c>
      <c r="E755" s="8" t="n">
        <v>44963.62638888889</v>
      </c>
      <c r="F755" s="7" t="inlineStr">
        <is>
          <t>DOWNLINE</t>
        </is>
      </c>
      <c r="G755" s="18" t="inlineStr">
        <is>
          <t>OP00996</t>
        </is>
      </c>
      <c r="H755" s="19">
        <f>UPPER(Table3[[#This Row],[Agen id]]&amp;"-"&amp;VLOOKUP(Table3[[#This Row],[Agen id]],A:B,2,0)&amp;"("&amp;Table3[[#This Row],[Short]]&amp;")")</f>
        <v/>
      </c>
      <c r="J755" s="7">
        <f>VLOOKUP(Table3[[#This Row],[Agen id]],Agen!A:C,3,0)</f>
        <v/>
      </c>
      <c r="K755" s="37">
        <f>TRIM(LEFT(Table3[[#This Row],[Group]],2))</f>
        <v/>
      </c>
      <c r="L755" s="3" t="inlineStr">
        <is>
          <t>NON SALES</t>
        </is>
      </c>
    </row>
    <row r="756">
      <c r="A756" s="5" t="inlineStr">
        <is>
          <t>OP04950</t>
        </is>
      </c>
      <c r="B756" s="6" t="inlineStr">
        <is>
          <t>Hamdi</t>
        </is>
      </c>
      <c r="C756" s="7" t="inlineStr">
        <is>
          <t>A - Agen</t>
        </is>
      </c>
      <c r="D756" s="1" t="inlineStr">
        <is>
          <t>OP00002</t>
        </is>
      </c>
      <c r="E756" s="8" t="n">
        <v>44963.82152777778</v>
      </c>
      <c r="F756" s="7" t="inlineStr">
        <is>
          <t>AGEN</t>
        </is>
      </c>
      <c r="G756" s="18" t="inlineStr">
        <is>
          <t>OP04950</t>
        </is>
      </c>
      <c r="H756" s="19">
        <f>UPPER(Table3[[#This Row],[Agen id]]&amp;"-"&amp;VLOOKUP(Table3[[#This Row],[Agen id]],A:B,2,0)&amp;"("&amp;Table3[[#This Row],[Short]]&amp;")")</f>
        <v/>
      </c>
      <c r="J756" s="7">
        <f>VLOOKUP(Table3[[#This Row],[Agen id]],Agen!A:C,3,0)</f>
        <v/>
      </c>
      <c r="K756" s="37">
        <f>TRIM(LEFT(Table3[[#This Row],[Group]],2))</f>
        <v/>
      </c>
      <c r="L756" s="3" t="inlineStr">
        <is>
          <t>NON SALES</t>
        </is>
      </c>
    </row>
    <row r="757">
      <c r="A757" s="5" t="inlineStr">
        <is>
          <t>OP04957</t>
        </is>
      </c>
      <c r="B757" s="6" t="inlineStr">
        <is>
          <t>faskal</t>
        </is>
      </c>
      <c r="C757" s="7" t="inlineStr">
        <is>
          <t>A - Agen</t>
        </is>
      </c>
      <c r="D757" s="1" t="inlineStr">
        <is>
          <t>OP00002</t>
        </is>
      </c>
      <c r="E757" s="8" t="n">
        <v>44964.47152777778</v>
      </c>
      <c r="F757" s="7" t="inlineStr">
        <is>
          <t>AGEN</t>
        </is>
      </c>
      <c r="G757" s="18" t="inlineStr">
        <is>
          <t>OP04957</t>
        </is>
      </c>
      <c r="H757" s="19">
        <f>UPPER(Table3[[#This Row],[Agen id]]&amp;"-"&amp;VLOOKUP(Table3[[#This Row],[Agen id]],A:B,2,0)&amp;"("&amp;Table3[[#This Row],[Short]]&amp;")")</f>
        <v/>
      </c>
      <c r="J757" s="7">
        <f>VLOOKUP(Table3[[#This Row],[Agen id]],Agen!A:C,3,0)</f>
        <v/>
      </c>
      <c r="K757" s="37">
        <f>TRIM(LEFT(Table3[[#This Row],[Group]],2))</f>
        <v/>
      </c>
      <c r="L757" s="3" t="inlineStr">
        <is>
          <t>NON SALES</t>
        </is>
      </c>
    </row>
    <row r="758">
      <c r="A758" s="5" t="inlineStr">
        <is>
          <t>OP04972</t>
        </is>
      </c>
      <c r="B758" s="6" t="inlineStr">
        <is>
          <t>tri martiasih</t>
        </is>
      </c>
      <c r="C758" s="7" t="inlineStr">
        <is>
          <t>AV - Agen Verified</t>
        </is>
      </c>
      <c r="D758" s="1" t="inlineStr">
        <is>
          <t>OP04205</t>
        </is>
      </c>
      <c r="E758" s="8" t="n">
        <v>44964.93055555555</v>
      </c>
      <c r="F758" s="7" t="inlineStr">
        <is>
          <t>DOWNLINE</t>
        </is>
      </c>
      <c r="G758" s="18" t="inlineStr">
        <is>
          <t>OP00996</t>
        </is>
      </c>
      <c r="H758" s="19">
        <f>UPPER(Table3[[#This Row],[Agen id]]&amp;"-"&amp;VLOOKUP(Table3[[#This Row],[Agen id]],A:B,2,0)&amp;"("&amp;Table3[[#This Row],[Short]]&amp;")")</f>
        <v/>
      </c>
      <c r="J758" s="7">
        <f>VLOOKUP(Table3[[#This Row],[Agen id]],Agen!A:C,3,0)</f>
        <v/>
      </c>
      <c r="K758" s="37">
        <f>TRIM(LEFT(Table3[[#This Row],[Group]],2))</f>
        <v/>
      </c>
      <c r="L758" s="3" t="inlineStr">
        <is>
          <t>NON SALES</t>
        </is>
      </c>
    </row>
    <row r="759">
      <c r="A759" s="5" t="inlineStr">
        <is>
          <t>OP04984</t>
        </is>
      </c>
      <c r="B759" s="6" t="inlineStr">
        <is>
          <t>Azracell</t>
        </is>
      </c>
      <c r="C759" s="7" t="inlineStr">
        <is>
          <t>AV - Agen Verified</t>
        </is>
      </c>
      <c r="D759" s="1" t="inlineStr">
        <is>
          <t>OP00002</t>
        </is>
      </c>
      <c r="E759" s="8" t="n">
        <v>44965.45069444444</v>
      </c>
      <c r="F759" s="7" t="inlineStr">
        <is>
          <t>AGEN</t>
        </is>
      </c>
      <c r="G759" s="18" t="inlineStr">
        <is>
          <t>OP04984</t>
        </is>
      </c>
      <c r="H759" s="19">
        <f>UPPER(Table3[[#This Row],[Agen id]]&amp;"-"&amp;VLOOKUP(Table3[[#This Row],[Agen id]],A:B,2,0)&amp;"("&amp;Table3[[#This Row],[Short]]&amp;")")</f>
        <v/>
      </c>
      <c r="J759" s="7">
        <f>VLOOKUP(Table3[[#This Row],[Agen id]],Agen!A:C,3,0)</f>
        <v/>
      </c>
      <c r="K759" s="37">
        <f>TRIM(LEFT(Table3[[#This Row],[Group]],2))</f>
        <v/>
      </c>
      <c r="L759" s="3" t="inlineStr">
        <is>
          <t>NON SALES</t>
        </is>
      </c>
    </row>
    <row r="760">
      <c r="A760" s="5" t="inlineStr">
        <is>
          <t>OP04986</t>
        </is>
      </c>
      <c r="B760" s="6" t="inlineStr">
        <is>
          <t>Dadannursida</t>
        </is>
      </c>
      <c r="C760" s="7" t="inlineStr">
        <is>
          <t>AB1 - Agen Kab Bogor</t>
        </is>
      </c>
      <c r="D760" s="1" t="inlineStr">
        <is>
          <t>OP00002</t>
        </is>
      </c>
      <c r="E760" s="8" t="n">
        <v>44965.48888888889</v>
      </c>
      <c r="F760" s="7" t="inlineStr">
        <is>
          <t>AGEN</t>
        </is>
      </c>
      <c r="G760" s="18" t="inlineStr">
        <is>
          <t>OP04986</t>
        </is>
      </c>
      <c r="H760" s="19">
        <f>UPPER(Table3[[#This Row],[Agen id]]&amp;"-"&amp;VLOOKUP(Table3[[#This Row],[Agen id]],A:B,2,0)&amp;"("&amp;Table3[[#This Row],[Short]]&amp;")")</f>
        <v/>
      </c>
      <c r="J760" s="7">
        <f>VLOOKUP(Table3[[#This Row],[Agen id]],Agen!A:C,3,0)</f>
        <v/>
      </c>
      <c r="K760" s="37">
        <f>TRIM(LEFT(Table3[[#This Row],[Group]],2))</f>
        <v/>
      </c>
      <c r="L760" s="3" t="inlineStr">
        <is>
          <t>NON SALES</t>
        </is>
      </c>
    </row>
    <row r="761">
      <c r="A761" s="5" t="inlineStr">
        <is>
          <t>OP04990</t>
        </is>
      </c>
      <c r="B761" s="6" t="inlineStr">
        <is>
          <t>Aznida</t>
        </is>
      </c>
      <c r="C761" s="7" t="inlineStr">
        <is>
          <t>A - Agen</t>
        </is>
      </c>
      <c r="D761" s="1" t="inlineStr">
        <is>
          <t>OP00996</t>
        </is>
      </c>
      <c r="E761" s="8" t="n">
        <v>44965.52986111111</v>
      </c>
      <c r="F761" s="7" t="inlineStr">
        <is>
          <t>DOWNLINE</t>
        </is>
      </c>
      <c r="G761" s="18" t="inlineStr">
        <is>
          <t>OP00996</t>
        </is>
      </c>
      <c r="H761" s="19">
        <f>UPPER(Table3[[#This Row],[Agen id]]&amp;"-"&amp;VLOOKUP(Table3[[#This Row],[Agen id]],A:B,2,0)&amp;"("&amp;Table3[[#This Row],[Short]]&amp;")")</f>
        <v/>
      </c>
      <c r="J761" s="7">
        <f>VLOOKUP(Table3[[#This Row],[Agen id]],Agen!A:C,3,0)</f>
        <v/>
      </c>
      <c r="K761" s="37">
        <f>TRIM(LEFT(Table3[[#This Row],[Group]],2))</f>
        <v/>
      </c>
      <c r="L761" s="3" t="inlineStr">
        <is>
          <t>NON SALES</t>
        </is>
      </c>
    </row>
    <row r="762">
      <c r="A762" s="5" t="inlineStr">
        <is>
          <t>OP05004</t>
        </is>
      </c>
      <c r="B762" s="6" t="inlineStr">
        <is>
          <t>mimin suminar</t>
        </is>
      </c>
      <c r="C762" s="7" t="inlineStr">
        <is>
          <t>AV - Agen Verified</t>
        </is>
      </c>
      <c r="D762" s="1" t="inlineStr">
        <is>
          <t>OP02673</t>
        </is>
      </c>
      <c r="E762" s="8" t="n">
        <v>44965.73194444444</v>
      </c>
      <c r="F762" s="7" t="inlineStr">
        <is>
          <t>DOWNLINE</t>
        </is>
      </c>
      <c r="G762" s="18" t="inlineStr">
        <is>
          <t>OP02673</t>
        </is>
      </c>
      <c r="H762" s="19">
        <f>UPPER(Table3[[#This Row],[Agen id]]&amp;"-"&amp;VLOOKUP(Table3[[#This Row],[Agen id]],A:B,2,0)&amp;"("&amp;Table3[[#This Row],[Short]]&amp;")")</f>
        <v/>
      </c>
      <c r="J762" s="7">
        <f>VLOOKUP(Table3[[#This Row],[Agen id]],Agen!A:C,3,0)</f>
        <v/>
      </c>
      <c r="K762" s="37">
        <f>TRIM(LEFT(Table3[[#This Row],[Group]],2))</f>
        <v/>
      </c>
      <c r="L762" s="3" t="inlineStr">
        <is>
          <t>NON SALES</t>
        </is>
      </c>
    </row>
    <row r="763">
      <c r="A763" s="5" t="inlineStr">
        <is>
          <t>OP05008</t>
        </is>
      </c>
      <c r="B763" s="6" t="inlineStr">
        <is>
          <t>Azwin</t>
        </is>
      </c>
      <c r="C763" s="7" t="inlineStr">
        <is>
          <t>A - Agen</t>
        </is>
      </c>
      <c r="D763" s="1" t="inlineStr">
        <is>
          <t>OP00002</t>
        </is>
      </c>
      <c r="E763" s="8" t="n">
        <v>44965.87986111111</v>
      </c>
      <c r="F763" s="7" t="inlineStr">
        <is>
          <t>AGEN</t>
        </is>
      </c>
      <c r="G763" s="18" t="inlineStr">
        <is>
          <t>OP05008</t>
        </is>
      </c>
      <c r="H763" s="19">
        <f>UPPER(Table3[[#This Row],[Agen id]]&amp;"-"&amp;VLOOKUP(Table3[[#This Row],[Agen id]],A:B,2,0)&amp;"("&amp;Table3[[#This Row],[Short]]&amp;")")</f>
        <v/>
      </c>
      <c r="J763" s="7">
        <f>VLOOKUP(Table3[[#This Row],[Agen id]],Agen!A:C,3,0)</f>
        <v/>
      </c>
      <c r="K763" s="37">
        <f>TRIM(LEFT(Table3[[#This Row],[Group]],2))</f>
        <v/>
      </c>
      <c r="L763" s="3" t="inlineStr">
        <is>
          <t>NON SALES</t>
        </is>
      </c>
    </row>
    <row r="764">
      <c r="A764" s="5" t="inlineStr">
        <is>
          <t>OP05030</t>
        </is>
      </c>
      <c r="B764" s="6" t="inlineStr">
        <is>
          <t>Kikacell</t>
        </is>
      </c>
      <c r="C764" s="7" t="inlineStr">
        <is>
          <t>A - Agen</t>
        </is>
      </c>
      <c r="D764" s="1" t="inlineStr">
        <is>
          <t>OP00002</t>
        </is>
      </c>
      <c r="E764" s="8" t="n">
        <v>44966.59305555555</v>
      </c>
      <c r="F764" s="7" t="inlineStr">
        <is>
          <t>AGEN</t>
        </is>
      </c>
      <c r="G764" s="18" t="inlineStr">
        <is>
          <t>OP05030</t>
        </is>
      </c>
      <c r="H764" s="19">
        <f>UPPER(Table3[[#This Row],[Agen id]]&amp;"-"&amp;VLOOKUP(Table3[[#This Row],[Agen id]],A:B,2,0)&amp;"("&amp;Table3[[#This Row],[Short]]&amp;")")</f>
        <v/>
      </c>
      <c r="J764" s="7">
        <f>VLOOKUP(Table3[[#This Row],[Agen id]],Agen!A:C,3,0)</f>
        <v/>
      </c>
      <c r="K764" s="37">
        <f>TRIM(LEFT(Table3[[#This Row],[Group]],2))</f>
        <v/>
      </c>
      <c r="L764" s="3" t="inlineStr">
        <is>
          <t>NON SALES</t>
        </is>
      </c>
    </row>
    <row r="765">
      <c r="A765" s="5" t="inlineStr">
        <is>
          <t>OP05036</t>
        </is>
      </c>
      <c r="B765" s="6" t="inlineStr">
        <is>
          <t>Zahir</t>
        </is>
      </c>
      <c r="C765" s="7" t="inlineStr">
        <is>
          <t>AV - Agen Verified</t>
        </is>
      </c>
      <c r="D765" s="1" t="inlineStr">
        <is>
          <t>OP00002</t>
        </is>
      </c>
      <c r="E765" s="8" t="n">
        <v>44966.69722222222</v>
      </c>
      <c r="F765" s="7" t="inlineStr">
        <is>
          <t>AGEN</t>
        </is>
      </c>
      <c r="G765" s="18" t="inlineStr">
        <is>
          <t>OP05036</t>
        </is>
      </c>
      <c r="H765" s="19">
        <f>UPPER(Table3[[#This Row],[Agen id]]&amp;"-"&amp;VLOOKUP(Table3[[#This Row],[Agen id]],A:B,2,0)&amp;"("&amp;Table3[[#This Row],[Short]]&amp;")")</f>
        <v/>
      </c>
      <c r="J765" s="7">
        <f>VLOOKUP(Table3[[#This Row],[Agen id]],Agen!A:C,3,0)</f>
        <v/>
      </c>
      <c r="K765" s="37">
        <f>TRIM(LEFT(Table3[[#This Row],[Group]],2))</f>
        <v/>
      </c>
      <c r="L765" s="3" t="inlineStr">
        <is>
          <t>NON SALES</t>
        </is>
      </c>
    </row>
    <row r="766">
      <c r="A766" s="5" t="inlineStr">
        <is>
          <t>OP05037</t>
        </is>
      </c>
      <c r="B766" s="6" t="inlineStr">
        <is>
          <t>Tio Hwat Fie</t>
        </is>
      </c>
      <c r="C766" s="7" t="inlineStr">
        <is>
          <t>AV - Agen Verified</t>
        </is>
      </c>
      <c r="D766" s="1" t="inlineStr">
        <is>
          <t>OP00014</t>
        </is>
      </c>
      <c r="E766" s="8" t="n">
        <v>44966.72152777778</v>
      </c>
      <c r="F766" s="7" t="inlineStr">
        <is>
          <t>DOWNLINE</t>
        </is>
      </c>
      <c r="G766" s="18" t="inlineStr">
        <is>
          <t>OP00014</t>
        </is>
      </c>
      <c r="H766" s="19">
        <f>UPPER(Table3[[#This Row],[Agen id]]&amp;"-"&amp;VLOOKUP(Table3[[#This Row],[Agen id]],A:B,2,0)&amp;"("&amp;Table3[[#This Row],[Short]]&amp;")")</f>
        <v/>
      </c>
      <c r="J766" s="7">
        <f>VLOOKUP(Table3[[#This Row],[Agen id]],Agen!A:C,3,0)</f>
        <v/>
      </c>
      <c r="K766" s="37">
        <f>TRIM(LEFT(Table3[[#This Row],[Group]],2))</f>
        <v/>
      </c>
      <c r="L766" s="3" t="inlineStr">
        <is>
          <t>NON SALES</t>
        </is>
      </c>
    </row>
    <row r="767">
      <c r="A767" s="5" t="inlineStr">
        <is>
          <t>OP05054</t>
        </is>
      </c>
      <c r="B767" s="6" t="inlineStr">
        <is>
          <t>Ulum parida</t>
        </is>
      </c>
      <c r="C767" s="7" t="inlineStr">
        <is>
          <t>A - Agen</t>
        </is>
      </c>
      <c r="D767" s="1" t="inlineStr">
        <is>
          <t>OP00996</t>
        </is>
      </c>
      <c r="E767" s="8" t="n">
        <v>44967.44722222222</v>
      </c>
      <c r="F767" s="7" t="inlineStr">
        <is>
          <t>DOWNLINE</t>
        </is>
      </c>
      <c r="G767" s="18" t="inlineStr">
        <is>
          <t>OP00996</t>
        </is>
      </c>
      <c r="H767" s="19">
        <f>UPPER(Table3[[#This Row],[Agen id]]&amp;"-"&amp;VLOOKUP(Table3[[#This Row],[Agen id]],A:B,2,0)&amp;"("&amp;Table3[[#This Row],[Short]]&amp;")")</f>
        <v/>
      </c>
      <c r="J767" s="7">
        <f>VLOOKUP(Table3[[#This Row],[Agen id]],Agen!A:C,3,0)</f>
        <v/>
      </c>
      <c r="K767" s="37">
        <f>TRIM(LEFT(Table3[[#This Row],[Group]],2))</f>
        <v/>
      </c>
      <c r="L767" s="3" t="inlineStr">
        <is>
          <t>NON SALES</t>
        </is>
      </c>
    </row>
    <row r="768">
      <c r="A768" s="5" t="inlineStr">
        <is>
          <t>OP05056</t>
        </is>
      </c>
      <c r="B768" s="6" t="inlineStr">
        <is>
          <t>Muhamad Yunus</t>
        </is>
      </c>
      <c r="C768" s="7" t="inlineStr">
        <is>
          <t>A - Agen</t>
        </is>
      </c>
      <c r="D768" s="1" t="inlineStr">
        <is>
          <t>OP00002</t>
        </is>
      </c>
      <c r="E768" s="8" t="n">
        <v>44967.47083333333</v>
      </c>
      <c r="F768" s="7" t="inlineStr">
        <is>
          <t>AGEN</t>
        </is>
      </c>
      <c r="G768" s="18" t="inlineStr">
        <is>
          <t>OP05056</t>
        </is>
      </c>
      <c r="H768" s="19">
        <f>UPPER(Table3[[#This Row],[Agen id]]&amp;"-"&amp;VLOOKUP(Table3[[#This Row],[Agen id]],A:B,2,0)&amp;"("&amp;Table3[[#This Row],[Short]]&amp;")")</f>
        <v/>
      </c>
      <c r="J768" s="7">
        <f>VLOOKUP(Table3[[#This Row],[Agen id]],Agen!A:C,3,0)</f>
        <v/>
      </c>
      <c r="K768" s="37">
        <f>TRIM(LEFT(Table3[[#This Row],[Group]],2))</f>
        <v/>
      </c>
      <c r="L768" s="3" t="inlineStr">
        <is>
          <t>NON SALES</t>
        </is>
      </c>
    </row>
    <row r="769">
      <c r="A769" s="5" t="inlineStr">
        <is>
          <t>OP05058</t>
        </is>
      </c>
      <c r="B769" s="6" t="inlineStr">
        <is>
          <t>Sri Ayu</t>
        </is>
      </c>
      <c r="C769" s="7" t="inlineStr">
        <is>
          <t>A - Agen</t>
        </is>
      </c>
      <c r="D769" s="1" t="inlineStr">
        <is>
          <t>OP00002</t>
        </is>
      </c>
      <c r="E769" s="8" t="n">
        <v>44967.49305555555</v>
      </c>
      <c r="F769" s="7" t="inlineStr">
        <is>
          <t>AGEN</t>
        </is>
      </c>
      <c r="G769" s="18" t="inlineStr">
        <is>
          <t>OP05058</t>
        </is>
      </c>
      <c r="H769" s="19">
        <f>UPPER(Table3[[#This Row],[Agen id]]&amp;"-"&amp;VLOOKUP(Table3[[#This Row],[Agen id]],A:B,2,0)&amp;"("&amp;Table3[[#This Row],[Short]]&amp;")")</f>
        <v/>
      </c>
      <c r="J769" s="7">
        <f>VLOOKUP(Table3[[#This Row],[Agen id]],Agen!A:C,3,0)</f>
        <v/>
      </c>
      <c r="K769" s="37">
        <f>TRIM(LEFT(Table3[[#This Row],[Group]],2))</f>
        <v/>
      </c>
      <c r="L769" s="3" t="inlineStr">
        <is>
          <t>NON SALES</t>
        </is>
      </c>
    </row>
    <row r="770">
      <c r="A770" s="5" t="inlineStr">
        <is>
          <t>OP05059</t>
        </is>
      </c>
      <c r="B770" s="6" t="inlineStr">
        <is>
          <t>KENCANA CELL</t>
        </is>
      </c>
      <c r="C770" s="7" t="inlineStr">
        <is>
          <t>AV - Agen Verified</t>
        </is>
      </c>
      <c r="D770" s="1" t="inlineStr">
        <is>
          <t>OP00002</t>
        </is>
      </c>
      <c r="E770" s="8" t="n">
        <v>44967.49444444444</v>
      </c>
      <c r="F770" s="7" t="inlineStr">
        <is>
          <t>AGEN</t>
        </is>
      </c>
      <c r="G770" s="18" t="inlineStr">
        <is>
          <t>OP05059</t>
        </is>
      </c>
      <c r="H770" s="19">
        <f>UPPER(Table3[[#This Row],[Agen id]]&amp;"-"&amp;VLOOKUP(Table3[[#This Row],[Agen id]],A:B,2,0)&amp;"("&amp;Table3[[#This Row],[Short]]&amp;")")</f>
        <v/>
      </c>
      <c r="J770" s="7">
        <f>VLOOKUP(Table3[[#This Row],[Agen id]],Agen!A:C,3,0)</f>
        <v/>
      </c>
      <c r="K770" s="37">
        <f>TRIM(LEFT(Table3[[#This Row],[Group]],2))</f>
        <v/>
      </c>
      <c r="L770" s="3" t="inlineStr">
        <is>
          <t>NON SALES</t>
        </is>
      </c>
    </row>
    <row r="771">
      <c r="A771" s="5" t="inlineStr">
        <is>
          <t>OP05063</t>
        </is>
      </c>
      <c r="B771" s="6" t="inlineStr">
        <is>
          <t>ALFATIH CELL</t>
        </is>
      </c>
      <c r="C771" s="7" t="inlineStr">
        <is>
          <t>AV - Agen Verified</t>
        </is>
      </c>
      <c r="D771" s="1" t="inlineStr">
        <is>
          <t>OP00002</t>
        </is>
      </c>
      <c r="E771" s="8" t="n">
        <v>44967.56875</v>
      </c>
      <c r="F771" s="7" t="inlineStr">
        <is>
          <t>AGEN</t>
        </is>
      </c>
      <c r="G771" s="18" t="inlineStr">
        <is>
          <t>OP05063</t>
        </is>
      </c>
      <c r="H771" s="19">
        <f>UPPER(Table3[[#This Row],[Agen id]]&amp;"-"&amp;VLOOKUP(Table3[[#This Row],[Agen id]],A:B,2,0)&amp;"("&amp;Table3[[#This Row],[Short]]&amp;")")</f>
        <v/>
      </c>
      <c r="J771" s="7">
        <f>VLOOKUP(Table3[[#This Row],[Agen id]],Agen!A:C,3,0)</f>
        <v/>
      </c>
      <c r="K771" s="37">
        <f>TRIM(LEFT(Table3[[#This Row],[Group]],2))</f>
        <v/>
      </c>
      <c r="L771" s="3" t="inlineStr">
        <is>
          <t>NON SALES</t>
        </is>
      </c>
    </row>
    <row r="772">
      <c r="A772" s="5" t="inlineStr">
        <is>
          <t>OP05065</t>
        </is>
      </c>
      <c r="B772" s="6" t="inlineStr">
        <is>
          <t>Nur khafiyatun</t>
        </is>
      </c>
      <c r="C772" s="7" t="inlineStr">
        <is>
          <t>AV - Agen Verified</t>
        </is>
      </c>
      <c r="D772" s="1" t="inlineStr">
        <is>
          <t>OP00996</t>
        </is>
      </c>
      <c r="E772" s="8" t="n">
        <v>44967.60277777778</v>
      </c>
      <c r="F772" s="7" t="inlineStr">
        <is>
          <t>DOWNLINE</t>
        </is>
      </c>
      <c r="G772" s="18" t="inlineStr">
        <is>
          <t>OP00996</t>
        </is>
      </c>
      <c r="H772" s="19">
        <f>UPPER(Table3[[#This Row],[Agen id]]&amp;"-"&amp;VLOOKUP(Table3[[#This Row],[Agen id]],A:B,2,0)&amp;"("&amp;Table3[[#This Row],[Short]]&amp;")")</f>
        <v/>
      </c>
      <c r="J772" s="7">
        <f>VLOOKUP(Table3[[#This Row],[Agen id]],Agen!A:C,3,0)</f>
        <v/>
      </c>
      <c r="K772" s="37">
        <f>TRIM(LEFT(Table3[[#This Row],[Group]],2))</f>
        <v/>
      </c>
      <c r="L772" s="3" t="inlineStr">
        <is>
          <t>NON SALES</t>
        </is>
      </c>
    </row>
    <row r="773">
      <c r="A773" s="5" t="inlineStr">
        <is>
          <t>OP05066</t>
        </is>
      </c>
      <c r="B773" s="6" t="inlineStr">
        <is>
          <t>Nur Akbar pratama</t>
        </is>
      </c>
      <c r="C773" s="7" t="inlineStr">
        <is>
          <t>A - Agen</t>
        </is>
      </c>
      <c r="D773" s="1" t="inlineStr">
        <is>
          <t>OP01837</t>
        </is>
      </c>
      <c r="E773" s="8" t="n">
        <v>44967.63888888889</v>
      </c>
      <c r="F773" s="7" t="inlineStr">
        <is>
          <t>DOWNLINE</t>
        </is>
      </c>
      <c r="G773" s="18" t="inlineStr">
        <is>
          <t>OP01837</t>
        </is>
      </c>
      <c r="H773" s="19">
        <f>UPPER(Table3[[#This Row],[Agen id]]&amp;"-"&amp;VLOOKUP(Table3[[#This Row],[Agen id]],A:B,2,0)&amp;"("&amp;Table3[[#This Row],[Short]]&amp;")")</f>
        <v/>
      </c>
      <c r="J773" s="7">
        <f>VLOOKUP(Table3[[#This Row],[Agen id]],Agen!A:C,3,0)</f>
        <v/>
      </c>
      <c r="K773" s="37">
        <f>TRIM(LEFT(Table3[[#This Row],[Group]],2))</f>
        <v/>
      </c>
      <c r="L773" s="3" t="inlineStr">
        <is>
          <t>NON SALES</t>
        </is>
      </c>
    </row>
    <row r="774">
      <c r="A774" s="5" t="inlineStr">
        <is>
          <t>OP05068</t>
        </is>
      </c>
      <c r="B774" s="6" t="inlineStr">
        <is>
          <t>Asty</t>
        </is>
      </c>
      <c r="C774" s="7" t="inlineStr">
        <is>
          <t>AV - Agen Verified</t>
        </is>
      </c>
      <c r="D774" s="1" t="inlineStr">
        <is>
          <t>OP00002</t>
        </is>
      </c>
      <c r="E774" s="8" t="n">
        <v>44967.69652777778</v>
      </c>
      <c r="F774" s="7" t="inlineStr">
        <is>
          <t>AGEN</t>
        </is>
      </c>
      <c r="G774" s="18" t="inlineStr">
        <is>
          <t>OP05068</t>
        </is>
      </c>
      <c r="H774" s="19">
        <f>UPPER(Table3[[#This Row],[Agen id]]&amp;"-"&amp;VLOOKUP(Table3[[#This Row],[Agen id]],A:B,2,0)&amp;"("&amp;Table3[[#This Row],[Short]]&amp;")")</f>
        <v/>
      </c>
      <c r="J774" s="7">
        <f>VLOOKUP(Table3[[#This Row],[Agen id]],Agen!A:C,3,0)</f>
        <v/>
      </c>
      <c r="K774" s="37">
        <f>TRIM(LEFT(Table3[[#This Row],[Group]],2))</f>
        <v/>
      </c>
      <c r="L774" s="3" t="inlineStr">
        <is>
          <t>NON SALES</t>
        </is>
      </c>
    </row>
    <row r="775">
      <c r="A775" s="5" t="inlineStr">
        <is>
          <t>OP05069</t>
        </is>
      </c>
      <c r="B775" s="6" t="inlineStr">
        <is>
          <t>Chrisny Cell</t>
        </is>
      </c>
      <c r="C775" s="7" t="inlineStr">
        <is>
          <t>AV - Agen Verified</t>
        </is>
      </c>
      <c r="D775" s="1" t="inlineStr">
        <is>
          <t>OP00003</t>
        </is>
      </c>
      <c r="E775" s="8" t="n">
        <v>44967.7375</v>
      </c>
      <c r="F775" s="7" t="inlineStr">
        <is>
          <t>AGEN</t>
        </is>
      </c>
      <c r="G775" s="18" t="inlineStr">
        <is>
          <t>OP05069</t>
        </is>
      </c>
      <c r="H775" s="19">
        <f>UPPER(Table3[[#This Row],[Agen id]]&amp;"-"&amp;VLOOKUP(Table3[[#This Row],[Agen id]],A:B,2,0)&amp;"("&amp;Table3[[#This Row],[Short]]&amp;")")</f>
        <v/>
      </c>
      <c r="J775" s="7">
        <f>VLOOKUP(Table3[[#This Row],[Agen id]],Agen!A:C,3,0)</f>
        <v/>
      </c>
      <c r="K775" s="37">
        <f>TRIM(LEFT(Table3[[#This Row],[Group]],2))</f>
        <v/>
      </c>
      <c r="L775" s="3" t="inlineStr">
        <is>
          <t>NON SALES</t>
        </is>
      </c>
    </row>
    <row r="776">
      <c r="A776" s="5" t="inlineStr">
        <is>
          <t>OP05079</t>
        </is>
      </c>
      <c r="B776" s="6" t="inlineStr">
        <is>
          <t>Supranowo</t>
        </is>
      </c>
      <c r="C776" s="7" t="inlineStr">
        <is>
          <t>A - Agen</t>
        </is>
      </c>
      <c r="D776" s="1" t="inlineStr">
        <is>
          <t>OP00002</t>
        </is>
      </c>
      <c r="E776" s="8" t="n">
        <v>44967.79375</v>
      </c>
      <c r="F776" s="7" t="inlineStr">
        <is>
          <t>AGEN</t>
        </is>
      </c>
      <c r="G776" s="18" t="inlineStr">
        <is>
          <t>OP05079</t>
        </is>
      </c>
      <c r="H776" s="19">
        <f>UPPER(Table3[[#This Row],[Agen id]]&amp;"-"&amp;VLOOKUP(Table3[[#This Row],[Agen id]],A:B,2,0)&amp;"("&amp;Table3[[#This Row],[Short]]&amp;")")</f>
        <v/>
      </c>
      <c r="J776" s="7">
        <f>VLOOKUP(Table3[[#This Row],[Agen id]],Agen!A:C,3,0)</f>
        <v/>
      </c>
      <c r="K776" s="37">
        <f>TRIM(LEFT(Table3[[#This Row],[Group]],2))</f>
        <v/>
      </c>
      <c r="L776" s="3" t="inlineStr">
        <is>
          <t>NON SALES</t>
        </is>
      </c>
    </row>
    <row r="777">
      <c r="A777" s="5" t="inlineStr">
        <is>
          <t>OP05089</t>
        </is>
      </c>
      <c r="B777" s="6" t="inlineStr">
        <is>
          <t>MCK DELI LINDA CENTER 2099</t>
        </is>
      </c>
      <c r="C777" s="7" t="inlineStr">
        <is>
          <t>A - Agen</t>
        </is>
      </c>
      <c r="D777" s="1" t="inlineStr">
        <is>
          <t>OP00996</t>
        </is>
      </c>
      <c r="E777" s="8" t="n">
        <v>44968.23958333334</v>
      </c>
      <c r="F777" s="7" t="inlineStr">
        <is>
          <t>DOWNLINE</t>
        </is>
      </c>
      <c r="G777" s="18" t="inlineStr">
        <is>
          <t>OP00996</t>
        </is>
      </c>
      <c r="H777" s="19">
        <f>UPPER(Table3[[#This Row],[Agen id]]&amp;"-"&amp;VLOOKUP(Table3[[#This Row],[Agen id]],A:B,2,0)&amp;"("&amp;Table3[[#This Row],[Short]]&amp;")")</f>
        <v/>
      </c>
      <c r="J777" s="7">
        <f>VLOOKUP(Table3[[#This Row],[Agen id]],Agen!A:C,3,0)</f>
        <v/>
      </c>
      <c r="K777" s="37">
        <f>TRIM(LEFT(Table3[[#This Row],[Group]],2))</f>
        <v/>
      </c>
      <c r="L777" s="3" t="inlineStr">
        <is>
          <t>NON SALES</t>
        </is>
      </c>
    </row>
    <row r="778">
      <c r="A778" s="5" t="inlineStr">
        <is>
          <t>OP05090</t>
        </is>
      </c>
      <c r="B778" s="6" t="inlineStr">
        <is>
          <t>Salas Reload</t>
        </is>
      </c>
      <c r="C778" s="7" t="inlineStr">
        <is>
          <t>A - Agen</t>
        </is>
      </c>
      <c r="D778" s="1" t="inlineStr">
        <is>
          <t>OP00091</t>
        </is>
      </c>
      <c r="E778" s="8" t="n">
        <v>44968.28888888889</v>
      </c>
      <c r="F778" s="7" t="inlineStr">
        <is>
          <t>DOWNLINE</t>
        </is>
      </c>
      <c r="G778" s="18" t="inlineStr">
        <is>
          <t>OP00091</t>
        </is>
      </c>
      <c r="H778" s="19">
        <f>UPPER(Table3[[#This Row],[Agen id]]&amp;"-"&amp;VLOOKUP(Table3[[#This Row],[Agen id]],A:B,2,0)&amp;"("&amp;Table3[[#This Row],[Short]]&amp;")")</f>
        <v/>
      </c>
      <c r="J778" s="7">
        <f>VLOOKUP(Table3[[#This Row],[Agen id]],Agen!A:C,3,0)</f>
        <v/>
      </c>
      <c r="K778" s="37">
        <f>TRIM(LEFT(Table3[[#This Row],[Group]],2))</f>
        <v/>
      </c>
      <c r="L778" s="3" t="inlineStr">
        <is>
          <t>NON SALES</t>
        </is>
      </c>
    </row>
    <row r="779">
      <c r="A779" s="5" t="inlineStr">
        <is>
          <t>OP05103</t>
        </is>
      </c>
      <c r="B779" s="6" t="inlineStr">
        <is>
          <t>Edwin Ryan Rihi</t>
        </is>
      </c>
      <c r="C779" s="7" t="inlineStr">
        <is>
          <t>AV - Agen Verified</t>
        </is>
      </c>
      <c r="D779" s="1" t="inlineStr">
        <is>
          <t>OP00003</t>
        </is>
      </c>
      <c r="E779" s="8" t="n">
        <v>44968.56666666667</v>
      </c>
      <c r="F779" s="7" t="inlineStr">
        <is>
          <t>AGEN</t>
        </is>
      </c>
      <c r="G779" s="18" t="inlineStr">
        <is>
          <t>OP05103</t>
        </is>
      </c>
      <c r="H779" s="19">
        <f>UPPER(Table3[[#This Row],[Agen id]]&amp;"-"&amp;VLOOKUP(Table3[[#This Row],[Agen id]],A:B,2,0)&amp;"("&amp;Table3[[#This Row],[Short]]&amp;")")</f>
        <v/>
      </c>
      <c r="J779" s="7">
        <f>VLOOKUP(Table3[[#This Row],[Agen id]],Agen!A:C,3,0)</f>
        <v/>
      </c>
      <c r="K779" s="37">
        <f>TRIM(LEFT(Table3[[#This Row],[Group]],2))</f>
        <v/>
      </c>
      <c r="L779" s="3" t="inlineStr">
        <is>
          <t>NON SALES</t>
        </is>
      </c>
    </row>
    <row r="780">
      <c r="A780" s="5" t="inlineStr">
        <is>
          <t>OP05107</t>
        </is>
      </c>
      <c r="B780" s="6" t="inlineStr">
        <is>
          <t>Muhammad Sidik</t>
        </is>
      </c>
      <c r="C780" s="7" t="inlineStr">
        <is>
          <t>A - Agen</t>
        </is>
      </c>
      <c r="D780" s="1" t="inlineStr">
        <is>
          <t>OP00003</t>
        </is>
      </c>
      <c r="E780" s="8" t="n">
        <v>44968.71944444445</v>
      </c>
      <c r="F780" s="7" t="inlineStr">
        <is>
          <t>AGEN</t>
        </is>
      </c>
      <c r="G780" s="18" t="inlineStr">
        <is>
          <t>OP05107</t>
        </is>
      </c>
      <c r="H780" s="19">
        <f>UPPER(Table3[[#This Row],[Agen id]]&amp;"-"&amp;VLOOKUP(Table3[[#This Row],[Agen id]],A:B,2,0)&amp;"("&amp;Table3[[#This Row],[Short]]&amp;")")</f>
        <v/>
      </c>
      <c r="J780" s="7">
        <f>VLOOKUP(Table3[[#This Row],[Agen id]],Agen!A:C,3,0)</f>
        <v/>
      </c>
      <c r="K780" s="37">
        <f>TRIM(LEFT(Table3[[#This Row],[Group]],2))</f>
        <v/>
      </c>
      <c r="L780" s="3" t="inlineStr">
        <is>
          <t>NON SALES</t>
        </is>
      </c>
    </row>
    <row r="781">
      <c r="A781" s="5" t="inlineStr">
        <is>
          <t>OP05112</t>
        </is>
      </c>
      <c r="B781" s="6" t="inlineStr">
        <is>
          <t>Oyok</t>
        </is>
      </c>
      <c r="C781" s="7" t="inlineStr">
        <is>
          <t>A - Agen</t>
        </is>
      </c>
      <c r="D781" s="1" t="inlineStr">
        <is>
          <t>OP00002</t>
        </is>
      </c>
      <c r="E781" s="8" t="n">
        <v>44968.82222222222</v>
      </c>
      <c r="F781" s="7" t="inlineStr">
        <is>
          <t>AGEN</t>
        </is>
      </c>
      <c r="G781" s="18" t="inlineStr">
        <is>
          <t>OP05112</t>
        </is>
      </c>
      <c r="H781" s="19">
        <f>UPPER(Table3[[#This Row],[Agen id]]&amp;"-"&amp;VLOOKUP(Table3[[#This Row],[Agen id]],A:B,2,0)&amp;"("&amp;Table3[[#This Row],[Short]]&amp;")")</f>
        <v/>
      </c>
      <c r="J781" s="7">
        <f>VLOOKUP(Table3[[#This Row],[Agen id]],Agen!A:C,3,0)</f>
        <v/>
      </c>
      <c r="K781" s="37">
        <f>TRIM(LEFT(Table3[[#This Row],[Group]],2))</f>
        <v/>
      </c>
      <c r="L781" s="3" t="inlineStr">
        <is>
          <t>NON SALES</t>
        </is>
      </c>
    </row>
    <row r="782">
      <c r="A782" s="5" t="inlineStr">
        <is>
          <t>OP05125</t>
        </is>
      </c>
      <c r="B782" s="6" t="inlineStr">
        <is>
          <t>Merlina</t>
        </is>
      </c>
      <c r="C782" s="7" t="inlineStr">
        <is>
          <t>A - Agen</t>
        </is>
      </c>
      <c r="D782" s="1" t="inlineStr">
        <is>
          <t>OP00002</t>
        </is>
      </c>
      <c r="E782" s="8" t="n">
        <v>44968.9</v>
      </c>
      <c r="F782" s="7" t="inlineStr">
        <is>
          <t>AGEN</t>
        </is>
      </c>
      <c r="G782" s="18" t="inlineStr">
        <is>
          <t>OP05125</t>
        </is>
      </c>
      <c r="H782" s="19">
        <f>UPPER(Table3[[#This Row],[Agen id]]&amp;"-"&amp;VLOOKUP(Table3[[#This Row],[Agen id]],A:B,2,0)&amp;"("&amp;Table3[[#This Row],[Short]]&amp;")")</f>
        <v/>
      </c>
      <c r="J782" s="7">
        <f>VLOOKUP(Table3[[#This Row],[Agen id]],Agen!A:C,3,0)</f>
        <v/>
      </c>
      <c r="K782" s="37">
        <f>TRIM(LEFT(Table3[[#This Row],[Group]],2))</f>
        <v/>
      </c>
      <c r="L782" s="3" t="inlineStr">
        <is>
          <t>NON SALES</t>
        </is>
      </c>
    </row>
    <row r="783">
      <c r="A783" s="5" t="inlineStr">
        <is>
          <t>OP05138</t>
        </is>
      </c>
      <c r="B783" s="6" t="inlineStr">
        <is>
          <t>sobirin</t>
        </is>
      </c>
      <c r="C783" s="7" t="inlineStr">
        <is>
          <t>A - Agen</t>
        </is>
      </c>
      <c r="D783" s="1" t="inlineStr">
        <is>
          <t>OP04766</t>
        </is>
      </c>
      <c r="E783" s="8" t="n">
        <v>44969.43680555555</v>
      </c>
      <c r="F783" s="7" t="inlineStr">
        <is>
          <t>DOWNLINE</t>
        </is>
      </c>
      <c r="G783" s="18" t="inlineStr">
        <is>
          <t>OP04706</t>
        </is>
      </c>
      <c r="H783" s="19">
        <f>UPPER(Table3[[#This Row],[Agen id]]&amp;"-"&amp;VLOOKUP(Table3[[#This Row],[Agen id]],A:B,2,0)&amp;"("&amp;Table3[[#This Row],[Short]]&amp;")")</f>
        <v/>
      </c>
      <c r="J783" s="7">
        <f>VLOOKUP(Table3[[#This Row],[Agen id]],Agen!A:C,3,0)</f>
        <v/>
      </c>
      <c r="K783" s="37">
        <f>TRIM(LEFT(Table3[[#This Row],[Group]],2))</f>
        <v/>
      </c>
      <c r="L783" s="3" t="inlineStr">
        <is>
          <t>NON SALES</t>
        </is>
      </c>
    </row>
    <row r="784">
      <c r="A784" s="5" t="inlineStr">
        <is>
          <t>OP05146</t>
        </is>
      </c>
      <c r="B784" s="6" t="inlineStr">
        <is>
          <t>Ananda Zulmi</t>
        </is>
      </c>
      <c r="C784" s="7" t="inlineStr">
        <is>
          <t>A - Agen</t>
        </is>
      </c>
      <c r="D784" s="1" t="inlineStr">
        <is>
          <t>OP00002</t>
        </is>
      </c>
      <c r="E784" s="8" t="n">
        <v>44969.54930555556</v>
      </c>
      <c r="F784" s="7" t="inlineStr">
        <is>
          <t>AGEN</t>
        </is>
      </c>
      <c r="G784" s="18" t="inlineStr">
        <is>
          <t>OP05146</t>
        </is>
      </c>
      <c r="H784" s="19">
        <f>UPPER(Table3[[#This Row],[Agen id]]&amp;"-"&amp;VLOOKUP(Table3[[#This Row],[Agen id]],A:B,2,0)&amp;"("&amp;Table3[[#This Row],[Short]]&amp;")")</f>
        <v/>
      </c>
      <c r="J784" s="7">
        <f>VLOOKUP(Table3[[#This Row],[Agen id]],Agen!A:C,3,0)</f>
        <v/>
      </c>
      <c r="K784" s="37">
        <f>TRIM(LEFT(Table3[[#This Row],[Group]],2))</f>
        <v/>
      </c>
      <c r="L784" s="3" t="inlineStr">
        <is>
          <t>NON SALES</t>
        </is>
      </c>
    </row>
    <row r="785">
      <c r="A785" s="5" t="inlineStr">
        <is>
          <t>OP05147</t>
        </is>
      </c>
      <c r="B785" s="6" t="inlineStr">
        <is>
          <t>abdul kholik anwar</t>
        </is>
      </c>
      <c r="C785" s="7" t="inlineStr">
        <is>
          <t>AV - Agen Verified</t>
        </is>
      </c>
      <c r="D785" s="1" t="inlineStr">
        <is>
          <t>OP00003</t>
        </is>
      </c>
      <c r="E785" s="8" t="n">
        <v>44969.55347222222</v>
      </c>
      <c r="F785" s="7" t="inlineStr">
        <is>
          <t>AGEN</t>
        </is>
      </c>
      <c r="G785" s="18" t="inlineStr">
        <is>
          <t>OP05147</t>
        </is>
      </c>
      <c r="H785" s="19">
        <f>UPPER(Table3[[#This Row],[Agen id]]&amp;"-"&amp;VLOOKUP(Table3[[#This Row],[Agen id]],A:B,2,0)&amp;"("&amp;Table3[[#This Row],[Short]]&amp;")")</f>
        <v/>
      </c>
      <c r="J785" s="7">
        <f>VLOOKUP(Table3[[#This Row],[Agen id]],Agen!A:C,3,0)</f>
        <v/>
      </c>
      <c r="K785" s="37">
        <f>TRIM(LEFT(Table3[[#This Row],[Group]],2))</f>
        <v/>
      </c>
      <c r="L785" s="3" t="inlineStr">
        <is>
          <t>NON SALES</t>
        </is>
      </c>
    </row>
    <row r="786">
      <c r="A786" s="5" t="inlineStr">
        <is>
          <t>OP05160</t>
        </is>
      </c>
      <c r="B786" s="6" t="inlineStr">
        <is>
          <t>MOFAT</t>
        </is>
      </c>
      <c r="C786" s="7" t="inlineStr">
        <is>
          <t>A - Agen</t>
        </is>
      </c>
      <c r="D786" s="1" t="inlineStr">
        <is>
          <t>OP00003</t>
        </is>
      </c>
      <c r="E786" s="8" t="n">
        <v>44969.72708333333</v>
      </c>
      <c r="F786" s="7" t="inlineStr">
        <is>
          <t>AGEN</t>
        </is>
      </c>
      <c r="G786" s="18" t="inlineStr">
        <is>
          <t>OP05160</t>
        </is>
      </c>
      <c r="H786" s="19">
        <f>UPPER(Table3[[#This Row],[Agen id]]&amp;"-"&amp;VLOOKUP(Table3[[#This Row],[Agen id]],A:B,2,0)&amp;"("&amp;Table3[[#This Row],[Short]]&amp;")")</f>
        <v/>
      </c>
      <c r="J786" s="7">
        <f>VLOOKUP(Table3[[#This Row],[Agen id]],Agen!A:C,3,0)</f>
        <v/>
      </c>
      <c r="K786" s="37">
        <f>TRIM(LEFT(Table3[[#This Row],[Group]],2))</f>
        <v/>
      </c>
      <c r="L786" s="3" t="inlineStr">
        <is>
          <t>NON SALES</t>
        </is>
      </c>
    </row>
    <row r="787">
      <c r="A787" s="5" t="inlineStr">
        <is>
          <t>OP05171</t>
        </is>
      </c>
      <c r="B787" s="6" t="inlineStr">
        <is>
          <t>Ayusoraya</t>
        </is>
      </c>
      <c r="C787" s="7" t="inlineStr">
        <is>
          <t>AV - Agen Verified</t>
        </is>
      </c>
      <c r="D787" s="1" t="inlineStr">
        <is>
          <t>OP00615</t>
        </is>
      </c>
      <c r="E787" s="8" t="n">
        <v>44969.95069444444</v>
      </c>
      <c r="F787" s="7" t="inlineStr">
        <is>
          <t>DOWNLINE</t>
        </is>
      </c>
      <c r="G787" s="18" t="inlineStr">
        <is>
          <t>OP00049</t>
        </is>
      </c>
      <c r="H787" s="19">
        <f>UPPER(Table3[[#This Row],[Agen id]]&amp;"-"&amp;VLOOKUP(Table3[[#This Row],[Agen id]],A:B,2,0)&amp;"("&amp;Table3[[#This Row],[Short]]&amp;")")</f>
        <v/>
      </c>
      <c r="J787" s="7">
        <f>VLOOKUP(Table3[[#This Row],[Agen id]],Agen!A:C,3,0)</f>
        <v/>
      </c>
      <c r="K787" s="37">
        <f>TRIM(LEFT(Table3[[#This Row],[Group]],2))</f>
        <v/>
      </c>
      <c r="L787" s="3" t="inlineStr">
        <is>
          <t>NON SALES</t>
        </is>
      </c>
    </row>
    <row r="788">
      <c r="A788" s="5" t="inlineStr">
        <is>
          <t>OP05187</t>
        </is>
      </c>
      <c r="B788" s="6" t="inlineStr">
        <is>
          <t>Raden 2</t>
        </is>
      </c>
      <c r="C788" s="7" t="inlineStr">
        <is>
          <t>A - Agen</t>
        </is>
      </c>
      <c r="D788" s="1" t="inlineStr">
        <is>
          <t>OP00586</t>
        </is>
      </c>
      <c r="E788" s="8" t="n">
        <v>44970.65138888889</v>
      </c>
      <c r="F788" s="7" t="inlineStr">
        <is>
          <t>DOWNLINE</t>
        </is>
      </c>
      <c r="G788" s="18" t="inlineStr">
        <is>
          <t>OP00586</t>
        </is>
      </c>
      <c r="H788" s="19">
        <f>UPPER(Table3[[#This Row],[Agen id]]&amp;"-"&amp;VLOOKUP(Table3[[#This Row],[Agen id]],A:B,2,0)&amp;"("&amp;Table3[[#This Row],[Short]]&amp;")")</f>
        <v/>
      </c>
      <c r="J788" s="7">
        <f>VLOOKUP(Table3[[#This Row],[Agen id]],Agen!A:C,3,0)</f>
        <v/>
      </c>
      <c r="K788" s="37">
        <f>TRIM(LEFT(Table3[[#This Row],[Group]],2))</f>
        <v/>
      </c>
      <c r="L788" s="3" t="inlineStr">
        <is>
          <t>NON SALES</t>
        </is>
      </c>
    </row>
    <row r="789">
      <c r="A789" s="5" t="inlineStr">
        <is>
          <t>OP05192</t>
        </is>
      </c>
      <c r="B789" s="6" t="inlineStr">
        <is>
          <t>Kantapraja</t>
        </is>
      </c>
      <c r="C789" s="7" t="inlineStr">
        <is>
          <t>AV - Agen Verified</t>
        </is>
      </c>
      <c r="D789" s="1" t="inlineStr">
        <is>
          <t>OP00002</t>
        </is>
      </c>
      <c r="E789" s="8" t="n">
        <v>44970.91875</v>
      </c>
      <c r="F789" s="7" t="inlineStr">
        <is>
          <t>AGEN</t>
        </is>
      </c>
      <c r="G789" s="18" t="inlineStr">
        <is>
          <t>OP05192</t>
        </is>
      </c>
      <c r="H789" s="19">
        <f>UPPER(Table3[[#This Row],[Agen id]]&amp;"-"&amp;VLOOKUP(Table3[[#This Row],[Agen id]],A:B,2,0)&amp;"("&amp;Table3[[#This Row],[Short]]&amp;")")</f>
        <v/>
      </c>
      <c r="J789" s="7">
        <f>VLOOKUP(Table3[[#This Row],[Agen id]],Agen!A:C,3,0)</f>
        <v/>
      </c>
      <c r="K789" s="37">
        <f>TRIM(LEFT(Table3[[#This Row],[Group]],2))</f>
        <v/>
      </c>
      <c r="L789" s="3" t="inlineStr">
        <is>
          <t>NON SALES</t>
        </is>
      </c>
    </row>
    <row r="790">
      <c r="A790" s="5" t="inlineStr">
        <is>
          <t>OP05199</t>
        </is>
      </c>
      <c r="B790" s="6" t="inlineStr">
        <is>
          <t>Gustiawati Herlinda</t>
        </is>
      </c>
      <c r="C790" s="7" t="inlineStr">
        <is>
          <t>A - Agen</t>
        </is>
      </c>
      <c r="D790" s="1" t="inlineStr">
        <is>
          <t>OP03060</t>
        </is>
      </c>
      <c r="E790" s="8" t="n">
        <v>44971.55694444444</v>
      </c>
      <c r="F790" s="7" t="inlineStr">
        <is>
          <t>DOWNLINE</t>
        </is>
      </c>
      <c r="G790" s="18" t="inlineStr">
        <is>
          <t>OP00996</t>
        </is>
      </c>
      <c r="H790" s="19">
        <f>UPPER(Table3[[#This Row],[Agen id]]&amp;"-"&amp;VLOOKUP(Table3[[#This Row],[Agen id]],A:B,2,0)&amp;"("&amp;Table3[[#This Row],[Short]]&amp;")")</f>
        <v/>
      </c>
      <c r="J790" s="7">
        <f>VLOOKUP(Table3[[#This Row],[Agen id]],Agen!A:C,3,0)</f>
        <v/>
      </c>
      <c r="K790" s="37">
        <f>TRIM(LEFT(Table3[[#This Row],[Group]],2))</f>
        <v/>
      </c>
      <c r="L790" s="3" t="inlineStr">
        <is>
          <t>NON SALES</t>
        </is>
      </c>
    </row>
    <row r="791">
      <c r="A791" s="5" t="inlineStr">
        <is>
          <t>OP05206</t>
        </is>
      </c>
      <c r="B791" s="6" t="inlineStr">
        <is>
          <t>ACIH GURNALIS</t>
        </is>
      </c>
      <c r="C791" s="7" t="inlineStr">
        <is>
          <t>A - Agen</t>
        </is>
      </c>
      <c r="D791" s="1" t="inlineStr">
        <is>
          <t>OP00014</t>
        </is>
      </c>
      <c r="E791" s="8" t="n">
        <v>44971.76319444444</v>
      </c>
      <c r="F791" s="7" t="inlineStr">
        <is>
          <t>DOWNLINE</t>
        </is>
      </c>
      <c r="G791" s="18" t="inlineStr">
        <is>
          <t>OP00014</t>
        </is>
      </c>
      <c r="H791" s="19">
        <f>UPPER(Table3[[#This Row],[Agen id]]&amp;"-"&amp;VLOOKUP(Table3[[#This Row],[Agen id]],A:B,2,0)&amp;"("&amp;Table3[[#This Row],[Short]]&amp;")")</f>
        <v/>
      </c>
      <c r="J791" s="7">
        <f>VLOOKUP(Table3[[#This Row],[Agen id]],Agen!A:C,3,0)</f>
        <v/>
      </c>
      <c r="K791" s="37">
        <f>TRIM(LEFT(Table3[[#This Row],[Group]],2))</f>
        <v/>
      </c>
      <c r="L791" s="3" t="inlineStr">
        <is>
          <t>NON SALES</t>
        </is>
      </c>
    </row>
    <row r="792">
      <c r="A792" s="5" t="inlineStr">
        <is>
          <t>OP05212</t>
        </is>
      </c>
      <c r="B792" s="6" t="inlineStr">
        <is>
          <t>Lamba</t>
        </is>
      </c>
      <c r="C792" s="7" t="inlineStr">
        <is>
          <t>AV - Agen Verified</t>
        </is>
      </c>
      <c r="D792" s="1" t="inlineStr">
        <is>
          <t>OP00002</t>
        </is>
      </c>
      <c r="E792" s="8" t="n">
        <v>44972.74722222222</v>
      </c>
      <c r="F792" s="7" t="inlineStr">
        <is>
          <t>AGEN</t>
        </is>
      </c>
      <c r="G792" s="18" t="inlineStr">
        <is>
          <t>OP05212</t>
        </is>
      </c>
      <c r="H792" s="19">
        <f>UPPER(Table3[[#This Row],[Agen id]]&amp;"-"&amp;VLOOKUP(Table3[[#This Row],[Agen id]],A:B,2,0)&amp;"("&amp;Table3[[#This Row],[Short]]&amp;")")</f>
        <v/>
      </c>
      <c r="J792" s="7">
        <f>VLOOKUP(Table3[[#This Row],[Agen id]],Agen!A:C,3,0)</f>
        <v/>
      </c>
      <c r="K792" s="37">
        <f>TRIM(LEFT(Table3[[#This Row],[Group]],2))</f>
        <v/>
      </c>
      <c r="L792" s="3" t="inlineStr">
        <is>
          <t>NON SALES</t>
        </is>
      </c>
    </row>
    <row r="793">
      <c r="A793" s="5" t="inlineStr">
        <is>
          <t>OP05213</t>
        </is>
      </c>
      <c r="B793" s="6" t="inlineStr">
        <is>
          <t>Leni12</t>
        </is>
      </c>
      <c r="C793" s="7" t="inlineStr">
        <is>
          <t>AV - Agen Verified</t>
        </is>
      </c>
      <c r="D793" s="1" t="inlineStr">
        <is>
          <t>OP04307</t>
        </is>
      </c>
      <c r="E793" s="8" t="n">
        <v>44972.8125</v>
      </c>
      <c r="F793" s="7" t="inlineStr">
        <is>
          <t>DOWNLINE</t>
        </is>
      </c>
      <c r="G793" s="18" t="inlineStr">
        <is>
          <t>OP04307</t>
        </is>
      </c>
      <c r="H793" s="19">
        <f>UPPER(Table3[[#This Row],[Agen id]]&amp;"-"&amp;VLOOKUP(Table3[[#This Row],[Agen id]],A:B,2,0)&amp;"("&amp;Table3[[#This Row],[Short]]&amp;")")</f>
        <v/>
      </c>
      <c r="J793" s="7">
        <f>VLOOKUP(Table3[[#This Row],[Agen id]],Agen!A:C,3,0)</f>
        <v/>
      </c>
      <c r="K793" s="37">
        <f>TRIM(LEFT(Table3[[#This Row],[Group]],2))</f>
        <v/>
      </c>
      <c r="L793" s="3" t="inlineStr">
        <is>
          <t>NON SALES</t>
        </is>
      </c>
    </row>
    <row r="794">
      <c r="A794" s="5" t="inlineStr">
        <is>
          <t>OP05229</t>
        </is>
      </c>
      <c r="B794" s="6" t="inlineStr">
        <is>
          <t>Zara cell</t>
        </is>
      </c>
      <c r="C794" s="7" t="inlineStr">
        <is>
          <t>AV - Agen Verified</t>
        </is>
      </c>
      <c r="D794" s="1" t="inlineStr">
        <is>
          <t>OP00002</t>
        </is>
      </c>
      <c r="E794" s="8" t="n">
        <v>44973.28125</v>
      </c>
      <c r="F794" s="7" t="inlineStr">
        <is>
          <t>AGEN</t>
        </is>
      </c>
      <c r="G794" s="18" t="inlineStr">
        <is>
          <t>OP05229</t>
        </is>
      </c>
      <c r="H794" s="19">
        <f>UPPER(Table3[[#This Row],[Agen id]]&amp;"-"&amp;VLOOKUP(Table3[[#This Row],[Agen id]],A:B,2,0)&amp;"("&amp;Table3[[#This Row],[Short]]&amp;")")</f>
        <v/>
      </c>
      <c r="J794" s="7">
        <f>VLOOKUP(Table3[[#This Row],[Agen id]],Agen!A:C,3,0)</f>
        <v/>
      </c>
      <c r="K794" s="37">
        <f>TRIM(LEFT(Table3[[#This Row],[Group]],2))</f>
        <v/>
      </c>
      <c r="L794" s="3" t="inlineStr">
        <is>
          <t>NON SALES</t>
        </is>
      </c>
    </row>
    <row r="795">
      <c r="A795" s="5" t="inlineStr">
        <is>
          <t>OP05242</t>
        </is>
      </c>
      <c r="B795" s="6" t="inlineStr">
        <is>
          <t>Sirla ruvita</t>
        </is>
      </c>
      <c r="C795" s="7" t="inlineStr">
        <is>
          <t>A - Agen</t>
        </is>
      </c>
      <c r="D795" s="1" t="inlineStr">
        <is>
          <t>OP00996</t>
        </is>
      </c>
      <c r="E795" s="8" t="n">
        <v>44973.70763888889</v>
      </c>
      <c r="F795" s="7" t="inlineStr">
        <is>
          <t>DOWNLINE</t>
        </is>
      </c>
      <c r="G795" s="18" t="inlineStr">
        <is>
          <t>OP00996</t>
        </is>
      </c>
      <c r="H795" s="19">
        <f>UPPER(Table3[[#This Row],[Agen id]]&amp;"-"&amp;VLOOKUP(Table3[[#This Row],[Agen id]],A:B,2,0)&amp;"("&amp;Table3[[#This Row],[Short]]&amp;")")</f>
        <v/>
      </c>
      <c r="J795" s="7">
        <f>VLOOKUP(Table3[[#This Row],[Agen id]],Agen!A:C,3,0)</f>
        <v/>
      </c>
      <c r="K795" s="37">
        <f>TRIM(LEFT(Table3[[#This Row],[Group]],2))</f>
        <v/>
      </c>
      <c r="L795" s="3" t="inlineStr">
        <is>
          <t>NON SALES</t>
        </is>
      </c>
    </row>
    <row r="796">
      <c r="A796" s="5" t="inlineStr">
        <is>
          <t>OP05248</t>
        </is>
      </c>
      <c r="B796" s="6" t="inlineStr">
        <is>
          <t>Sakinah</t>
        </is>
      </c>
      <c r="C796" s="7" t="inlineStr">
        <is>
          <t>A - Agen</t>
        </is>
      </c>
      <c r="D796" s="1" t="inlineStr">
        <is>
          <t>OP05125</t>
        </is>
      </c>
      <c r="E796" s="8" t="n">
        <v>44973.85416666666</v>
      </c>
      <c r="F796" s="7" t="inlineStr">
        <is>
          <t>DOWNLINE</t>
        </is>
      </c>
      <c r="G796" s="18" t="inlineStr">
        <is>
          <t>OP05125</t>
        </is>
      </c>
      <c r="H796" s="19">
        <f>UPPER(Table3[[#This Row],[Agen id]]&amp;"-"&amp;VLOOKUP(Table3[[#This Row],[Agen id]],A:B,2,0)&amp;"("&amp;Table3[[#This Row],[Short]]&amp;")")</f>
        <v/>
      </c>
      <c r="J796" s="7">
        <f>VLOOKUP(Table3[[#This Row],[Agen id]],Agen!A:C,3,0)</f>
        <v/>
      </c>
      <c r="K796" s="37">
        <f>TRIM(LEFT(Table3[[#This Row],[Group]],2))</f>
        <v/>
      </c>
      <c r="L796" s="3" t="inlineStr">
        <is>
          <t>NON SALES</t>
        </is>
      </c>
    </row>
    <row r="797">
      <c r="A797" s="5" t="inlineStr">
        <is>
          <t>OP05261</t>
        </is>
      </c>
      <c r="B797" s="6" t="inlineStr">
        <is>
          <t>Rizawati</t>
        </is>
      </c>
      <c r="C797" s="7" t="inlineStr">
        <is>
          <t>A - Agen</t>
        </is>
      </c>
      <c r="D797" s="1" t="inlineStr">
        <is>
          <t>OP00002</t>
        </is>
      </c>
      <c r="E797" s="8" t="n">
        <v>44974.47638888889</v>
      </c>
      <c r="F797" s="7" t="inlineStr">
        <is>
          <t>AGEN</t>
        </is>
      </c>
      <c r="G797" s="18" t="inlineStr">
        <is>
          <t>OP05261</t>
        </is>
      </c>
      <c r="H797" s="19">
        <f>UPPER(Table3[[#This Row],[Agen id]]&amp;"-"&amp;VLOOKUP(Table3[[#This Row],[Agen id]],A:B,2,0)&amp;"("&amp;Table3[[#This Row],[Short]]&amp;")")</f>
        <v/>
      </c>
      <c r="J797" s="7">
        <f>VLOOKUP(Table3[[#This Row],[Agen id]],Agen!A:C,3,0)</f>
        <v/>
      </c>
      <c r="K797" s="37">
        <f>TRIM(LEFT(Table3[[#This Row],[Group]],2))</f>
        <v/>
      </c>
      <c r="L797" s="3" t="inlineStr">
        <is>
          <t>NON SALES</t>
        </is>
      </c>
    </row>
    <row r="798">
      <c r="A798" s="5" t="inlineStr">
        <is>
          <t>OP05266</t>
        </is>
      </c>
      <c r="B798" s="6" t="inlineStr">
        <is>
          <t>Irvin Ponsel</t>
        </is>
      </c>
      <c r="C798" s="7" t="inlineStr">
        <is>
          <t>AV - Agen Verified</t>
        </is>
      </c>
      <c r="D798" s="1" t="inlineStr">
        <is>
          <t>OP00003</t>
        </is>
      </c>
      <c r="E798" s="8" t="n">
        <v>44974.53402777778</v>
      </c>
      <c r="F798" s="7" t="inlineStr">
        <is>
          <t>AGEN</t>
        </is>
      </c>
      <c r="G798" s="18" t="inlineStr">
        <is>
          <t>OP05266</t>
        </is>
      </c>
      <c r="H798" s="19">
        <f>UPPER(Table3[[#This Row],[Agen id]]&amp;"-"&amp;VLOOKUP(Table3[[#This Row],[Agen id]],A:B,2,0)&amp;"("&amp;Table3[[#This Row],[Short]]&amp;")")</f>
        <v/>
      </c>
      <c r="J798" s="7">
        <f>VLOOKUP(Table3[[#This Row],[Agen id]],Agen!A:C,3,0)</f>
        <v/>
      </c>
      <c r="K798" s="37">
        <f>TRIM(LEFT(Table3[[#This Row],[Group]],2))</f>
        <v/>
      </c>
      <c r="L798" s="3" t="inlineStr">
        <is>
          <t>NON SALES</t>
        </is>
      </c>
    </row>
    <row r="799">
      <c r="A799" s="5" t="inlineStr">
        <is>
          <t>OP05284</t>
        </is>
      </c>
      <c r="B799" s="6" t="inlineStr">
        <is>
          <t>KARTINI</t>
        </is>
      </c>
      <c r="C799" s="7" t="inlineStr">
        <is>
          <t>A - Agen</t>
        </is>
      </c>
      <c r="D799" s="1" t="inlineStr">
        <is>
          <t>OP00002</t>
        </is>
      </c>
      <c r="E799" s="8" t="n">
        <v>44975.51180555556</v>
      </c>
      <c r="F799" s="7" t="inlineStr">
        <is>
          <t>DOWNLINE</t>
        </is>
      </c>
      <c r="G799" s="18" t="inlineStr">
        <is>
          <t>OP04153</t>
        </is>
      </c>
      <c r="H799" s="19">
        <f>UPPER(Table3[[#This Row],[Agen id]]&amp;"-"&amp;VLOOKUP(Table3[[#This Row],[Agen id]],A:B,2,0)&amp;"("&amp;Table3[[#This Row],[Short]]&amp;")")</f>
        <v/>
      </c>
      <c r="J799" s="7">
        <f>VLOOKUP(Table3[[#This Row],[Agen id]],Agen!A:C,3,0)</f>
        <v/>
      </c>
      <c r="K799" s="37">
        <f>TRIM(LEFT(Table3[[#This Row],[Group]],2))</f>
        <v/>
      </c>
      <c r="L799" s="3" t="inlineStr">
        <is>
          <t>NON SALES</t>
        </is>
      </c>
    </row>
    <row r="800">
      <c r="A800" s="5" t="inlineStr">
        <is>
          <t>OP05289</t>
        </is>
      </c>
      <c r="B800" s="6" t="inlineStr">
        <is>
          <t>MAKSUM CELL</t>
        </is>
      </c>
      <c r="C800" s="7" t="inlineStr">
        <is>
          <t>AV - Agen Verified</t>
        </is>
      </c>
      <c r="D800" s="1" t="inlineStr">
        <is>
          <t>OP00688</t>
        </is>
      </c>
      <c r="E800" s="8" t="n">
        <v>44975.60902777778</v>
      </c>
      <c r="F800" s="7" t="inlineStr">
        <is>
          <t>DOWNLINE</t>
        </is>
      </c>
      <c r="G800" s="18" t="inlineStr">
        <is>
          <t>OP00688</t>
        </is>
      </c>
      <c r="H800" s="19">
        <f>UPPER(Table3[[#This Row],[Agen id]]&amp;"-"&amp;VLOOKUP(Table3[[#This Row],[Agen id]],A:B,2,0)&amp;"("&amp;Table3[[#This Row],[Short]]&amp;")")</f>
        <v/>
      </c>
      <c r="J800" s="7">
        <f>VLOOKUP(Table3[[#This Row],[Agen id]],Agen!A:C,3,0)</f>
        <v/>
      </c>
      <c r="K800" s="37">
        <f>TRIM(LEFT(Table3[[#This Row],[Group]],2))</f>
        <v/>
      </c>
      <c r="L800" s="3" t="inlineStr">
        <is>
          <t>NON SALES</t>
        </is>
      </c>
    </row>
    <row r="801">
      <c r="A801" s="5" t="inlineStr">
        <is>
          <t>OP05311</t>
        </is>
      </c>
      <c r="B801" s="6" t="inlineStr">
        <is>
          <t>Efrinaldi</t>
        </is>
      </c>
      <c r="C801" s="7" t="inlineStr">
        <is>
          <t>A - Agen</t>
        </is>
      </c>
      <c r="D801" s="1" t="inlineStr">
        <is>
          <t>OP00002</t>
        </is>
      </c>
      <c r="E801" s="8" t="n">
        <v>44976.45208333333</v>
      </c>
      <c r="F801" s="7" t="inlineStr">
        <is>
          <t>AGEN</t>
        </is>
      </c>
      <c r="G801" s="18" t="inlineStr">
        <is>
          <t>OP05311</t>
        </is>
      </c>
      <c r="H801" s="19">
        <f>UPPER(Table3[[#This Row],[Agen id]]&amp;"-"&amp;VLOOKUP(Table3[[#This Row],[Agen id]],A:B,2,0)&amp;"("&amp;Table3[[#This Row],[Short]]&amp;")")</f>
        <v/>
      </c>
      <c r="J801" s="7">
        <f>VLOOKUP(Table3[[#This Row],[Agen id]],Agen!A:C,3,0)</f>
        <v/>
      </c>
      <c r="K801" s="37">
        <f>TRIM(LEFT(Table3[[#This Row],[Group]],2))</f>
        <v/>
      </c>
      <c r="L801" s="3" t="inlineStr">
        <is>
          <t>NON SALES</t>
        </is>
      </c>
    </row>
    <row r="802">
      <c r="A802" s="5" t="inlineStr">
        <is>
          <t>OP05313</t>
        </is>
      </c>
      <c r="B802" s="6" t="inlineStr">
        <is>
          <t>GOZINCELL</t>
        </is>
      </c>
      <c r="C802" s="7" t="inlineStr">
        <is>
          <t>AV - Agen Verified</t>
        </is>
      </c>
      <c r="D802" s="1" t="inlineStr">
        <is>
          <t>OP00002</t>
        </is>
      </c>
      <c r="E802" s="8" t="n">
        <v>44976.50694444445</v>
      </c>
      <c r="F802" s="7" t="inlineStr">
        <is>
          <t>AGEN</t>
        </is>
      </c>
      <c r="G802" s="18" t="inlineStr">
        <is>
          <t>OP05313</t>
        </is>
      </c>
      <c r="H802" s="19">
        <f>UPPER(Table3[[#This Row],[Agen id]]&amp;"-"&amp;VLOOKUP(Table3[[#This Row],[Agen id]],A:B,2,0)&amp;"("&amp;Table3[[#This Row],[Short]]&amp;")")</f>
        <v/>
      </c>
      <c r="J802" s="7">
        <f>VLOOKUP(Table3[[#This Row],[Agen id]],Agen!A:C,3,0)</f>
        <v/>
      </c>
      <c r="K802" s="37">
        <f>TRIM(LEFT(Table3[[#This Row],[Group]],2))</f>
        <v/>
      </c>
      <c r="L802" s="3" t="inlineStr">
        <is>
          <t>NON SALES</t>
        </is>
      </c>
    </row>
    <row r="803">
      <c r="A803" s="5" t="inlineStr">
        <is>
          <t>OP05318</t>
        </is>
      </c>
      <c r="B803" s="6" t="inlineStr">
        <is>
          <t>Afi ponsel</t>
        </is>
      </c>
      <c r="C803" s="7" t="inlineStr">
        <is>
          <t>A - Agen</t>
        </is>
      </c>
      <c r="D803" s="1" t="inlineStr">
        <is>
          <t>OP00002</t>
        </is>
      </c>
      <c r="E803" s="8" t="n">
        <v>44976.64930555555</v>
      </c>
      <c r="F803" s="7" t="inlineStr">
        <is>
          <t>AGEN</t>
        </is>
      </c>
      <c r="G803" s="18" t="inlineStr">
        <is>
          <t>OP05318</t>
        </is>
      </c>
      <c r="H803" s="19">
        <f>UPPER(Table3[[#This Row],[Agen id]]&amp;"-"&amp;VLOOKUP(Table3[[#This Row],[Agen id]],A:B,2,0)&amp;"("&amp;Table3[[#This Row],[Short]]&amp;")")</f>
        <v/>
      </c>
      <c r="J803" s="7">
        <f>VLOOKUP(Table3[[#This Row],[Agen id]],Agen!A:C,3,0)</f>
        <v/>
      </c>
      <c r="K803" s="37">
        <f>TRIM(LEFT(Table3[[#This Row],[Group]],2))</f>
        <v/>
      </c>
      <c r="L803" s="3" t="inlineStr">
        <is>
          <t>NON SALES</t>
        </is>
      </c>
    </row>
    <row r="804">
      <c r="A804" s="5" t="inlineStr">
        <is>
          <t>OP05330</t>
        </is>
      </c>
      <c r="B804" s="6" t="inlineStr">
        <is>
          <t>Bendot08Cell</t>
        </is>
      </c>
      <c r="C804" s="7" t="inlineStr">
        <is>
          <t>A - Agen</t>
        </is>
      </c>
      <c r="D804" s="1" t="inlineStr">
        <is>
          <t>OP00996</t>
        </is>
      </c>
      <c r="E804" s="8" t="n">
        <v>44977.34791666667</v>
      </c>
      <c r="F804" s="7" t="inlineStr">
        <is>
          <t>DOWNLINE</t>
        </is>
      </c>
      <c r="G804" s="18" t="inlineStr">
        <is>
          <t>OP00996</t>
        </is>
      </c>
      <c r="H804" s="19">
        <f>UPPER(Table3[[#This Row],[Agen id]]&amp;"-"&amp;VLOOKUP(Table3[[#This Row],[Agen id]],A:B,2,0)&amp;"("&amp;Table3[[#This Row],[Short]]&amp;")")</f>
        <v/>
      </c>
      <c r="J804" s="7">
        <f>VLOOKUP(Table3[[#This Row],[Agen id]],Agen!A:C,3,0)</f>
        <v/>
      </c>
      <c r="K804" s="37">
        <f>TRIM(LEFT(Table3[[#This Row],[Group]],2))</f>
        <v/>
      </c>
      <c r="L804" s="3" t="inlineStr">
        <is>
          <t>NON SALES</t>
        </is>
      </c>
    </row>
    <row r="805">
      <c r="A805" s="5" t="inlineStr">
        <is>
          <t>OP05333</t>
        </is>
      </c>
      <c r="B805" s="6" t="inlineStr">
        <is>
          <t>Alif cell</t>
        </is>
      </c>
      <c r="C805" s="7" t="inlineStr">
        <is>
          <t>A - Agen</t>
        </is>
      </c>
      <c r="D805" s="1" t="inlineStr">
        <is>
          <t>OP00002</t>
        </is>
      </c>
      <c r="E805" s="8" t="n">
        <v>44977.44444444445</v>
      </c>
      <c r="F805" s="7" t="inlineStr">
        <is>
          <t>AGEN</t>
        </is>
      </c>
      <c r="G805" s="18" t="inlineStr">
        <is>
          <t>OP05333</t>
        </is>
      </c>
      <c r="H805" s="19">
        <f>UPPER(Table3[[#This Row],[Agen id]]&amp;"-"&amp;VLOOKUP(Table3[[#This Row],[Agen id]],A:B,2,0)&amp;"("&amp;Table3[[#This Row],[Short]]&amp;")")</f>
        <v/>
      </c>
      <c r="J805" s="7">
        <f>VLOOKUP(Table3[[#This Row],[Agen id]],Agen!A:C,3,0)</f>
        <v/>
      </c>
      <c r="K805" s="37">
        <f>TRIM(LEFT(Table3[[#This Row],[Group]],2))</f>
        <v/>
      </c>
      <c r="L805" s="3" t="inlineStr">
        <is>
          <t>NON SALES</t>
        </is>
      </c>
    </row>
    <row r="806">
      <c r="A806" s="5" t="inlineStr">
        <is>
          <t>OP05339</t>
        </is>
      </c>
      <c r="B806" s="6" t="inlineStr">
        <is>
          <t>masna tino</t>
        </is>
      </c>
      <c r="C806" s="7" t="inlineStr">
        <is>
          <t>A - Agen</t>
        </is>
      </c>
      <c r="D806" s="1" t="inlineStr">
        <is>
          <t>OP04706</t>
        </is>
      </c>
      <c r="E806" s="8" t="n">
        <v>44977.63541666666</v>
      </c>
      <c r="F806" s="7" t="inlineStr">
        <is>
          <t>DOWNLINE</t>
        </is>
      </c>
      <c r="G806" s="18" t="inlineStr">
        <is>
          <t>OP04706</t>
        </is>
      </c>
      <c r="H806" s="19">
        <f>UPPER(Table3[[#This Row],[Agen id]]&amp;"-"&amp;VLOOKUP(Table3[[#This Row],[Agen id]],A:B,2,0)&amp;"("&amp;Table3[[#This Row],[Short]]&amp;")")</f>
        <v/>
      </c>
      <c r="J806" s="7">
        <f>VLOOKUP(Table3[[#This Row],[Agen id]],Agen!A:C,3,0)</f>
        <v/>
      </c>
      <c r="K806" s="37">
        <f>TRIM(LEFT(Table3[[#This Row],[Group]],2))</f>
        <v/>
      </c>
      <c r="L806" s="3" t="inlineStr">
        <is>
          <t>NON SALES</t>
        </is>
      </c>
    </row>
    <row r="807">
      <c r="A807" s="5" t="inlineStr">
        <is>
          <t>OP05340</t>
        </is>
      </c>
      <c r="B807" s="6" t="inlineStr">
        <is>
          <t>Tuti</t>
        </is>
      </c>
      <c r="C807" s="7" t="inlineStr">
        <is>
          <t>AV - Agen Verified</t>
        </is>
      </c>
      <c r="D807" s="1" t="inlineStr">
        <is>
          <t>OP00003</t>
        </is>
      </c>
      <c r="E807" s="8" t="n">
        <v>44977.67361111111</v>
      </c>
      <c r="F807" s="7" t="inlineStr">
        <is>
          <t>AGEN</t>
        </is>
      </c>
      <c r="G807" s="18" t="inlineStr">
        <is>
          <t>OP05340</t>
        </is>
      </c>
      <c r="H807" s="19">
        <f>UPPER(Table3[[#This Row],[Agen id]]&amp;"-"&amp;VLOOKUP(Table3[[#This Row],[Agen id]],A:B,2,0)&amp;"("&amp;Table3[[#This Row],[Short]]&amp;")")</f>
        <v/>
      </c>
      <c r="J807" s="7">
        <f>VLOOKUP(Table3[[#This Row],[Agen id]],Agen!A:C,3,0)</f>
        <v/>
      </c>
      <c r="K807" s="37">
        <f>TRIM(LEFT(Table3[[#This Row],[Group]],2))</f>
        <v/>
      </c>
      <c r="L807" s="3" t="inlineStr">
        <is>
          <t>NON SALES</t>
        </is>
      </c>
    </row>
    <row r="808">
      <c r="A808" s="5" t="inlineStr">
        <is>
          <t>OP05342</t>
        </is>
      </c>
      <c r="B808" s="6" t="inlineStr">
        <is>
          <t>Anjisha</t>
        </is>
      </c>
      <c r="C808" s="7" t="inlineStr">
        <is>
          <t>A - Agen</t>
        </is>
      </c>
      <c r="D808" s="1" t="inlineStr">
        <is>
          <t>OP00002</t>
        </is>
      </c>
      <c r="E808" s="8" t="n">
        <v>44977.68680555555</v>
      </c>
      <c r="F808" s="7" t="inlineStr">
        <is>
          <t>AGEN</t>
        </is>
      </c>
      <c r="G808" s="18" t="inlineStr">
        <is>
          <t>OP05342</t>
        </is>
      </c>
      <c r="H808" s="19">
        <f>UPPER(Table3[[#This Row],[Agen id]]&amp;"-"&amp;VLOOKUP(Table3[[#This Row],[Agen id]],A:B,2,0)&amp;"("&amp;Table3[[#This Row],[Short]]&amp;")")</f>
        <v/>
      </c>
      <c r="J808" s="7">
        <f>VLOOKUP(Table3[[#This Row],[Agen id]],Agen!A:C,3,0)</f>
        <v/>
      </c>
      <c r="K808" s="37">
        <f>TRIM(LEFT(Table3[[#This Row],[Group]],2))</f>
        <v/>
      </c>
      <c r="L808" s="3" t="inlineStr">
        <is>
          <t>NON SALES</t>
        </is>
      </c>
    </row>
    <row r="809">
      <c r="A809" s="5" t="inlineStr">
        <is>
          <t>OP05345</t>
        </is>
      </c>
      <c r="B809" s="6" t="inlineStr">
        <is>
          <t>Asrianicell</t>
        </is>
      </c>
      <c r="C809" s="7" t="inlineStr">
        <is>
          <t>A - Agen</t>
        </is>
      </c>
      <c r="D809" s="1" t="inlineStr">
        <is>
          <t>OP02233</t>
        </is>
      </c>
      <c r="E809" s="8" t="n">
        <v>44977.77569444444</v>
      </c>
      <c r="F809" s="7" t="inlineStr">
        <is>
          <t>DOWNLINE</t>
        </is>
      </c>
      <c r="G809" s="18" t="inlineStr">
        <is>
          <t>OP02233</t>
        </is>
      </c>
      <c r="H809" s="19">
        <f>UPPER(Table3[[#This Row],[Agen id]]&amp;"-"&amp;VLOOKUP(Table3[[#This Row],[Agen id]],A:B,2,0)&amp;"("&amp;Table3[[#This Row],[Short]]&amp;")")</f>
        <v/>
      </c>
      <c r="J809" s="7">
        <f>VLOOKUP(Table3[[#This Row],[Agen id]],Agen!A:C,3,0)</f>
        <v/>
      </c>
      <c r="K809" s="37">
        <f>TRIM(LEFT(Table3[[#This Row],[Group]],2))</f>
        <v/>
      </c>
      <c r="L809" s="3" t="inlineStr">
        <is>
          <t>NON SALES</t>
        </is>
      </c>
    </row>
    <row r="810">
      <c r="A810" s="5" t="inlineStr">
        <is>
          <t>OP05349</t>
        </is>
      </c>
      <c r="B810" s="6" t="inlineStr">
        <is>
          <t>Hamdi</t>
        </is>
      </c>
      <c r="C810" s="7" t="inlineStr">
        <is>
          <t>A - Agen</t>
        </is>
      </c>
      <c r="D810" s="1" t="inlineStr">
        <is>
          <t>OP00002</t>
        </is>
      </c>
      <c r="E810" s="8" t="n">
        <v>44977.85555555556</v>
      </c>
      <c r="F810" s="7" t="inlineStr">
        <is>
          <t>AGEN</t>
        </is>
      </c>
      <c r="G810" s="18" t="inlineStr">
        <is>
          <t>OP05349</t>
        </is>
      </c>
      <c r="H810" s="19">
        <f>UPPER(Table3[[#This Row],[Agen id]]&amp;"-"&amp;VLOOKUP(Table3[[#This Row],[Agen id]],A:B,2,0)&amp;"("&amp;Table3[[#This Row],[Short]]&amp;")")</f>
        <v/>
      </c>
      <c r="J810" s="7">
        <f>VLOOKUP(Table3[[#This Row],[Agen id]],Agen!A:C,3,0)</f>
        <v/>
      </c>
      <c r="K810" s="37">
        <f>TRIM(LEFT(Table3[[#This Row],[Group]],2))</f>
        <v/>
      </c>
      <c r="L810" s="3" t="inlineStr">
        <is>
          <t>NON SALES</t>
        </is>
      </c>
    </row>
    <row r="811">
      <c r="A811" s="5" t="inlineStr">
        <is>
          <t>OP05359</t>
        </is>
      </c>
      <c r="B811" s="6" t="inlineStr">
        <is>
          <t>Jhonal</t>
        </is>
      </c>
      <c r="C811" s="7" t="inlineStr">
        <is>
          <t>AV - Agen Verified</t>
        </is>
      </c>
      <c r="D811" s="1" t="inlineStr">
        <is>
          <t>OP00002</t>
        </is>
      </c>
      <c r="E811" s="8" t="n">
        <v>44978.40555555555</v>
      </c>
      <c r="F811" s="7" t="inlineStr">
        <is>
          <t>AGEN</t>
        </is>
      </c>
      <c r="G811" s="18" t="inlineStr">
        <is>
          <t>OP05359</t>
        </is>
      </c>
      <c r="H811" s="19">
        <f>UPPER(Table3[[#This Row],[Agen id]]&amp;"-"&amp;VLOOKUP(Table3[[#This Row],[Agen id]],A:B,2,0)&amp;"("&amp;Table3[[#This Row],[Short]]&amp;")")</f>
        <v/>
      </c>
      <c r="J811" s="7">
        <f>VLOOKUP(Table3[[#This Row],[Agen id]],Agen!A:C,3,0)</f>
        <v/>
      </c>
      <c r="K811" s="37">
        <f>TRIM(LEFT(Table3[[#This Row],[Group]],2))</f>
        <v/>
      </c>
      <c r="L811" s="3" t="inlineStr">
        <is>
          <t>NON SALES</t>
        </is>
      </c>
    </row>
    <row r="812">
      <c r="A812" s="5" t="inlineStr">
        <is>
          <t>OP05367</t>
        </is>
      </c>
      <c r="B812" s="6" t="inlineStr">
        <is>
          <t>RAHMAN</t>
        </is>
      </c>
      <c r="C812" s="7" t="inlineStr">
        <is>
          <t>AB1 - Agen Kab Bogor</t>
        </is>
      </c>
      <c r="D812" s="1" t="inlineStr">
        <is>
          <t>OP04210</t>
        </is>
      </c>
      <c r="E812" s="8" t="n">
        <v>44978.56527777778</v>
      </c>
      <c r="F812" s="7" t="inlineStr">
        <is>
          <t>DOWNLINE</t>
        </is>
      </c>
      <c r="G812" s="18" t="inlineStr">
        <is>
          <t>OP00036</t>
        </is>
      </c>
      <c r="H812" s="19">
        <f>UPPER(Table3[[#This Row],[Agen id]]&amp;"-"&amp;VLOOKUP(Table3[[#This Row],[Agen id]],A:B,2,0)&amp;"("&amp;Table3[[#This Row],[Short]]&amp;")")</f>
        <v/>
      </c>
      <c r="J812" s="7">
        <f>VLOOKUP(Table3[[#This Row],[Agen id]],Agen!A:C,3,0)</f>
        <v/>
      </c>
      <c r="K812" s="37">
        <f>TRIM(LEFT(Table3[[#This Row],[Group]],2))</f>
        <v/>
      </c>
      <c r="L812" s="3" t="inlineStr">
        <is>
          <t>NON SALES</t>
        </is>
      </c>
    </row>
    <row r="813">
      <c r="A813" s="5" t="inlineStr">
        <is>
          <t>OP05374</t>
        </is>
      </c>
      <c r="B813" s="6" t="inlineStr">
        <is>
          <t>Sudrajat Cell</t>
        </is>
      </c>
      <c r="C813" s="7" t="inlineStr">
        <is>
          <t>A - Agen</t>
        </is>
      </c>
      <c r="D813" s="1" t="inlineStr">
        <is>
          <t>OP02233</t>
        </is>
      </c>
      <c r="E813" s="8" t="n">
        <v>44978.77083333334</v>
      </c>
      <c r="F813" s="7" t="inlineStr">
        <is>
          <t>DOWNLINE</t>
        </is>
      </c>
      <c r="G813" s="18" t="inlineStr">
        <is>
          <t>OP02233</t>
        </is>
      </c>
      <c r="H813" s="19">
        <f>UPPER(Table3[[#This Row],[Agen id]]&amp;"-"&amp;VLOOKUP(Table3[[#This Row],[Agen id]],A:B,2,0)&amp;"("&amp;Table3[[#This Row],[Short]]&amp;")")</f>
        <v/>
      </c>
      <c r="J813" s="7">
        <f>VLOOKUP(Table3[[#This Row],[Agen id]],Agen!A:C,3,0)</f>
        <v/>
      </c>
      <c r="K813" s="37">
        <f>TRIM(LEFT(Table3[[#This Row],[Group]],2))</f>
        <v/>
      </c>
      <c r="L813" s="3" t="inlineStr">
        <is>
          <t>NON SALES</t>
        </is>
      </c>
    </row>
    <row r="814">
      <c r="A814" s="5" t="inlineStr">
        <is>
          <t>OP05378</t>
        </is>
      </c>
      <c r="B814" s="6" t="inlineStr">
        <is>
          <t>Arya</t>
        </is>
      </c>
      <c r="C814" s="7" t="inlineStr">
        <is>
          <t>A - Agen</t>
        </is>
      </c>
      <c r="D814" s="1" t="inlineStr">
        <is>
          <t>OP00002</t>
        </is>
      </c>
      <c r="E814" s="8" t="n">
        <v>44978.83402777778</v>
      </c>
      <c r="F814" s="7" t="inlineStr">
        <is>
          <t>AGEN</t>
        </is>
      </c>
      <c r="G814" s="18" t="inlineStr">
        <is>
          <t>OP05378</t>
        </is>
      </c>
      <c r="H814" s="19">
        <f>UPPER(Table3[[#This Row],[Agen id]]&amp;"-"&amp;VLOOKUP(Table3[[#This Row],[Agen id]],A:B,2,0)&amp;"("&amp;Table3[[#This Row],[Short]]&amp;")")</f>
        <v/>
      </c>
      <c r="J814" s="7">
        <f>VLOOKUP(Table3[[#This Row],[Agen id]],Agen!A:C,3,0)</f>
        <v/>
      </c>
      <c r="K814" s="37">
        <f>TRIM(LEFT(Table3[[#This Row],[Group]],2))</f>
        <v/>
      </c>
      <c r="L814" s="3" t="inlineStr">
        <is>
          <t>NON SALES</t>
        </is>
      </c>
    </row>
    <row r="815">
      <c r="A815" s="5" t="inlineStr">
        <is>
          <t>OP05382</t>
        </is>
      </c>
      <c r="B815" s="6" t="inlineStr">
        <is>
          <t>Pamungkas Catur Pryambodo</t>
        </is>
      </c>
      <c r="C815" s="7" t="inlineStr">
        <is>
          <t>A - Agen</t>
        </is>
      </c>
      <c r="D815" s="1" t="inlineStr">
        <is>
          <t>OP00002</t>
        </is>
      </c>
      <c r="E815" s="8" t="n">
        <v>44978.89305555556</v>
      </c>
      <c r="F815" s="7" t="inlineStr">
        <is>
          <t>AGEN</t>
        </is>
      </c>
      <c r="G815" s="18" t="inlineStr">
        <is>
          <t>OP05382</t>
        </is>
      </c>
      <c r="H815" s="19">
        <f>UPPER(Table3[[#This Row],[Agen id]]&amp;"-"&amp;VLOOKUP(Table3[[#This Row],[Agen id]],A:B,2,0)&amp;"("&amp;Table3[[#This Row],[Short]]&amp;")")</f>
        <v/>
      </c>
      <c r="J815" s="7">
        <f>VLOOKUP(Table3[[#This Row],[Agen id]],Agen!A:C,3,0)</f>
        <v/>
      </c>
      <c r="K815" s="37">
        <f>TRIM(LEFT(Table3[[#This Row],[Group]],2))</f>
        <v/>
      </c>
      <c r="L815" s="3" t="inlineStr">
        <is>
          <t>NON SALES</t>
        </is>
      </c>
    </row>
    <row r="816">
      <c r="A816" s="5" t="inlineStr">
        <is>
          <t>OP05385</t>
        </is>
      </c>
      <c r="B816" s="6" t="inlineStr">
        <is>
          <t>Junaedi ansari</t>
        </is>
      </c>
      <c r="C816" s="7" t="inlineStr">
        <is>
          <t>A - Agen</t>
        </is>
      </c>
      <c r="D816" s="1" t="inlineStr">
        <is>
          <t>OP00002</t>
        </is>
      </c>
      <c r="E816" s="8" t="n">
        <v>44978.99583333333</v>
      </c>
      <c r="F816" s="7" t="inlineStr">
        <is>
          <t>AGEN</t>
        </is>
      </c>
      <c r="G816" s="18" t="inlineStr">
        <is>
          <t>OP05385</t>
        </is>
      </c>
      <c r="H816" s="19">
        <f>UPPER(Table3[[#This Row],[Agen id]]&amp;"-"&amp;VLOOKUP(Table3[[#This Row],[Agen id]],A:B,2,0)&amp;"("&amp;Table3[[#This Row],[Short]]&amp;")")</f>
        <v/>
      </c>
      <c r="J816" s="7">
        <f>VLOOKUP(Table3[[#This Row],[Agen id]],Agen!A:C,3,0)</f>
        <v/>
      </c>
      <c r="K816" s="37">
        <f>TRIM(LEFT(Table3[[#This Row],[Group]],2))</f>
        <v/>
      </c>
      <c r="L816" s="3" t="inlineStr">
        <is>
          <t>NON SALES</t>
        </is>
      </c>
    </row>
    <row r="817">
      <c r="A817" s="5" t="inlineStr">
        <is>
          <t>OP05409</t>
        </is>
      </c>
      <c r="B817" s="6" t="inlineStr">
        <is>
          <t>Berkah cell</t>
        </is>
      </c>
      <c r="C817" s="7" t="inlineStr">
        <is>
          <t>AV - Agen Verified</t>
        </is>
      </c>
      <c r="D817" s="1" t="inlineStr">
        <is>
          <t>OP00002</t>
        </is>
      </c>
      <c r="E817" s="8" t="n">
        <v>44979.83402777778</v>
      </c>
      <c r="F817" s="7" t="inlineStr">
        <is>
          <t>AGEN</t>
        </is>
      </c>
      <c r="G817" s="18" t="inlineStr">
        <is>
          <t>OP05409</t>
        </is>
      </c>
      <c r="H817" s="19">
        <f>UPPER(Table3[[#This Row],[Agen id]]&amp;"-"&amp;VLOOKUP(Table3[[#This Row],[Agen id]],A:B,2,0)&amp;"("&amp;Table3[[#This Row],[Short]]&amp;")")</f>
        <v/>
      </c>
      <c r="J817" s="7">
        <f>VLOOKUP(Table3[[#This Row],[Agen id]],Agen!A:C,3,0)</f>
        <v/>
      </c>
      <c r="K817" s="37">
        <f>TRIM(LEFT(Table3[[#This Row],[Group]],2))</f>
        <v/>
      </c>
      <c r="L817" s="3" t="inlineStr">
        <is>
          <t>NON SALES</t>
        </is>
      </c>
    </row>
    <row r="818">
      <c r="A818" s="5" t="inlineStr">
        <is>
          <t>OP05420</t>
        </is>
      </c>
      <c r="B818" s="6" t="inlineStr">
        <is>
          <t>Hadi</t>
        </is>
      </c>
      <c r="C818" s="7" t="inlineStr">
        <is>
          <t>A - Agen</t>
        </is>
      </c>
      <c r="D818" s="1" t="inlineStr">
        <is>
          <t>OP00003</t>
        </is>
      </c>
      <c r="E818" s="8" t="n">
        <v>44980.3125</v>
      </c>
      <c r="F818" s="7" t="inlineStr">
        <is>
          <t>AGEN</t>
        </is>
      </c>
      <c r="G818" s="18" t="inlineStr">
        <is>
          <t>OP05420</t>
        </is>
      </c>
      <c r="H818" s="19">
        <f>UPPER(Table3[[#This Row],[Agen id]]&amp;"-"&amp;VLOOKUP(Table3[[#This Row],[Agen id]],A:B,2,0)&amp;"("&amp;Table3[[#This Row],[Short]]&amp;")")</f>
        <v/>
      </c>
      <c r="J818" s="7">
        <f>VLOOKUP(Table3[[#This Row],[Agen id]],Agen!A:C,3,0)</f>
        <v/>
      </c>
      <c r="K818" s="37">
        <f>TRIM(LEFT(Table3[[#This Row],[Group]],2))</f>
        <v/>
      </c>
      <c r="L818" s="3" t="inlineStr">
        <is>
          <t>NON SALES</t>
        </is>
      </c>
    </row>
    <row r="819">
      <c r="A819" s="5" t="inlineStr">
        <is>
          <t>OP05421</t>
        </is>
      </c>
      <c r="B819" s="6" t="inlineStr">
        <is>
          <t>Fatina</t>
        </is>
      </c>
      <c r="C819" s="7" t="inlineStr">
        <is>
          <t>A - Agen</t>
        </is>
      </c>
      <c r="D819" s="1" t="inlineStr">
        <is>
          <t>OP00002</t>
        </is>
      </c>
      <c r="E819" s="8" t="n">
        <v>44980.31319444445</v>
      </c>
      <c r="F819" s="7" t="inlineStr">
        <is>
          <t>AGEN</t>
        </is>
      </c>
      <c r="G819" s="18" t="inlineStr">
        <is>
          <t>OP05421</t>
        </is>
      </c>
      <c r="H819" s="19">
        <f>UPPER(Table3[[#This Row],[Agen id]]&amp;"-"&amp;VLOOKUP(Table3[[#This Row],[Agen id]],A:B,2,0)&amp;"("&amp;Table3[[#This Row],[Short]]&amp;")")</f>
        <v/>
      </c>
      <c r="J819" s="7">
        <f>VLOOKUP(Table3[[#This Row],[Agen id]],Agen!A:C,3,0)</f>
        <v/>
      </c>
      <c r="K819" s="37">
        <f>TRIM(LEFT(Table3[[#This Row],[Group]],2))</f>
        <v/>
      </c>
      <c r="L819" s="3" t="inlineStr">
        <is>
          <t>NON SALES</t>
        </is>
      </c>
    </row>
    <row r="820">
      <c r="A820" s="5" t="inlineStr">
        <is>
          <t>OP05435</t>
        </is>
      </c>
      <c r="B820" s="6" t="inlineStr">
        <is>
          <t>Zulkifli</t>
        </is>
      </c>
      <c r="C820" s="7" t="inlineStr">
        <is>
          <t>AV - Agen Verified</t>
        </is>
      </c>
      <c r="D820" s="1" t="inlineStr">
        <is>
          <t>OP00002</t>
        </is>
      </c>
      <c r="E820" s="8" t="n">
        <v>44980.7375</v>
      </c>
      <c r="F820" s="7" t="inlineStr">
        <is>
          <t>AGEN</t>
        </is>
      </c>
      <c r="G820" s="18" t="inlineStr">
        <is>
          <t>OP05435</t>
        </is>
      </c>
      <c r="H820" s="19">
        <f>UPPER(Table3[[#This Row],[Agen id]]&amp;"-"&amp;VLOOKUP(Table3[[#This Row],[Agen id]],A:B,2,0)&amp;"("&amp;Table3[[#This Row],[Short]]&amp;")")</f>
        <v/>
      </c>
      <c r="J820" s="7">
        <f>VLOOKUP(Table3[[#This Row],[Agen id]],Agen!A:C,3,0)</f>
        <v/>
      </c>
      <c r="K820" s="37">
        <f>TRIM(LEFT(Table3[[#This Row],[Group]],2))</f>
        <v/>
      </c>
      <c r="L820" s="3" t="inlineStr">
        <is>
          <t>NON SALES</t>
        </is>
      </c>
    </row>
    <row r="821">
      <c r="A821" s="9" t="inlineStr">
        <is>
          <t>OP05443</t>
        </is>
      </c>
      <c r="B821" s="10" t="inlineStr">
        <is>
          <t>DIGIFLAZZ</t>
        </is>
      </c>
      <c r="C821" s="11" t="inlineStr">
        <is>
          <t>H - H2H</t>
        </is>
      </c>
      <c r="D821" s="2" t="inlineStr">
        <is>
          <t>OP00005</t>
        </is>
      </c>
      <c r="E821" s="12" t="n">
        <v>44980.86736111111</v>
      </c>
      <c r="F821" s="11" t="inlineStr">
        <is>
          <t>INTERNAL</t>
        </is>
      </c>
      <c r="G821" s="20" t="inlineStr">
        <is>
          <t>OP05443</t>
        </is>
      </c>
      <c r="H821" s="21">
        <f>UPPER(Table3[[#This Row],[Agen id]]&amp;"-"&amp;VLOOKUP(Table3[[#This Row],[Agen id]],A:B,2,0)&amp;"("&amp;Table3[[#This Row],[Short]]&amp;")")</f>
        <v/>
      </c>
      <c r="J821" s="11">
        <f>VLOOKUP(Table3[[#This Row],[Agen id]],Agen!A:C,3,0)</f>
        <v/>
      </c>
      <c r="K821" s="37">
        <f>TRIM(LEFT(Table3[[#This Row],[Group]],2))</f>
        <v/>
      </c>
      <c r="L821" s="24" t="inlineStr">
        <is>
          <t>H2H</t>
        </is>
      </c>
    </row>
    <row r="822">
      <c r="A822" s="5" t="inlineStr">
        <is>
          <t>OP05454</t>
        </is>
      </c>
      <c r="B822" s="6" t="inlineStr">
        <is>
          <t>Itha</t>
        </is>
      </c>
      <c r="C822" s="7" t="inlineStr">
        <is>
          <t>A - Agen</t>
        </is>
      </c>
      <c r="D822" s="1" t="inlineStr">
        <is>
          <t>OP00002</t>
        </is>
      </c>
      <c r="E822" s="8" t="n">
        <v>44981.50069444445</v>
      </c>
      <c r="F822" s="7" t="inlineStr">
        <is>
          <t>AGEN</t>
        </is>
      </c>
      <c r="G822" s="18" t="inlineStr">
        <is>
          <t>OP05454</t>
        </is>
      </c>
      <c r="H822" s="19">
        <f>UPPER(Table3[[#This Row],[Agen id]]&amp;"-"&amp;VLOOKUP(Table3[[#This Row],[Agen id]],A:B,2,0)&amp;"("&amp;Table3[[#This Row],[Short]]&amp;")")</f>
        <v/>
      </c>
      <c r="J822" s="7">
        <f>VLOOKUP(Table3[[#This Row],[Agen id]],Agen!A:C,3,0)</f>
        <v/>
      </c>
      <c r="K822" s="37">
        <f>TRIM(LEFT(Table3[[#This Row],[Group]],2))</f>
        <v/>
      </c>
      <c r="L822" s="3" t="inlineStr">
        <is>
          <t>NON SALES</t>
        </is>
      </c>
    </row>
    <row r="823">
      <c r="A823" s="5" t="inlineStr">
        <is>
          <t>OP05460</t>
        </is>
      </c>
      <c r="B823" s="6" t="inlineStr">
        <is>
          <t>Teguh yunianto nugroho</t>
        </is>
      </c>
      <c r="C823" s="7" t="inlineStr">
        <is>
          <t>A - Agen</t>
        </is>
      </c>
      <c r="D823" s="1" t="inlineStr">
        <is>
          <t>OP00996</t>
        </is>
      </c>
      <c r="E823" s="8" t="n">
        <v>44981.72777777778</v>
      </c>
      <c r="F823" s="7" t="inlineStr">
        <is>
          <t>DOWNLINE</t>
        </is>
      </c>
      <c r="G823" s="18" t="inlineStr">
        <is>
          <t>OP00996</t>
        </is>
      </c>
      <c r="H823" s="19">
        <f>UPPER(Table3[[#This Row],[Agen id]]&amp;"-"&amp;VLOOKUP(Table3[[#This Row],[Agen id]],A:B,2,0)&amp;"("&amp;Table3[[#This Row],[Short]]&amp;")")</f>
        <v/>
      </c>
      <c r="J823" s="7">
        <f>VLOOKUP(Table3[[#This Row],[Agen id]],Agen!A:C,3,0)</f>
        <v/>
      </c>
      <c r="K823" s="37">
        <f>TRIM(LEFT(Table3[[#This Row],[Group]],2))</f>
        <v/>
      </c>
      <c r="L823" s="3" t="inlineStr">
        <is>
          <t>NON SALES</t>
        </is>
      </c>
    </row>
    <row r="824">
      <c r="A824" s="5" t="inlineStr">
        <is>
          <t>OP05463</t>
        </is>
      </c>
      <c r="B824" s="6" t="inlineStr">
        <is>
          <t>agus cell</t>
        </is>
      </c>
      <c r="C824" s="7" t="inlineStr">
        <is>
          <t>A - Agen</t>
        </is>
      </c>
      <c r="D824" s="1" t="inlineStr">
        <is>
          <t>OP00996</t>
        </is>
      </c>
      <c r="E824" s="8" t="n">
        <v>44981.77430555555</v>
      </c>
      <c r="F824" s="7" t="inlineStr">
        <is>
          <t>DOWNLINE</t>
        </is>
      </c>
      <c r="G824" s="18" t="inlineStr">
        <is>
          <t>OP00996</t>
        </is>
      </c>
      <c r="H824" s="19">
        <f>UPPER(Table3[[#This Row],[Agen id]]&amp;"-"&amp;VLOOKUP(Table3[[#This Row],[Agen id]],A:B,2,0)&amp;"("&amp;Table3[[#This Row],[Short]]&amp;")")</f>
        <v/>
      </c>
      <c r="J824" s="7">
        <f>VLOOKUP(Table3[[#This Row],[Agen id]],Agen!A:C,3,0)</f>
        <v/>
      </c>
      <c r="K824" s="37">
        <f>TRIM(LEFT(Table3[[#This Row],[Group]],2))</f>
        <v/>
      </c>
      <c r="L824" s="3" t="inlineStr">
        <is>
          <t>NON SALES</t>
        </is>
      </c>
    </row>
    <row r="825">
      <c r="A825" s="5" t="inlineStr">
        <is>
          <t>OP05470</t>
        </is>
      </c>
      <c r="B825" s="6" t="inlineStr">
        <is>
          <t>ansoricellular</t>
        </is>
      </c>
      <c r="C825" s="7" t="inlineStr">
        <is>
          <t>A - Agen</t>
        </is>
      </c>
      <c r="D825" s="1" t="inlineStr">
        <is>
          <t>OP00002</t>
        </is>
      </c>
      <c r="E825" s="8" t="n">
        <v>44981.84097222222</v>
      </c>
      <c r="F825" s="7" t="inlineStr">
        <is>
          <t>AGEN</t>
        </is>
      </c>
      <c r="G825" s="18" t="inlineStr">
        <is>
          <t>OP05470</t>
        </is>
      </c>
      <c r="H825" s="19">
        <f>UPPER(Table3[[#This Row],[Agen id]]&amp;"-"&amp;VLOOKUP(Table3[[#This Row],[Agen id]],A:B,2,0)&amp;"("&amp;Table3[[#This Row],[Short]]&amp;")")</f>
        <v/>
      </c>
      <c r="J825" s="7">
        <f>VLOOKUP(Table3[[#This Row],[Agen id]],Agen!A:C,3,0)</f>
        <v/>
      </c>
      <c r="K825" s="37">
        <f>TRIM(LEFT(Table3[[#This Row],[Group]],2))</f>
        <v/>
      </c>
      <c r="L825" s="3" t="inlineStr">
        <is>
          <t>NON SALES</t>
        </is>
      </c>
    </row>
    <row r="826">
      <c r="A826" s="5" t="inlineStr">
        <is>
          <t>OP05478</t>
        </is>
      </c>
      <c r="B826" s="6" t="inlineStr">
        <is>
          <t>Nirmala Cell</t>
        </is>
      </c>
      <c r="C826" s="7" t="inlineStr">
        <is>
          <t>A - Agen</t>
        </is>
      </c>
      <c r="D826" s="1" t="inlineStr">
        <is>
          <t>OP00002</t>
        </is>
      </c>
      <c r="E826" s="8" t="n">
        <v>44982.23263888889</v>
      </c>
      <c r="F826" s="7" t="inlineStr">
        <is>
          <t>AGEN</t>
        </is>
      </c>
      <c r="G826" s="18" t="inlineStr">
        <is>
          <t>OP05478</t>
        </is>
      </c>
      <c r="H826" s="19">
        <f>UPPER(Table3[[#This Row],[Agen id]]&amp;"-"&amp;VLOOKUP(Table3[[#This Row],[Agen id]],A:B,2,0)&amp;"("&amp;Table3[[#This Row],[Short]]&amp;")")</f>
        <v/>
      </c>
      <c r="J826" s="7">
        <f>VLOOKUP(Table3[[#This Row],[Agen id]],Agen!A:C,3,0)</f>
        <v/>
      </c>
      <c r="K826" s="37">
        <f>TRIM(LEFT(Table3[[#This Row],[Group]],2))</f>
        <v/>
      </c>
      <c r="L826" s="3" t="inlineStr">
        <is>
          <t>NON SALES</t>
        </is>
      </c>
    </row>
    <row r="827">
      <c r="A827" s="5" t="inlineStr">
        <is>
          <t>OP05483</t>
        </is>
      </c>
      <c r="B827" s="6" t="inlineStr">
        <is>
          <t>BAHTIAR</t>
        </is>
      </c>
      <c r="C827" s="7" t="inlineStr">
        <is>
          <t>AV - Agen Verified</t>
        </is>
      </c>
      <c r="D827" s="1" t="inlineStr">
        <is>
          <t>OP00002</t>
        </is>
      </c>
      <c r="E827" s="8" t="n">
        <v>44982.46875</v>
      </c>
      <c r="F827" s="7" t="inlineStr">
        <is>
          <t>AGEN</t>
        </is>
      </c>
      <c r="G827" s="18" t="inlineStr">
        <is>
          <t>OP05483</t>
        </is>
      </c>
      <c r="H827" s="19">
        <f>UPPER(Table3[[#This Row],[Agen id]]&amp;"-"&amp;VLOOKUP(Table3[[#This Row],[Agen id]],A:B,2,0)&amp;"("&amp;Table3[[#This Row],[Short]]&amp;")")</f>
        <v/>
      </c>
      <c r="J827" s="7">
        <f>VLOOKUP(Table3[[#This Row],[Agen id]],Agen!A:C,3,0)</f>
        <v/>
      </c>
      <c r="K827" s="37">
        <f>TRIM(LEFT(Table3[[#This Row],[Group]],2))</f>
        <v/>
      </c>
      <c r="L827" s="3" t="inlineStr">
        <is>
          <t>NON SALES</t>
        </is>
      </c>
    </row>
    <row r="828">
      <c r="A828" s="5" t="inlineStr">
        <is>
          <t>OP05486</t>
        </is>
      </c>
      <c r="B828" s="6" t="inlineStr">
        <is>
          <t>ibuRTcell</t>
        </is>
      </c>
      <c r="C828" s="7" t="inlineStr">
        <is>
          <t>A - Agen</t>
        </is>
      </c>
      <c r="D828" s="1" t="inlineStr">
        <is>
          <t>OP04984</t>
        </is>
      </c>
      <c r="E828" s="8" t="n">
        <v>44982.50833333333</v>
      </c>
      <c r="F828" s="7" t="inlineStr">
        <is>
          <t>DOWNLINE</t>
        </is>
      </c>
      <c r="G828" s="18" t="inlineStr">
        <is>
          <t>OP04984</t>
        </is>
      </c>
      <c r="H828" s="19">
        <f>UPPER(Table3[[#This Row],[Agen id]]&amp;"-"&amp;VLOOKUP(Table3[[#This Row],[Agen id]],A:B,2,0)&amp;"("&amp;Table3[[#This Row],[Short]]&amp;")")</f>
        <v/>
      </c>
      <c r="J828" s="7">
        <f>VLOOKUP(Table3[[#This Row],[Agen id]],Agen!A:C,3,0)</f>
        <v/>
      </c>
      <c r="K828" s="37">
        <f>TRIM(LEFT(Table3[[#This Row],[Group]],2))</f>
        <v/>
      </c>
      <c r="L828" s="3" t="inlineStr">
        <is>
          <t>NON SALES</t>
        </is>
      </c>
    </row>
    <row r="829">
      <c r="A829" s="5" t="inlineStr">
        <is>
          <t>OP05492</t>
        </is>
      </c>
      <c r="B829" s="6" t="inlineStr">
        <is>
          <t>PUTRAJAYA</t>
        </is>
      </c>
      <c r="C829" s="7" t="inlineStr">
        <is>
          <t>AV - Agen Verified</t>
        </is>
      </c>
      <c r="D829" s="1" t="inlineStr">
        <is>
          <t>OP00002</t>
        </is>
      </c>
      <c r="E829" s="8" t="n">
        <v>44982.58263888889</v>
      </c>
      <c r="F829" s="7" t="inlineStr">
        <is>
          <t>AGEN</t>
        </is>
      </c>
      <c r="G829" s="18" t="inlineStr">
        <is>
          <t>OP05492</t>
        </is>
      </c>
      <c r="H829" s="19">
        <f>UPPER(Table3[[#This Row],[Agen id]]&amp;"-"&amp;VLOOKUP(Table3[[#This Row],[Agen id]],A:B,2,0)&amp;"("&amp;Table3[[#This Row],[Short]]&amp;")")</f>
        <v/>
      </c>
      <c r="J829" s="7">
        <f>VLOOKUP(Table3[[#This Row],[Agen id]],Agen!A:C,3,0)</f>
        <v/>
      </c>
      <c r="K829" s="37">
        <f>TRIM(LEFT(Table3[[#This Row],[Group]],2))</f>
        <v/>
      </c>
      <c r="L829" s="3" t="inlineStr">
        <is>
          <t>NON SALES</t>
        </is>
      </c>
    </row>
    <row r="830">
      <c r="A830" s="5" t="inlineStr">
        <is>
          <t>OP05495</t>
        </is>
      </c>
      <c r="B830" s="6" t="inlineStr">
        <is>
          <t>ibnu</t>
        </is>
      </c>
      <c r="C830" s="7" t="inlineStr">
        <is>
          <t>AV - Agen Verified</t>
        </is>
      </c>
      <c r="D830" s="1" t="inlineStr">
        <is>
          <t>OP00004</t>
        </is>
      </c>
      <c r="E830" s="8" t="n">
        <v>44982.62222222222</v>
      </c>
      <c r="F830" s="7" t="inlineStr">
        <is>
          <t>SALES</t>
        </is>
      </c>
      <c r="G830" s="18" t="inlineStr">
        <is>
          <t>OP05495</t>
        </is>
      </c>
      <c r="H830" s="19">
        <f>UPPER(Table3[[#This Row],[Agen id]]&amp;"-"&amp;VLOOKUP(Table3[[#This Row],[Agen id]],A:B,2,0)&amp;"("&amp;Table3[[#This Row],[Short]]&amp;")")</f>
        <v/>
      </c>
      <c r="J830" s="7">
        <f>VLOOKUP(Table3[[#This Row],[Agen id]],Agen!A:C,3,0)</f>
        <v/>
      </c>
      <c r="K830" s="37">
        <f>TRIM(LEFT(Table3[[#This Row],[Group]],2))</f>
        <v/>
      </c>
      <c r="L830" s="3" t="inlineStr">
        <is>
          <t>NON SALES</t>
        </is>
      </c>
    </row>
    <row r="831">
      <c r="A831" s="5" t="inlineStr">
        <is>
          <t>OP05497</t>
        </is>
      </c>
      <c r="B831" s="6" t="inlineStr">
        <is>
          <t>Sultan</t>
        </is>
      </c>
      <c r="C831" s="7" t="inlineStr">
        <is>
          <t>A - Agen</t>
        </is>
      </c>
      <c r="D831" s="1" t="inlineStr">
        <is>
          <t>OP00003</t>
        </is>
      </c>
      <c r="E831" s="8" t="n">
        <v>44982.64930555555</v>
      </c>
      <c r="F831" s="7" t="inlineStr">
        <is>
          <t>AGEN</t>
        </is>
      </c>
      <c r="G831" s="18" t="inlineStr">
        <is>
          <t>OP05497</t>
        </is>
      </c>
      <c r="H831" s="19">
        <f>UPPER(Table3[[#This Row],[Agen id]]&amp;"-"&amp;VLOOKUP(Table3[[#This Row],[Agen id]],A:B,2,0)&amp;"("&amp;Table3[[#This Row],[Short]]&amp;")")</f>
        <v/>
      </c>
      <c r="J831" s="7">
        <f>VLOOKUP(Table3[[#This Row],[Agen id]],Agen!A:C,3,0)</f>
        <v/>
      </c>
      <c r="K831" s="37">
        <f>TRIM(LEFT(Table3[[#This Row],[Group]],2))</f>
        <v/>
      </c>
      <c r="L831" s="3" t="inlineStr">
        <is>
          <t>NON SALES</t>
        </is>
      </c>
    </row>
    <row r="832">
      <c r="A832" s="5" t="inlineStr">
        <is>
          <t>OP05498</t>
        </is>
      </c>
      <c r="B832" s="6" t="inlineStr">
        <is>
          <t>Yuli</t>
        </is>
      </c>
      <c r="C832" s="7" t="inlineStr">
        <is>
          <t>AV - Agen Verified</t>
        </is>
      </c>
      <c r="D832" s="1" t="inlineStr">
        <is>
          <t>OP00996</t>
        </is>
      </c>
      <c r="E832" s="8" t="n">
        <v>44982.69305555556</v>
      </c>
      <c r="F832" s="7" t="inlineStr">
        <is>
          <t>DOWNLINE</t>
        </is>
      </c>
      <c r="G832" s="18" t="inlineStr">
        <is>
          <t>OP00996</t>
        </is>
      </c>
      <c r="H832" s="19">
        <f>UPPER(Table3[[#This Row],[Agen id]]&amp;"-"&amp;VLOOKUP(Table3[[#This Row],[Agen id]],A:B,2,0)&amp;"("&amp;Table3[[#This Row],[Short]]&amp;")")</f>
        <v/>
      </c>
      <c r="J832" s="7">
        <f>VLOOKUP(Table3[[#This Row],[Agen id]],Agen!A:C,3,0)</f>
        <v/>
      </c>
      <c r="K832" s="37">
        <f>TRIM(LEFT(Table3[[#This Row],[Group]],2))</f>
        <v/>
      </c>
      <c r="L832" s="3" t="inlineStr">
        <is>
          <t>NON SALES</t>
        </is>
      </c>
    </row>
    <row r="833">
      <c r="A833" s="5" t="inlineStr">
        <is>
          <t>OP05506</t>
        </is>
      </c>
      <c r="B833" s="6" t="inlineStr">
        <is>
          <t>Muhammad Baim</t>
        </is>
      </c>
      <c r="C833" s="7" t="inlineStr">
        <is>
          <t>A - Agen</t>
        </is>
      </c>
      <c r="D833" s="1" t="inlineStr">
        <is>
          <t>OP00002</t>
        </is>
      </c>
      <c r="E833" s="8" t="n">
        <v>44982.87152777778</v>
      </c>
      <c r="F833" s="7" t="inlineStr">
        <is>
          <t>AGEN</t>
        </is>
      </c>
      <c r="G833" s="18" t="inlineStr">
        <is>
          <t>OP05506</t>
        </is>
      </c>
      <c r="H833" s="19">
        <f>UPPER(Table3[[#This Row],[Agen id]]&amp;"-"&amp;VLOOKUP(Table3[[#This Row],[Agen id]],A:B,2,0)&amp;"("&amp;Table3[[#This Row],[Short]]&amp;")")</f>
        <v/>
      </c>
      <c r="J833" s="7">
        <f>VLOOKUP(Table3[[#This Row],[Agen id]],Agen!A:C,3,0)</f>
        <v/>
      </c>
      <c r="K833" s="37">
        <f>TRIM(LEFT(Table3[[#This Row],[Group]],2))</f>
        <v/>
      </c>
      <c r="L833" s="3" t="inlineStr">
        <is>
          <t>NON SALES</t>
        </is>
      </c>
    </row>
    <row r="834">
      <c r="A834" s="5" t="inlineStr">
        <is>
          <t>OP05532</t>
        </is>
      </c>
      <c r="B834" s="6" t="inlineStr">
        <is>
          <t>Dami</t>
        </is>
      </c>
      <c r="C834" s="7" t="inlineStr">
        <is>
          <t>A - Agen</t>
        </is>
      </c>
      <c r="D834" s="1" t="inlineStr">
        <is>
          <t>OP00996</t>
        </is>
      </c>
      <c r="E834" s="8" t="n">
        <v>44984.01041666666</v>
      </c>
      <c r="F834" s="7" t="inlineStr">
        <is>
          <t>DOWNLINE</t>
        </is>
      </c>
      <c r="G834" s="18" t="inlineStr">
        <is>
          <t>OP00996</t>
        </is>
      </c>
      <c r="H834" s="19">
        <f>UPPER(Table3[[#This Row],[Agen id]]&amp;"-"&amp;VLOOKUP(Table3[[#This Row],[Agen id]],A:B,2,0)&amp;"("&amp;Table3[[#This Row],[Short]]&amp;")")</f>
        <v/>
      </c>
      <c r="J834" s="7">
        <f>VLOOKUP(Table3[[#This Row],[Agen id]],Agen!A:C,3,0)</f>
        <v/>
      </c>
      <c r="K834" s="37">
        <f>TRIM(LEFT(Table3[[#This Row],[Group]],2))</f>
        <v/>
      </c>
      <c r="L834" s="3" t="inlineStr">
        <is>
          <t>NON SALES</t>
        </is>
      </c>
    </row>
    <row r="835">
      <c r="A835" s="5" t="inlineStr">
        <is>
          <t>OP05534</t>
        </is>
      </c>
      <c r="B835" s="6" t="inlineStr">
        <is>
          <t>MURSID</t>
        </is>
      </c>
      <c r="C835" s="7" t="inlineStr">
        <is>
          <t>A - Agen</t>
        </is>
      </c>
      <c r="D835" s="1" t="inlineStr">
        <is>
          <t>OP00002</t>
        </is>
      </c>
      <c r="E835" s="8" t="n">
        <v>44984.24652777778</v>
      </c>
      <c r="F835" s="7" t="inlineStr">
        <is>
          <t>AGEN</t>
        </is>
      </c>
      <c r="G835" s="18" t="inlineStr">
        <is>
          <t>OP05534</t>
        </is>
      </c>
      <c r="H835" s="19">
        <f>UPPER(Table3[[#This Row],[Agen id]]&amp;"-"&amp;VLOOKUP(Table3[[#This Row],[Agen id]],A:B,2,0)&amp;"("&amp;Table3[[#This Row],[Short]]&amp;")")</f>
        <v/>
      </c>
      <c r="J835" s="7">
        <f>VLOOKUP(Table3[[#This Row],[Agen id]],Agen!A:C,3,0)</f>
        <v/>
      </c>
      <c r="K835" s="37">
        <f>TRIM(LEFT(Table3[[#This Row],[Group]],2))</f>
        <v/>
      </c>
      <c r="L835" s="3" t="inlineStr">
        <is>
          <t>NON SALES</t>
        </is>
      </c>
    </row>
    <row r="836">
      <c r="A836" s="5" t="inlineStr">
        <is>
          <t>OP05544</t>
        </is>
      </c>
      <c r="B836" s="6" t="inlineStr">
        <is>
          <t>Suparno</t>
        </is>
      </c>
      <c r="C836" s="7" t="inlineStr">
        <is>
          <t>A - Agen</t>
        </is>
      </c>
      <c r="D836" s="1" t="inlineStr">
        <is>
          <t>OP00996</t>
        </is>
      </c>
      <c r="E836" s="8" t="n">
        <v>44984.5</v>
      </c>
      <c r="F836" s="7" t="inlineStr">
        <is>
          <t>DOWNLINE</t>
        </is>
      </c>
      <c r="G836" s="18" t="inlineStr">
        <is>
          <t>OP00996</t>
        </is>
      </c>
      <c r="H836" s="19">
        <f>UPPER(Table3[[#This Row],[Agen id]]&amp;"-"&amp;VLOOKUP(Table3[[#This Row],[Agen id]],A:B,2,0)&amp;"("&amp;Table3[[#This Row],[Short]]&amp;")")</f>
        <v/>
      </c>
      <c r="J836" s="7">
        <f>VLOOKUP(Table3[[#This Row],[Agen id]],Agen!A:C,3,0)</f>
        <v/>
      </c>
      <c r="K836" s="37">
        <f>TRIM(LEFT(Table3[[#This Row],[Group]],2))</f>
        <v/>
      </c>
      <c r="L836" s="3" t="inlineStr">
        <is>
          <t>NON SALES</t>
        </is>
      </c>
    </row>
    <row r="837">
      <c r="A837" s="5" t="inlineStr">
        <is>
          <t>OP05546</t>
        </is>
      </c>
      <c r="B837" s="6" t="inlineStr">
        <is>
          <t>Eko Cell</t>
        </is>
      </c>
      <c r="C837" s="7" t="inlineStr">
        <is>
          <t>A - Agen</t>
        </is>
      </c>
      <c r="D837" s="1" t="inlineStr">
        <is>
          <t>OP03387</t>
        </is>
      </c>
      <c r="E837" s="8" t="n">
        <v>44984.58055555556</v>
      </c>
      <c r="F837" s="7" t="inlineStr">
        <is>
          <t>DOWNLINE</t>
        </is>
      </c>
      <c r="G837" s="18" t="inlineStr">
        <is>
          <t>OP03387</t>
        </is>
      </c>
      <c r="H837" s="19">
        <f>UPPER(Table3[[#This Row],[Agen id]]&amp;"-"&amp;VLOOKUP(Table3[[#This Row],[Agen id]],A:B,2,0)&amp;"("&amp;Table3[[#This Row],[Short]]&amp;")")</f>
        <v/>
      </c>
      <c r="J837" s="7">
        <f>VLOOKUP(Table3[[#This Row],[Agen id]],Agen!A:C,3,0)</f>
        <v/>
      </c>
      <c r="K837" s="37">
        <f>TRIM(LEFT(Table3[[#This Row],[Group]],2))</f>
        <v/>
      </c>
      <c r="L837" s="3" t="inlineStr">
        <is>
          <t>NON SALES</t>
        </is>
      </c>
    </row>
    <row r="838">
      <c r="A838" s="5" t="inlineStr">
        <is>
          <t>OP05548</t>
        </is>
      </c>
      <c r="B838" s="6" t="inlineStr">
        <is>
          <t>AsepAwaludin</t>
        </is>
      </c>
      <c r="C838" s="7" t="inlineStr">
        <is>
          <t>AV - Agen Verified</t>
        </is>
      </c>
      <c r="D838" s="1" t="inlineStr">
        <is>
          <t>OP00002</t>
        </is>
      </c>
      <c r="E838" s="8" t="n">
        <v>44984.60625</v>
      </c>
      <c r="F838" s="7" t="inlineStr">
        <is>
          <t>AGEN</t>
        </is>
      </c>
      <c r="G838" s="18" t="inlineStr">
        <is>
          <t>OP05548</t>
        </is>
      </c>
      <c r="H838" s="19">
        <f>UPPER(Table3[[#This Row],[Agen id]]&amp;"-"&amp;VLOOKUP(Table3[[#This Row],[Agen id]],A:B,2,0)&amp;"("&amp;Table3[[#This Row],[Short]]&amp;")")</f>
        <v/>
      </c>
      <c r="J838" s="7">
        <f>VLOOKUP(Table3[[#This Row],[Agen id]],Agen!A:C,3,0)</f>
        <v/>
      </c>
      <c r="K838" s="37">
        <f>TRIM(LEFT(Table3[[#This Row],[Group]],2))</f>
        <v/>
      </c>
      <c r="L838" s="3" t="inlineStr">
        <is>
          <t>NON SALES</t>
        </is>
      </c>
    </row>
    <row r="839">
      <c r="A839" s="5" t="inlineStr">
        <is>
          <t>OP05561</t>
        </is>
      </c>
      <c r="B839" s="6" t="inlineStr">
        <is>
          <t>Dede intan</t>
        </is>
      </c>
      <c r="C839" s="7" t="inlineStr">
        <is>
          <t>AB1 - Agen Kab Bogor</t>
        </is>
      </c>
      <c r="D839" s="1" t="inlineStr">
        <is>
          <t>OP00996</t>
        </is>
      </c>
      <c r="E839" s="8" t="n">
        <v>44985.26319444444</v>
      </c>
      <c r="F839" s="7" t="inlineStr">
        <is>
          <t>DOWNLINE</t>
        </is>
      </c>
      <c r="G839" s="18" t="inlineStr">
        <is>
          <t>OP00996</t>
        </is>
      </c>
      <c r="H839" s="19">
        <f>UPPER(Table3[[#This Row],[Agen id]]&amp;"-"&amp;VLOOKUP(Table3[[#This Row],[Agen id]],A:B,2,0)&amp;"("&amp;Table3[[#This Row],[Short]]&amp;")")</f>
        <v/>
      </c>
      <c r="J839" s="7">
        <f>VLOOKUP(Table3[[#This Row],[Agen id]],Agen!A:C,3,0)</f>
        <v/>
      </c>
      <c r="K839" s="37">
        <f>TRIM(LEFT(Table3[[#This Row],[Group]],2))</f>
        <v/>
      </c>
      <c r="L839" s="3" t="inlineStr">
        <is>
          <t>NON SALES</t>
        </is>
      </c>
    </row>
    <row r="840">
      <c r="A840" s="5" t="inlineStr">
        <is>
          <t>OP05567</t>
        </is>
      </c>
      <c r="B840" s="6" t="inlineStr">
        <is>
          <t>AZA CARD TGR</t>
        </is>
      </c>
      <c r="C840" s="7" t="inlineStr">
        <is>
          <t>AV - Agen Verified</t>
        </is>
      </c>
      <c r="D840" s="1" t="inlineStr">
        <is>
          <t>OP00002</t>
        </is>
      </c>
      <c r="E840" s="8" t="n">
        <v>44985.55416666667</v>
      </c>
      <c r="F840" s="7" t="inlineStr">
        <is>
          <t>AGEN</t>
        </is>
      </c>
      <c r="G840" s="18" t="inlineStr">
        <is>
          <t>OP05567</t>
        </is>
      </c>
      <c r="H840" s="19">
        <f>UPPER(Table3[[#This Row],[Agen id]]&amp;"-"&amp;VLOOKUP(Table3[[#This Row],[Agen id]],A:B,2,0)&amp;"("&amp;Table3[[#This Row],[Short]]&amp;")")</f>
        <v/>
      </c>
      <c r="J840" s="7">
        <f>VLOOKUP(Table3[[#This Row],[Agen id]],Agen!A:C,3,0)</f>
        <v/>
      </c>
      <c r="K840" s="37">
        <f>TRIM(LEFT(Table3[[#This Row],[Group]],2))</f>
        <v/>
      </c>
      <c r="L840" s="3" t="inlineStr">
        <is>
          <t>NON SALES</t>
        </is>
      </c>
    </row>
    <row r="841">
      <c r="A841" s="5" t="inlineStr">
        <is>
          <t>OP05570</t>
        </is>
      </c>
      <c r="B841" s="6" t="inlineStr">
        <is>
          <t>Sahabat</t>
        </is>
      </c>
      <c r="C841" s="7" t="inlineStr">
        <is>
          <t>AV - Agen Verified</t>
        </is>
      </c>
      <c r="D841" s="1" t="inlineStr">
        <is>
          <t>OP00003</t>
        </is>
      </c>
      <c r="E841" s="8" t="n">
        <v>44985.58125</v>
      </c>
      <c r="F841" s="7" t="inlineStr">
        <is>
          <t>AGEN</t>
        </is>
      </c>
      <c r="G841" s="18" t="inlineStr">
        <is>
          <t>OP05570</t>
        </is>
      </c>
      <c r="H841" s="19">
        <f>UPPER(Table3[[#This Row],[Agen id]]&amp;"-"&amp;VLOOKUP(Table3[[#This Row],[Agen id]],A:B,2,0)&amp;"("&amp;Table3[[#This Row],[Short]]&amp;")")</f>
        <v/>
      </c>
      <c r="J841" s="7">
        <f>VLOOKUP(Table3[[#This Row],[Agen id]],Agen!A:C,3,0)</f>
        <v/>
      </c>
      <c r="K841" s="37">
        <f>TRIM(LEFT(Table3[[#This Row],[Group]],2))</f>
        <v/>
      </c>
      <c r="L841" s="3" t="inlineStr">
        <is>
          <t>NON SALES</t>
        </is>
      </c>
    </row>
    <row r="842">
      <c r="A842" s="5" t="inlineStr">
        <is>
          <t>OP05578</t>
        </is>
      </c>
      <c r="B842" s="6" t="inlineStr">
        <is>
          <t>Didit</t>
        </is>
      </c>
      <c r="C842" s="7" t="inlineStr">
        <is>
          <t>A - Agen</t>
        </is>
      </c>
      <c r="D842" s="1" t="inlineStr">
        <is>
          <t>OP00002</t>
        </is>
      </c>
      <c r="E842" s="8" t="n">
        <v>44985.75625</v>
      </c>
      <c r="F842" s="7" t="inlineStr">
        <is>
          <t>AGEN</t>
        </is>
      </c>
      <c r="G842" s="18" t="inlineStr">
        <is>
          <t>OP05578</t>
        </is>
      </c>
      <c r="H842" s="19">
        <f>UPPER(Table3[[#This Row],[Agen id]]&amp;"-"&amp;VLOOKUP(Table3[[#This Row],[Agen id]],A:B,2,0)&amp;"("&amp;Table3[[#This Row],[Short]]&amp;")")</f>
        <v/>
      </c>
      <c r="J842" s="7">
        <f>VLOOKUP(Table3[[#This Row],[Agen id]],Agen!A:C,3,0)</f>
        <v/>
      </c>
      <c r="K842" s="37">
        <f>TRIM(LEFT(Table3[[#This Row],[Group]],2))</f>
        <v/>
      </c>
      <c r="L842" s="3" t="inlineStr">
        <is>
          <t>NON SALES</t>
        </is>
      </c>
    </row>
    <row r="843">
      <c r="A843" s="5" t="inlineStr">
        <is>
          <t>OP05609</t>
        </is>
      </c>
      <c r="B843" s="6" t="inlineStr">
        <is>
          <t>Gias</t>
        </is>
      </c>
      <c r="C843" s="7" t="inlineStr">
        <is>
          <t>A - Agen</t>
        </is>
      </c>
      <c r="D843" s="1" t="inlineStr">
        <is>
          <t>OP00004</t>
        </is>
      </c>
      <c r="E843" s="8" t="n">
        <v>44987.22986111111</v>
      </c>
      <c r="F843" s="7" t="inlineStr">
        <is>
          <t>SALES</t>
        </is>
      </c>
      <c r="G843" s="18" t="inlineStr">
        <is>
          <t>OP05609</t>
        </is>
      </c>
      <c r="H843" s="19">
        <f>UPPER(Table3[[#This Row],[Agen id]]&amp;"-"&amp;VLOOKUP(Table3[[#This Row],[Agen id]],A:B,2,0)&amp;"("&amp;Table3[[#This Row],[Short]]&amp;")")</f>
        <v/>
      </c>
      <c r="J843" s="7">
        <f>VLOOKUP(Table3[[#This Row],[Agen id]],Agen!A:C,3,0)</f>
        <v/>
      </c>
      <c r="K843" s="37">
        <f>TRIM(LEFT(Table3[[#This Row],[Group]],2))</f>
        <v/>
      </c>
      <c r="L843" s="3" t="inlineStr">
        <is>
          <t>NON SALES</t>
        </is>
      </c>
    </row>
    <row r="844">
      <c r="A844" s="5" t="inlineStr">
        <is>
          <t>OP05619</t>
        </is>
      </c>
      <c r="B844" s="6" t="inlineStr">
        <is>
          <t>Bejocell</t>
        </is>
      </c>
      <c r="C844" s="7" t="inlineStr">
        <is>
          <t>A - Agen</t>
        </is>
      </c>
      <c r="D844" s="1" t="inlineStr">
        <is>
          <t>OP00637</t>
        </is>
      </c>
      <c r="E844" s="8" t="n">
        <v>44987.44305555556</v>
      </c>
      <c r="F844" s="7" t="inlineStr">
        <is>
          <t>DOWNLINE</t>
        </is>
      </c>
      <c r="G844" s="18" t="inlineStr">
        <is>
          <t>OP00637</t>
        </is>
      </c>
      <c r="H844" s="19">
        <f>UPPER(Table3[[#This Row],[Agen id]]&amp;"-"&amp;VLOOKUP(Table3[[#This Row],[Agen id]],A:B,2,0)&amp;"("&amp;Table3[[#This Row],[Short]]&amp;")")</f>
        <v/>
      </c>
      <c r="J844" s="7">
        <f>VLOOKUP(Table3[[#This Row],[Agen id]],Agen!A:C,3,0)</f>
        <v/>
      </c>
      <c r="K844" s="37">
        <f>TRIM(LEFT(Table3[[#This Row],[Group]],2))</f>
        <v/>
      </c>
      <c r="L844" s="3" t="inlineStr">
        <is>
          <t>NON SALES</t>
        </is>
      </c>
    </row>
    <row r="845">
      <c r="A845" s="5" t="inlineStr">
        <is>
          <t>OP05625</t>
        </is>
      </c>
      <c r="B845" s="6" t="inlineStr">
        <is>
          <t>Padilah</t>
        </is>
      </c>
      <c r="C845" s="7" t="inlineStr">
        <is>
          <t>A - Agen</t>
        </is>
      </c>
      <c r="D845" s="1" t="inlineStr">
        <is>
          <t>OP00002</t>
        </is>
      </c>
      <c r="E845" s="8" t="n">
        <v>44987.47361111111</v>
      </c>
      <c r="F845" s="7" t="inlineStr">
        <is>
          <t>AGEN</t>
        </is>
      </c>
      <c r="G845" s="18" t="inlineStr">
        <is>
          <t>OP05625</t>
        </is>
      </c>
      <c r="H845" s="19">
        <f>UPPER(Table3[[#This Row],[Agen id]]&amp;"-"&amp;VLOOKUP(Table3[[#This Row],[Agen id]],A:B,2,0)&amp;"("&amp;Table3[[#This Row],[Short]]&amp;")")</f>
        <v/>
      </c>
      <c r="J845" s="7">
        <f>VLOOKUP(Table3[[#This Row],[Agen id]],Agen!A:C,3,0)</f>
        <v/>
      </c>
      <c r="K845" s="37">
        <f>TRIM(LEFT(Table3[[#This Row],[Group]],2))</f>
        <v/>
      </c>
      <c r="L845" s="3" t="inlineStr">
        <is>
          <t>NON SALES</t>
        </is>
      </c>
    </row>
    <row r="846">
      <c r="A846" s="5" t="inlineStr">
        <is>
          <t>OP05629</t>
        </is>
      </c>
      <c r="B846" s="6" t="inlineStr">
        <is>
          <t>Haqi cell</t>
        </is>
      </c>
      <c r="C846" s="7" t="inlineStr">
        <is>
          <t>AV - Agen Verified</t>
        </is>
      </c>
      <c r="D846" s="1" t="inlineStr">
        <is>
          <t>OP00002</t>
        </is>
      </c>
      <c r="E846" s="8" t="n">
        <v>44987.62083333333</v>
      </c>
      <c r="F846" s="7" t="inlineStr">
        <is>
          <t>AGEN</t>
        </is>
      </c>
      <c r="G846" s="18" t="inlineStr">
        <is>
          <t>OP05629</t>
        </is>
      </c>
      <c r="H846" s="19">
        <f>UPPER(Table3[[#This Row],[Agen id]]&amp;"-"&amp;VLOOKUP(Table3[[#This Row],[Agen id]],A:B,2,0)&amp;"("&amp;Table3[[#This Row],[Short]]&amp;")")</f>
        <v/>
      </c>
      <c r="J846" s="7">
        <f>VLOOKUP(Table3[[#This Row],[Agen id]],Agen!A:C,3,0)</f>
        <v/>
      </c>
      <c r="K846" s="37">
        <f>TRIM(LEFT(Table3[[#This Row],[Group]],2))</f>
        <v/>
      </c>
      <c r="L846" s="3" t="inlineStr">
        <is>
          <t>NON SALES</t>
        </is>
      </c>
    </row>
    <row r="847">
      <c r="A847" s="5" t="inlineStr">
        <is>
          <t>OP05639</t>
        </is>
      </c>
      <c r="B847" s="6" t="inlineStr">
        <is>
          <t>Muhammad khoirul</t>
        </is>
      </c>
      <c r="C847" s="7" t="inlineStr">
        <is>
          <t>A - Agen</t>
        </is>
      </c>
      <c r="D847" s="1" t="inlineStr">
        <is>
          <t>OP00002</t>
        </is>
      </c>
      <c r="E847" s="8" t="n">
        <v>44987.86319444444</v>
      </c>
      <c r="F847" s="7" t="inlineStr">
        <is>
          <t>AGEN</t>
        </is>
      </c>
      <c r="G847" s="18" t="inlineStr">
        <is>
          <t>OP05639</t>
        </is>
      </c>
      <c r="H847" s="19">
        <f>UPPER(Table3[[#This Row],[Agen id]]&amp;"-"&amp;VLOOKUP(Table3[[#This Row],[Agen id]],A:B,2,0)&amp;"("&amp;Table3[[#This Row],[Short]]&amp;")")</f>
        <v/>
      </c>
      <c r="J847" s="7">
        <f>VLOOKUP(Table3[[#This Row],[Agen id]],Agen!A:C,3,0)</f>
        <v/>
      </c>
      <c r="K847" s="37">
        <f>TRIM(LEFT(Table3[[#This Row],[Group]],2))</f>
        <v/>
      </c>
      <c r="L847" s="3" t="inlineStr">
        <is>
          <t>NON SALES</t>
        </is>
      </c>
    </row>
    <row r="848">
      <c r="A848" s="5" t="inlineStr">
        <is>
          <t>OP05646</t>
        </is>
      </c>
      <c r="B848" s="6" t="inlineStr">
        <is>
          <t>Imakcell</t>
        </is>
      </c>
      <c r="C848" s="7" t="inlineStr">
        <is>
          <t>A - Agen</t>
        </is>
      </c>
      <c r="D848" s="1" t="inlineStr">
        <is>
          <t>OP03033</t>
        </is>
      </c>
      <c r="E848" s="8" t="n">
        <v>44988.38194444445</v>
      </c>
      <c r="F848" s="7" t="inlineStr">
        <is>
          <t>DOWNLINE</t>
        </is>
      </c>
      <c r="G848" s="18" t="inlineStr">
        <is>
          <t>OP00049</t>
        </is>
      </c>
      <c r="H848" s="19">
        <f>UPPER(Table3[[#This Row],[Agen id]]&amp;"-"&amp;VLOOKUP(Table3[[#This Row],[Agen id]],A:B,2,0)&amp;"("&amp;Table3[[#This Row],[Short]]&amp;")")</f>
        <v/>
      </c>
      <c r="J848" s="7">
        <f>VLOOKUP(Table3[[#This Row],[Agen id]],Agen!A:C,3,0)</f>
        <v/>
      </c>
      <c r="K848" s="37">
        <f>TRIM(LEFT(Table3[[#This Row],[Group]],2))</f>
        <v/>
      </c>
      <c r="L848" s="3" t="inlineStr">
        <is>
          <t>NON SALES</t>
        </is>
      </c>
    </row>
    <row r="849">
      <c r="A849" s="5" t="inlineStr">
        <is>
          <t>OP05650</t>
        </is>
      </c>
      <c r="B849" s="6" t="inlineStr">
        <is>
          <t>Irfandi Hikma</t>
        </is>
      </c>
      <c r="C849" s="7" t="inlineStr">
        <is>
          <t>A - Agen</t>
        </is>
      </c>
      <c r="D849" s="1" t="inlineStr">
        <is>
          <t>OP00002</t>
        </is>
      </c>
      <c r="E849" s="8" t="n">
        <v>44988.54583333333</v>
      </c>
      <c r="F849" s="7" t="inlineStr">
        <is>
          <t>AGEN</t>
        </is>
      </c>
      <c r="G849" s="18" t="inlineStr">
        <is>
          <t>OP05650</t>
        </is>
      </c>
      <c r="H849" s="19">
        <f>UPPER(Table3[[#This Row],[Agen id]]&amp;"-"&amp;VLOOKUP(Table3[[#This Row],[Agen id]],A:B,2,0)&amp;"("&amp;Table3[[#This Row],[Short]]&amp;")")</f>
        <v/>
      </c>
      <c r="J849" s="7">
        <f>VLOOKUP(Table3[[#This Row],[Agen id]],Agen!A:C,3,0)</f>
        <v/>
      </c>
      <c r="K849" s="37">
        <f>TRIM(LEFT(Table3[[#This Row],[Group]],2))</f>
        <v/>
      </c>
      <c r="L849" s="3" t="inlineStr">
        <is>
          <t>NON SALES</t>
        </is>
      </c>
    </row>
    <row r="850">
      <c r="A850" s="5" t="inlineStr">
        <is>
          <t>OP05652</t>
        </is>
      </c>
      <c r="B850" s="6" t="inlineStr">
        <is>
          <t>Rudi cell</t>
        </is>
      </c>
      <c r="C850" s="7" t="inlineStr">
        <is>
          <t>AV - Agen Verified</t>
        </is>
      </c>
      <c r="D850" s="1" t="inlineStr">
        <is>
          <t>OP00002</t>
        </is>
      </c>
      <c r="E850" s="8" t="n">
        <v>44988.58819444444</v>
      </c>
      <c r="F850" s="7" t="inlineStr">
        <is>
          <t>AGEN</t>
        </is>
      </c>
      <c r="G850" s="18" t="inlineStr">
        <is>
          <t>OP05652</t>
        </is>
      </c>
      <c r="H850" s="19">
        <f>UPPER(Table3[[#This Row],[Agen id]]&amp;"-"&amp;VLOOKUP(Table3[[#This Row],[Agen id]],A:B,2,0)&amp;"("&amp;Table3[[#This Row],[Short]]&amp;")")</f>
        <v/>
      </c>
      <c r="J850" s="7">
        <f>VLOOKUP(Table3[[#This Row],[Agen id]],Agen!A:C,3,0)</f>
        <v/>
      </c>
      <c r="K850" s="37">
        <f>TRIM(LEFT(Table3[[#This Row],[Group]],2))</f>
        <v/>
      </c>
      <c r="L850" s="3" t="inlineStr">
        <is>
          <t>NON SALES</t>
        </is>
      </c>
    </row>
    <row r="851">
      <c r="A851" s="5" t="inlineStr">
        <is>
          <t>OP05656</t>
        </is>
      </c>
      <c r="B851" s="6" t="inlineStr">
        <is>
          <t>Budi</t>
        </is>
      </c>
      <c r="C851" s="7" t="inlineStr">
        <is>
          <t>A - Agen</t>
        </is>
      </c>
      <c r="D851" s="1" t="inlineStr">
        <is>
          <t>OP00049</t>
        </is>
      </c>
      <c r="E851" s="8" t="n">
        <v>44988.68958333333</v>
      </c>
      <c r="F851" s="7" t="inlineStr">
        <is>
          <t>DOWNLINE</t>
        </is>
      </c>
      <c r="G851" s="18" t="inlineStr">
        <is>
          <t>OP00049</t>
        </is>
      </c>
      <c r="H851" s="19">
        <f>UPPER(Table3[[#This Row],[Agen id]]&amp;"-"&amp;VLOOKUP(Table3[[#This Row],[Agen id]],A:B,2,0)&amp;"("&amp;Table3[[#This Row],[Short]]&amp;")")</f>
        <v/>
      </c>
      <c r="J851" s="7">
        <f>VLOOKUP(Table3[[#This Row],[Agen id]],Agen!A:C,3,0)</f>
        <v/>
      </c>
      <c r="K851" s="37">
        <f>TRIM(LEFT(Table3[[#This Row],[Group]],2))</f>
        <v/>
      </c>
      <c r="L851" s="3" t="inlineStr">
        <is>
          <t>NON SALES</t>
        </is>
      </c>
    </row>
    <row r="852">
      <c r="A852" s="5" t="inlineStr">
        <is>
          <t>OP05662</t>
        </is>
      </c>
      <c r="B852" s="6" t="inlineStr">
        <is>
          <t>Nanda Cell</t>
        </is>
      </c>
      <c r="C852" s="7" t="inlineStr">
        <is>
          <t>AV - Agen Verified</t>
        </is>
      </c>
      <c r="D852" s="1" t="inlineStr">
        <is>
          <t>OP03706</t>
        </is>
      </c>
      <c r="E852" s="8" t="n">
        <v>44989.60902777778</v>
      </c>
      <c r="F852" s="7" t="inlineStr">
        <is>
          <t>DOWNLINE</t>
        </is>
      </c>
      <c r="G852" s="18" t="inlineStr">
        <is>
          <t>OP03706</t>
        </is>
      </c>
      <c r="H852" s="19">
        <f>UPPER(Table3[[#This Row],[Agen id]]&amp;"-"&amp;VLOOKUP(Table3[[#This Row],[Agen id]],A:B,2,0)&amp;"("&amp;Table3[[#This Row],[Short]]&amp;")")</f>
        <v/>
      </c>
      <c r="J852" s="7">
        <f>VLOOKUP(Table3[[#This Row],[Agen id]],Agen!A:C,3,0)</f>
        <v/>
      </c>
      <c r="K852" s="37">
        <f>TRIM(LEFT(Table3[[#This Row],[Group]],2))</f>
        <v/>
      </c>
      <c r="L852" s="3" t="inlineStr">
        <is>
          <t>NON SALES</t>
        </is>
      </c>
    </row>
    <row r="853">
      <c r="A853" s="5" t="inlineStr">
        <is>
          <t>OP05664</t>
        </is>
      </c>
      <c r="B853" s="6" t="inlineStr">
        <is>
          <t>RENIFULTA</t>
        </is>
      </c>
      <c r="C853" s="7" t="inlineStr">
        <is>
          <t>A - Agen</t>
        </is>
      </c>
      <c r="D853" s="1" t="inlineStr">
        <is>
          <t>OP00036</t>
        </is>
      </c>
      <c r="E853" s="8" t="n">
        <v>44989.72152777778</v>
      </c>
      <c r="F853" s="7" t="inlineStr">
        <is>
          <t>DOWNLINE</t>
        </is>
      </c>
      <c r="G853" s="18" t="inlineStr">
        <is>
          <t>OP00036</t>
        </is>
      </c>
      <c r="H853" s="19">
        <f>UPPER(Table3[[#This Row],[Agen id]]&amp;"-"&amp;VLOOKUP(Table3[[#This Row],[Agen id]],A:B,2,0)&amp;"("&amp;Table3[[#This Row],[Short]]&amp;")")</f>
        <v/>
      </c>
      <c r="J853" s="7">
        <f>VLOOKUP(Table3[[#This Row],[Agen id]],Agen!A:C,3,0)</f>
        <v/>
      </c>
      <c r="K853" s="37">
        <f>TRIM(LEFT(Table3[[#This Row],[Group]],2))</f>
        <v/>
      </c>
      <c r="L853" s="3" t="inlineStr">
        <is>
          <t>NON SALES</t>
        </is>
      </c>
    </row>
    <row r="854">
      <c r="A854" s="5" t="inlineStr">
        <is>
          <t>OP05672</t>
        </is>
      </c>
      <c r="B854" s="6" t="inlineStr">
        <is>
          <t>WAFI CELL</t>
        </is>
      </c>
      <c r="C854" s="7" t="inlineStr">
        <is>
          <t>AV - Agen Verified</t>
        </is>
      </c>
      <c r="D854" s="1" t="inlineStr">
        <is>
          <t>OP04523</t>
        </is>
      </c>
      <c r="E854" s="8" t="n">
        <v>44990.62638888889</v>
      </c>
      <c r="F854" s="7" t="inlineStr">
        <is>
          <t>DOWNLINE</t>
        </is>
      </c>
      <c r="G854" s="18" t="inlineStr">
        <is>
          <t>OP04523</t>
        </is>
      </c>
      <c r="H854" s="19">
        <f>UPPER(Table3[[#This Row],[Agen id]]&amp;"-"&amp;VLOOKUP(Table3[[#This Row],[Agen id]],A:B,2,0)&amp;"("&amp;Table3[[#This Row],[Short]]&amp;")")</f>
        <v/>
      </c>
      <c r="J854" s="7">
        <f>VLOOKUP(Table3[[#This Row],[Agen id]],Agen!A:C,3,0)</f>
        <v/>
      </c>
      <c r="K854" s="37">
        <f>TRIM(LEFT(Table3[[#This Row],[Group]],2))</f>
        <v/>
      </c>
      <c r="L854" s="3" t="inlineStr">
        <is>
          <t>NON SALES</t>
        </is>
      </c>
    </row>
    <row r="855">
      <c r="A855" s="5" t="inlineStr">
        <is>
          <t>OP05683</t>
        </is>
      </c>
      <c r="B855" s="6" t="inlineStr">
        <is>
          <t>jaya ponsel</t>
        </is>
      </c>
      <c r="C855" s="7" t="inlineStr">
        <is>
          <t>A - Agen</t>
        </is>
      </c>
      <c r="D855" s="1" t="inlineStr">
        <is>
          <t>OP00002</t>
        </is>
      </c>
      <c r="E855" s="8" t="n">
        <v>44991.60138888889</v>
      </c>
      <c r="F855" s="7" t="inlineStr">
        <is>
          <t>AGEN</t>
        </is>
      </c>
      <c r="G855" s="18" t="inlineStr">
        <is>
          <t>OP05683</t>
        </is>
      </c>
      <c r="H855" s="19">
        <f>UPPER(Table3[[#This Row],[Agen id]]&amp;"-"&amp;VLOOKUP(Table3[[#This Row],[Agen id]],A:B,2,0)&amp;"("&amp;Table3[[#This Row],[Short]]&amp;")")</f>
        <v/>
      </c>
      <c r="J855" s="7">
        <f>VLOOKUP(Table3[[#This Row],[Agen id]],Agen!A:C,3,0)</f>
        <v/>
      </c>
      <c r="K855" s="37">
        <f>TRIM(LEFT(Table3[[#This Row],[Group]],2))</f>
        <v/>
      </c>
      <c r="L855" s="3" t="inlineStr">
        <is>
          <t>NON SALES</t>
        </is>
      </c>
    </row>
    <row r="856">
      <c r="A856" s="5" t="inlineStr">
        <is>
          <t>OP05688</t>
        </is>
      </c>
      <c r="B856" s="6" t="inlineStr">
        <is>
          <t>kios fifah</t>
        </is>
      </c>
      <c r="C856" s="7" t="inlineStr">
        <is>
          <t>AV - Agen Verified</t>
        </is>
      </c>
      <c r="D856" s="1" t="inlineStr">
        <is>
          <t>OP03216</t>
        </is>
      </c>
      <c r="E856" s="8" t="n">
        <v>44991.72291666667</v>
      </c>
      <c r="F856" s="7" t="inlineStr">
        <is>
          <t>DOWNLINE</t>
        </is>
      </c>
      <c r="G856" s="18" t="inlineStr">
        <is>
          <t>OP00049</t>
        </is>
      </c>
      <c r="H856" s="19">
        <f>UPPER(Table3[[#This Row],[Agen id]]&amp;"-"&amp;VLOOKUP(Table3[[#This Row],[Agen id]],A:B,2,0)&amp;"("&amp;Table3[[#This Row],[Short]]&amp;")")</f>
        <v/>
      </c>
      <c r="J856" s="7">
        <f>VLOOKUP(Table3[[#This Row],[Agen id]],Agen!A:C,3,0)</f>
        <v/>
      </c>
      <c r="K856" s="37">
        <f>TRIM(LEFT(Table3[[#This Row],[Group]],2))</f>
        <v/>
      </c>
      <c r="L856" s="3" t="inlineStr">
        <is>
          <t>NON SALES</t>
        </is>
      </c>
    </row>
    <row r="857">
      <c r="A857" s="5" t="inlineStr">
        <is>
          <t>OP05693</t>
        </is>
      </c>
      <c r="B857" s="6" t="inlineStr">
        <is>
          <t>Shalom Elisabet</t>
        </is>
      </c>
      <c r="C857" s="7" t="inlineStr">
        <is>
          <t>A - Agen</t>
        </is>
      </c>
      <c r="D857" s="1" t="inlineStr">
        <is>
          <t>OP00002</t>
        </is>
      </c>
      <c r="E857" s="8" t="n">
        <v>44992.27986111111</v>
      </c>
      <c r="F857" s="7" t="inlineStr">
        <is>
          <t>AGEN</t>
        </is>
      </c>
      <c r="G857" s="18" t="inlineStr">
        <is>
          <t>OP05693</t>
        </is>
      </c>
      <c r="H857" s="19">
        <f>UPPER(Table3[[#This Row],[Agen id]]&amp;"-"&amp;VLOOKUP(Table3[[#This Row],[Agen id]],A:B,2,0)&amp;"("&amp;Table3[[#This Row],[Short]]&amp;")")</f>
        <v/>
      </c>
      <c r="J857" s="7">
        <f>VLOOKUP(Table3[[#This Row],[Agen id]],Agen!A:C,3,0)</f>
        <v/>
      </c>
      <c r="K857" s="37">
        <f>TRIM(LEFT(Table3[[#This Row],[Group]],2))</f>
        <v/>
      </c>
      <c r="L857" s="3" t="inlineStr">
        <is>
          <t>NON SALES</t>
        </is>
      </c>
    </row>
    <row r="858">
      <c r="A858" s="5" t="inlineStr">
        <is>
          <t>OP05695</t>
        </is>
      </c>
      <c r="B858" s="6" t="inlineStr">
        <is>
          <t>viana cell</t>
        </is>
      </c>
      <c r="C858" s="7" t="inlineStr">
        <is>
          <t>AV - Agen Verified</t>
        </is>
      </c>
      <c r="D858" s="1" t="inlineStr">
        <is>
          <t>OP00002</t>
        </is>
      </c>
      <c r="E858" s="8" t="n">
        <v>44992.49375</v>
      </c>
      <c r="F858" s="7" t="inlineStr">
        <is>
          <t>AGEN</t>
        </is>
      </c>
      <c r="G858" s="18" t="inlineStr">
        <is>
          <t>OP05695</t>
        </is>
      </c>
      <c r="H858" s="19">
        <f>UPPER(Table3[[#This Row],[Agen id]]&amp;"-"&amp;VLOOKUP(Table3[[#This Row],[Agen id]],A:B,2,0)&amp;"("&amp;Table3[[#This Row],[Short]]&amp;")")</f>
        <v/>
      </c>
      <c r="J858" s="7">
        <f>VLOOKUP(Table3[[#This Row],[Agen id]],Agen!A:C,3,0)</f>
        <v/>
      </c>
      <c r="K858" s="37">
        <f>TRIM(LEFT(Table3[[#This Row],[Group]],2))</f>
        <v/>
      </c>
      <c r="L858" s="3" t="inlineStr">
        <is>
          <t>NON SALES</t>
        </is>
      </c>
    </row>
    <row r="859">
      <c r="A859" s="5" t="inlineStr">
        <is>
          <t>OP05703</t>
        </is>
      </c>
      <c r="B859" s="6" t="inlineStr">
        <is>
          <t>Jeni budialam</t>
        </is>
      </c>
      <c r="C859" s="7" t="inlineStr">
        <is>
          <t>A - Agen</t>
        </is>
      </c>
      <c r="D859" s="1" t="inlineStr">
        <is>
          <t>OP00002</t>
        </is>
      </c>
      <c r="E859" s="8" t="n">
        <v>44993.30555555555</v>
      </c>
      <c r="F859" s="7" t="inlineStr">
        <is>
          <t>AGEN</t>
        </is>
      </c>
      <c r="G859" s="18" t="inlineStr">
        <is>
          <t>OP05703</t>
        </is>
      </c>
      <c r="H859" s="19">
        <f>UPPER(Table3[[#This Row],[Agen id]]&amp;"-"&amp;VLOOKUP(Table3[[#This Row],[Agen id]],A:B,2,0)&amp;"("&amp;Table3[[#This Row],[Short]]&amp;")")</f>
        <v/>
      </c>
      <c r="J859" s="7">
        <f>VLOOKUP(Table3[[#This Row],[Agen id]],Agen!A:C,3,0)</f>
        <v/>
      </c>
      <c r="K859" s="37">
        <f>TRIM(LEFT(Table3[[#This Row],[Group]],2))</f>
        <v/>
      </c>
      <c r="L859" s="3" t="inlineStr">
        <is>
          <t>NON SALES</t>
        </is>
      </c>
    </row>
    <row r="860">
      <c r="A860" s="5" t="inlineStr">
        <is>
          <t>OP05704</t>
        </is>
      </c>
      <c r="B860" s="6" t="inlineStr">
        <is>
          <t>zaini cell</t>
        </is>
      </c>
      <c r="C860" s="7" t="inlineStr">
        <is>
          <t>AV - Agen Verified</t>
        </is>
      </c>
      <c r="D860" s="1" t="inlineStr">
        <is>
          <t>OP00002</t>
        </is>
      </c>
      <c r="E860" s="8" t="n">
        <v>44993.38888888889</v>
      </c>
      <c r="F860" s="7" t="inlineStr">
        <is>
          <t>AGEN</t>
        </is>
      </c>
      <c r="G860" s="18" t="inlineStr">
        <is>
          <t>OP05704</t>
        </is>
      </c>
      <c r="H860" s="19">
        <f>UPPER(Table3[[#This Row],[Agen id]]&amp;"-"&amp;VLOOKUP(Table3[[#This Row],[Agen id]],A:B,2,0)&amp;"("&amp;Table3[[#This Row],[Short]]&amp;")")</f>
        <v/>
      </c>
      <c r="J860" s="7">
        <f>VLOOKUP(Table3[[#This Row],[Agen id]],Agen!A:C,3,0)</f>
        <v/>
      </c>
      <c r="K860" s="37">
        <f>TRIM(LEFT(Table3[[#This Row],[Group]],2))</f>
        <v/>
      </c>
      <c r="L860" s="3" t="inlineStr">
        <is>
          <t>NON SALES</t>
        </is>
      </c>
    </row>
    <row r="861">
      <c r="A861" s="5" t="inlineStr">
        <is>
          <t>OP05706</t>
        </is>
      </c>
      <c r="B861" s="6" t="inlineStr">
        <is>
          <t>JR celular</t>
        </is>
      </c>
      <c r="C861" s="7" t="inlineStr">
        <is>
          <t>A - Agen</t>
        </is>
      </c>
      <c r="D861" s="1" t="inlineStr">
        <is>
          <t>OP00002</t>
        </is>
      </c>
      <c r="E861" s="8" t="n">
        <v>44993.68055555555</v>
      </c>
      <c r="F861" s="7" t="inlineStr">
        <is>
          <t>AGEN</t>
        </is>
      </c>
      <c r="G861" s="18" t="inlineStr">
        <is>
          <t>OP05706</t>
        </is>
      </c>
      <c r="H861" s="19">
        <f>UPPER(Table3[[#This Row],[Agen id]]&amp;"-"&amp;VLOOKUP(Table3[[#This Row],[Agen id]],A:B,2,0)&amp;"("&amp;Table3[[#This Row],[Short]]&amp;")")</f>
        <v/>
      </c>
      <c r="J861" s="7">
        <f>VLOOKUP(Table3[[#This Row],[Agen id]],Agen!A:C,3,0)</f>
        <v/>
      </c>
      <c r="K861" s="37">
        <f>TRIM(LEFT(Table3[[#This Row],[Group]],2))</f>
        <v/>
      </c>
      <c r="L861" s="3" t="inlineStr">
        <is>
          <t>NON SALES</t>
        </is>
      </c>
    </row>
    <row r="862">
      <c r="A862" s="5" t="inlineStr">
        <is>
          <t>OP05707</t>
        </is>
      </c>
      <c r="B862" s="6" t="inlineStr">
        <is>
          <t>Putri</t>
        </is>
      </c>
      <c r="C862" s="7" t="inlineStr">
        <is>
          <t>A - Agen</t>
        </is>
      </c>
      <c r="D862" s="1" t="inlineStr">
        <is>
          <t>OP00036</t>
        </is>
      </c>
      <c r="E862" s="8" t="n">
        <v>44993.69027777778</v>
      </c>
      <c r="F862" s="7" t="inlineStr">
        <is>
          <t>DOWNLINE</t>
        </is>
      </c>
      <c r="G862" s="18" t="inlineStr">
        <is>
          <t>OP00036</t>
        </is>
      </c>
      <c r="H862" s="19">
        <f>UPPER(Table3[[#This Row],[Agen id]]&amp;"-"&amp;VLOOKUP(Table3[[#This Row],[Agen id]],A:B,2,0)&amp;"("&amp;Table3[[#This Row],[Short]]&amp;")")</f>
        <v/>
      </c>
      <c r="J862" s="7">
        <f>VLOOKUP(Table3[[#This Row],[Agen id]],Agen!A:C,3,0)</f>
        <v/>
      </c>
      <c r="K862" s="37">
        <f>TRIM(LEFT(Table3[[#This Row],[Group]],2))</f>
        <v/>
      </c>
      <c r="L862" s="3" t="inlineStr">
        <is>
          <t>NON SALES</t>
        </is>
      </c>
    </row>
    <row r="863">
      <c r="A863" s="5" t="inlineStr">
        <is>
          <t>OP05710</t>
        </is>
      </c>
      <c r="B863" s="6" t="inlineStr">
        <is>
          <t>Shinta dewi kartika</t>
        </is>
      </c>
      <c r="C863" s="7" t="inlineStr">
        <is>
          <t>A - Agen</t>
        </is>
      </c>
      <c r="D863" s="1" t="inlineStr">
        <is>
          <t>OP03060</t>
        </is>
      </c>
      <c r="E863" s="8" t="n">
        <v>44993.85833333333</v>
      </c>
      <c r="F863" s="7" t="inlineStr">
        <is>
          <t>DOWNLINE</t>
        </is>
      </c>
      <c r="G863" s="18" t="inlineStr">
        <is>
          <t>OP00996</t>
        </is>
      </c>
      <c r="H863" s="19">
        <f>UPPER(Table3[[#This Row],[Agen id]]&amp;"-"&amp;VLOOKUP(Table3[[#This Row],[Agen id]],A:B,2,0)&amp;"("&amp;Table3[[#This Row],[Short]]&amp;")")</f>
        <v/>
      </c>
      <c r="J863" s="7">
        <f>VLOOKUP(Table3[[#This Row],[Agen id]],Agen!A:C,3,0)</f>
        <v/>
      </c>
      <c r="K863" s="37">
        <f>TRIM(LEFT(Table3[[#This Row],[Group]],2))</f>
        <v/>
      </c>
      <c r="L863" s="3" t="inlineStr">
        <is>
          <t>NON SALES</t>
        </is>
      </c>
    </row>
    <row r="864">
      <c r="A864" s="5" t="inlineStr">
        <is>
          <t>OP05713</t>
        </is>
      </c>
      <c r="B864" s="6" t="inlineStr">
        <is>
          <t>Herlina Nona</t>
        </is>
      </c>
      <c r="C864" s="7" t="inlineStr">
        <is>
          <t>AV - Agen Verified</t>
        </is>
      </c>
      <c r="D864" s="1" t="inlineStr">
        <is>
          <t>OP00003</t>
        </is>
      </c>
      <c r="E864" s="8" t="n">
        <v>44994.15416666667</v>
      </c>
      <c r="F864" s="7" t="inlineStr">
        <is>
          <t>AGEN</t>
        </is>
      </c>
      <c r="G864" s="18" t="inlineStr">
        <is>
          <t>OP05713</t>
        </is>
      </c>
      <c r="H864" s="19">
        <f>UPPER(Table3[[#This Row],[Agen id]]&amp;"-"&amp;VLOOKUP(Table3[[#This Row],[Agen id]],A:B,2,0)&amp;"("&amp;Table3[[#This Row],[Short]]&amp;")")</f>
        <v/>
      </c>
      <c r="J864" s="7">
        <f>VLOOKUP(Table3[[#This Row],[Agen id]],Agen!A:C,3,0)</f>
        <v/>
      </c>
      <c r="K864" s="37">
        <f>TRIM(LEFT(Table3[[#This Row],[Group]],2))</f>
        <v/>
      </c>
      <c r="L864" s="3" t="inlineStr">
        <is>
          <t>NON SALES</t>
        </is>
      </c>
    </row>
    <row r="865">
      <c r="A865" s="5" t="inlineStr">
        <is>
          <t>OP05739</t>
        </is>
      </c>
      <c r="B865" s="6" t="inlineStr">
        <is>
          <t>TINI CELL</t>
        </is>
      </c>
      <c r="C865" s="7" t="inlineStr">
        <is>
          <t>AV - Agen Verified</t>
        </is>
      </c>
      <c r="D865" s="1" t="inlineStr">
        <is>
          <t>OP00003</t>
        </is>
      </c>
      <c r="E865" s="8" t="n">
        <v>44996.15625</v>
      </c>
      <c r="F865" s="7" t="inlineStr">
        <is>
          <t>AGEN</t>
        </is>
      </c>
      <c r="G865" s="18" t="inlineStr">
        <is>
          <t>OP05739</t>
        </is>
      </c>
      <c r="H865" s="19">
        <f>UPPER(Table3[[#This Row],[Agen id]]&amp;"-"&amp;VLOOKUP(Table3[[#This Row],[Agen id]],A:B,2,0)&amp;"("&amp;Table3[[#This Row],[Short]]&amp;")")</f>
        <v/>
      </c>
      <c r="J865" s="7">
        <f>VLOOKUP(Table3[[#This Row],[Agen id]],Agen!A:C,3,0)</f>
        <v/>
      </c>
      <c r="K865" s="37">
        <f>TRIM(LEFT(Table3[[#This Row],[Group]],2))</f>
        <v/>
      </c>
      <c r="L865" s="3" t="inlineStr">
        <is>
          <t>NON SALES</t>
        </is>
      </c>
    </row>
    <row r="866">
      <c r="A866" s="5" t="inlineStr">
        <is>
          <t>OP05744</t>
        </is>
      </c>
      <c r="B866" s="6" t="inlineStr">
        <is>
          <t>Pitri</t>
        </is>
      </c>
      <c r="C866" s="7" t="inlineStr">
        <is>
          <t>A - Agen</t>
        </is>
      </c>
      <c r="D866" s="1" t="inlineStr">
        <is>
          <t>OP05548</t>
        </is>
      </c>
      <c r="E866" s="8" t="n">
        <v>44996.72569444445</v>
      </c>
      <c r="F866" s="7" t="inlineStr">
        <is>
          <t>DOWNLINE</t>
        </is>
      </c>
      <c r="G866" s="18" t="inlineStr">
        <is>
          <t>OP05548</t>
        </is>
      </c>
      <c r="H866" s="19">
        <f>UPPER(Table3[[#This Row],[Agen id]]&amp;"-"&amp;VLOOKUP(Table3[[#This Row],[Agen id]],A:B,2,0)&amp;"("&amp;Table3[[#This Row],[Short]]&amp;")")</f>
        <v/>
      </c>
      <c r="J866" s="7">
        <f>VLOOKUP(Table3[[#This Row],[Agen id]],Agen!A:C,3,0)</f>
        <v/>
      </c>
      <c r="K866" s="37">
        <f>TRIM(LEFT(Table3[[#This Row],[Group]],2))</f>
        <v/>
      </c>
      <c r="L866" s="3" t="inlineStr">
        <is>
          <t>NON SALES</t>
        </is>
      </c>
    </row>
    <row r="867">
      <c r="A867" s="5" t="inlineStr">
        <is>
          <t>OP05761</t>
        </is>
      </c>
      <c r="B867" s="6" t="inlineStr">
        <is>
          <t>Donatus Boni</t>
        </is>
      </c>
      <c r="C867" s="7" t="inlineStr">
        <is>
          <t>A - Agen</t>
        </is>
      </c>
      <c r="D867" s="1" t="inlineStr">
        <is>
          <t>OP00002</t>
        </is>
      </c>
      <c r="E867" s="8" t="n">
        <v>44998.76944444444</v>
      </c>
      <c r="F867" s="7" t="inlineStr">
        <is>
          <t>AGEN</t>
        </is>
      </c>
      <c r="G867" s="18" t="inlineStr">
        <is>
          <t>OP05761</t>
        </is>
      </c>
      <c r="H867" s="19">
        <f>UPPER(Table3[[#This Row],[Agen id]]&amp;"-"&amp;VLOOKUP(Table3[[#This Row],[Agen id]],A:B,2,0)&amp;"("&amp;Table3[[#This Row],[Short]]&amp;")")</f>
        <v/>
      </c>
      <c r="J867" s="7">
        <f>VLOOKUP(Table3[[#This Row],[Agen id]],Agen!A:C,3,0)</f>
        <v/>
      </c>
      <c r="K867" s="37">
        <f>TRIM(LEFT(Table3[[#This Row],[Group]],2))</f>
        <v/>
      </c>
      <c r="L867" s="3" t="inlineStr">
        <is>
          <t>NON SALES</t>
        </is>
      </c>
    </row>
    <row r="868">
      <c r="A868" s="5" t="inlineStr">
        <is>
          <t>OP05764</t>
        </is>
      </c>
      <c r="B868" s="6" t="inlineStr">
        <is>
          <t>Wina Nuryani</t>
        </is>
      </c>
      <c r="C868" s="7" t="inlineStr">
        <is>
          <t>A - Agen</t>
        </is>
      </c>
      <c r="D868" s="1" t="inlineStr">
        <is>
          <t>OP00002</t>
        </is>
      </c>
      <c r="E868" s="8" t="n">
        <v>44999.03125</v>
      </c>
      <c r="F868" s="7" t="inlineStr">
        <is>
          <t>AGEN</t>
        </is>
      </c>
      <c r="G868" s="18" t="inlineStr">
        <is>
          <t>OP05764</t>
        </is>
      </c>
      <c r="H868" s="19">
        <f>UPPER(Table3[[#This Row],[Agen id]]&amp;"-"&amp;VLOOKUP(Table3[[#This Row],[Agen id]],A:B,2,0)&amp;"("&amp;Table3[[#This Row],[Short]]&amp;")")</f>
        <v/>
      </c>
      <c r="J868" s="7">
        <f>VLOOKUP(Table3[[#This Row],[Agen id]],Agen!A:C,3,0)</f>
        <v/>
      </c>
      <c r="K868" s="37">
        <f>TRIM(LEFT(Table3[[#This Row],[Group]],2))</f>
        <v/>
      </c>
      <c r="L868" s="3" t="inlineStr">
        <is>
          <t>NON SALES</t>
        </is>
      </c>
    </row>
    <row r="869">
      <c r="A869" s="5" t="inlineStr">
        <is>
          <t>OP05766</t>
        </is>
      </c>
      <c r="B869" s="6" t="inlineStr">
        <is>
          <t>Uwa park cell</t>
        </is>
      </c>
      <c r="C869" s="7" t="inlineStr">
        <is>
          <t>A - Agen</t>
        </is>
      </c>
      <c r="D869" s="1" t="inlineStr">
        <is>
          <t>OP00002</t>
        </is>
      </c>
      <c r="E869" s="8" t="n">
        <v>44999.62291666667</v>
      </c>
      <c r="F869" s="7" t="inlineStr">
        <is>
          <t>AGEN</t>
        </is>
      </c>
      <c r="G869" s="18" t="inlineStr">
        <is>
          <t>OP05766</t>
        </is>
      </c>
      <c r="H869" s="19">
        <f>UPPER(Table3[[#This Row],[Agen id]]&amp;"-"&amp;VLOOKUP(Table3[[#This Row],[Agen id]],A:B,2,0)&amp;"("&amp;Table3[[#This Row],[Short]]&amp;")")</f>
        <v/>
      </c>
      <c r="J869" s="7">
        <f>VLOOKUP(Table3[[#This Row],[Agen id]],Agen!A:C,3,0)</f>
        <v/>
      </c>
      <c r="K869" s="37">
        <f>TRIM(LEFT(Table3[[#This Row],[Group]],2))</f>
        <v/>
      </c>
      <c r="L869" s="3" t="inlineStr">
        <is>
          <t>NON SALES</t>
        </is>
      </c>
    </row>
    <row r="870">
      <c r="A870" s="5" t="inlineStr">
        <is>
          <t>OP05769</t>
        </is>
      </c>
      <c r="B870" s="6" t="inlineStr">
        <is>
          <t>Sampri cell</t>
        </is>
      </c>
      <c r="C870" s="7" t="inlineStr">
        <is>
          <t>A - Agen</t>
        </is>
      </c>
      <c r="D870" s="1" t="inlineStr">
        <is>
          <t>OP00002</t>
        </is>
      </c>
      <c r="E870" s="8" t="n">
        <v>44999.86458333334</v>
      </c>
      <c r="F870" s="7" t="inlineStr">
        <is>
          <t>AGEN</t>
        </is>
      </c>
      <c r="G870" s="18" t="inlineStr">
        <is>
          <t>OP05769</t>
        </is>
      </c>
      <c r="H870" s="19">
        <f>UPPER(Table3[[#This Row],[Agen id]]&amp;"-"&amp;VLOOKUP(Table3[[#This Row],[Agen id]],A:B,2,0)&amp;"("&amp;Table3[[#This Row],[Short]]&amp;")")</f>
        <v/>
      </c>
      <c r="J870" s="7">
        <f>VLOOKUP(Table3[[#This Row],[Agen id]],Agen!A:C,3,0)</f>
        <v/>
      </c>
      <c r="K870" s="37">
        <f>TRIM(LEFT(Table3[[#This Row],[Group]],2))</f>
        <v/>
      </c>
      <c r="L870" s="3" t="inlineStr">
        <is>
          <t>NON SALES</t>
        </is>
      </c>
    </row>
    <row r="871">
      <c r="A871" s="5" t="inlineStr">
        <is>
          <t>OP05773</t>
        </is>
      </c>
      <c r="B871" s="6" t="inlineStr">
        <is>
          <t>kk agni</t>
        </is>
      </c>
      <c r="C871" s="7" t="inlineStr">
        <is>
          <t>A - Agen</t>
        </is>
      </c>
      <c r="D871" s="1" t="inlineStr">
        <is>
          <t>OP04113</t>
        </is>
      </c>
      <c r="E871" s="8" t="n">
        <v>45000.49583333333</v>
      </c>
      <c r="F871" s="7" t="inlineStr">
        <is>
          <t>DOWNLINE</t>
        </is>
      </c>
      <c r="G871" s="18" t="inlineStr">
        <is>
          <t>OP04099</t>
        </is>
      </c>
      <c r="H871" s="19">
        <f>UPPER(Table3[[#This Row],[Agen id]]&amp;"-"&amp;VLOOKUP(Table3[[#This Row],[Agen id]],A:B,2,0)&amp;"("&amp;Table3[[#This Row],[Short]]&amp;")")</f>
        <v/>
      </c>
      <c r="J871" s="7">
        <f>VLOOKUP(Table3[[#This Row],[Agen id]],Agen!A:C,3,0)</f>
        <v/>
      </c>
      <c r="K871" s="37">
        <f>TRIM(LEFT(Table3[[#This Row],[Group]],2))</f>
        <v/>
      </c>
      <c r="L871" s="3" t="inlineStr">
        <is>
          <t>NON SALES</t>
        </is>
      </c>
    </row>
    <row r="872">
      <c r="A872" s="5" t="inlineStr">
        <is>
          <t>OP05781</t>
        </is>
      </c>
      <c r="B872" s="6" t="inlineStr">
        <is>
          <t>Thangkoh cell</t>
        </is>
      </c>
      <c r="C872" s="7" t="inlineStr">
        <is>
          <t>A - Agen</t>
        </is>
      </c>
      <c r="D872" s="1" t="inlineStr">
        <is>
          <t>OP00002</t>
        </is>
      </c>
      <c r="E872" s="8" t="n">
        <v>45001.39097222222</v>
      </c>
      <c r="F872" s="7" t="inlineStr">
        <is>
          <t>AGEN</t>
        </is>
      </c>
      <c r="G872" s="18" t="inlineStr">
        <is>
          <t>OP05781</t>
        </is>
      </c>
      <c r="H872" s="19">
        <f>UPPER(Table3[[#This Row],[Agen id]]&amp;"-"&amp;VLOOKUP(Table3[[#This Row],[Agen id]],A:B,2,0)&amp;"("&amp;Table3[[#This Row],[Short]]&amp;")")</f>
        <v/>
      </c>
      <c r="J872" s="7">
        <f>VLOOKUP(Table3[[#This Row],[Agen id]],Agen!A:C,3,0)</f>
        <v/>
      </c>
      <c r="K872" s="37">
        <f>TRIM(LEFT(Table3[[#This Row],[Group]],2))</f>
        <v/>
      </c>
      <c r="L872" s="3" t="inlineStr">
        <is>
          <t>NON SALES</t>
        </is>
      </c>
    </row>
    <row r="873">
      <c r="A873" s="5" t="inlineStr">
        <is>
          <t>OP05783</t>
        </is>
      </c>
      <c r="B873" s="6" t="inlineStr">
        <is>
          <t>Michelle</t>
        </is>
      </c>
      <c r="C873" s="7" t="inlineStr">
        <is>
          <t>A - Agen</t>
        </is>
      </c>
      <c r="D873" s="1" t="inlineStr">
        <is>
          <t>OP00002</t>
        </is>
      </c>
      <c r="E873" s="8" t="n">
        <v>45001.51388888889</v>
      </c>
      <c r="F873" s="7" t="inlineStr">
        <is>
          <t>AGEN</t>
        </is>
      </c>
      <c r="G873" s="18" t="inlineStr">
        <is>
          <t>OP05783</t>
        </is>
      </c>
      <c r="H873" s="19">
        <f>UPPER(Table3[[#This Row],[Agen id]]&amp;"-"&amp;VLOOKUP(Table3[[#This Row],[Agen id]],A:B,2,0)&amp;"("&amp;Table3[[#This Row],[Short]]&amp;")")</f>
        <v/>
      </c>
      <c r="J873" s="7">
        <f>VLOOKUP(Table3[[#This Row],[Agen id]],Agen!A:C,3,0)</f>
        <v/>
      </c>
      <c r="K873" s="37">
        <f>TRIM(LEFT(Table3[[#This Row],[Group]],2))</f>
        <v/>
      </c>
      <c r="L873" s="3" t="inlineStr">
        <is>
          <t>NON SALES</t>
        </is>
      </c>
    </row>
    <row r="874">
      <c r="A874" s="5" t="inlineStr">
        <is>
          <t>OP05784</t>
        </is>
      </c>
      <c r="B874" s="6" t="inlineStr">
        <is>
          <t>ELcelluler</t>
        </is>
      </c>
      <c r="C874" s="7" t="inlineStr">
        <is>
          <t>A - Agen</t>
        </is>
      </c>
      <c r="D874" s="1" t="inlineStr">
        <is>
          <t>OP03632</t>
        </is>
      </c>
      <c r="E874" s="8" t="n">
        <v>45001.52708333333</v>
      </c>
      <c r="F874" s="7" t="inlineStr">
        <is>
          <t>DOWNLINE</t>
        </is>
      </c>
      <c r="G874" s="18" t="inlineStr">
        <is>
          <t>OP00996</t>
        </is>
      </c>
      <c r="H874" s="19">
        <f>UPPER(Table3[[#This Row],[Agen id]]&amp;"-"&amp;VLOOKUP(Table3[[#This Row],[Agen id]],A:B,2,0)&amp;"("&amp;Table3[[#This Row],[Short]]&amp;")")</f>
        <v/>
      </c>
      <c r="J874" s="7">
        <f>VLOOKUP(Table3[[#This Row],[Agen id]],Agen!A:C,3,0)</f>
        <v/>
      </c>
      <c r="K874" s="37">
        <f>TRIM(LEFT(Table3[[#This Row],[Group]],2))</f>
        <v/>
      </c>
      <c r="L874" s="3" t="inlineStr">
        <is>
          <t>NON SALES</t>
        </is>
      </c>
    </row>
    <row r="875">
      <c r="A875" s="5" t="inlineStr">
        <is>
          <t>OP05790</t>
        </is>
      </c>
      <c r="B875" s="6" t="inlineStr">
        <is>
          <t>Bilfat28</t>
        </is>
      </c>
      <c r="C875" s="7" t="inlineStr">
        <is>
          <t>A - Agen</t>
        </is>
      </c>
      <c r="D875" s="1" t="inlineStr">
        <is>
          <t>OP00002</t>
        </is>
      </c>
      <c r="E875" s="8" t="n">
        <v>45001.97638888889</v>
      </c>
      <c r="F875" s="7" t="inlineStr">
        <is>
          <t>AGEN</t>
        </is>
      </c>
      <c r="G875" s="18" t="inlineStr">
        <is>
          <t>OP05790</t>
        </is>
      </c>
      <c r="H875" s="19">
        <f>UPPER(Table3[[#This Row],[Agen id]]&amp;"-"&amp;VLOOKUP(Table3[[#This Row],[Agen id]],A:B,2,0)&amp;"("&amp;Table3[[#This Row],[Short]]&amp;")")</f>
        <v/>
      </c>
      <c r="J875" s="7">
        <f>VLOOKUP(Table3[[#This Row],[Agen id]],Agen!A:C,3,0)</f>
        <v/>
      </c>
      <c r="K875" s="37">
        <f>TRIM(LEFT(Table3[[#This Row],[Group]],2))</f>
        <v/>
      </c>
      <c r="L875" s="3" t="inlineStr">
        <is>
          <t>NON SALES</t>
        </is>
      </c>
    </row>
    <row r="876">
      <c r="A876" s="5" t="inlineStr">
        <is>
          <t>OP05794</t>
        </is>
      </c>
      <c r="B876" s="6" t="inlineStr">
        <is>
          <t>ATYN</t>
        </is>
      </c>
      <c r="C876" s="7" t="inlineStr">
        <is>
          <t>A - Agen</t>
        </is>
      </c>
      <c r="D876" s="1" t="inlineStr">
        <is>
          <t>OP00284</t>
        </is>
      </c>
      <c r="E876" s="8" t="n">
        <v>45002.44861111111</v>
      </c>
      <c r="F876" s="7" t="inlineStr">
        <is>
          <t>DOWNLINE</t>
        </is>
      </c>
      <c r="G876" s="18" t="inlineStr">
        <is>
          <t>OP00014</t>
        </is>
      </c>
      <c r="H876" s="19">
        <f>UPPER(Table3[[#This Row],[Agen id]]&amp;"-"&amp;VLOOKUP(Table3[[#This Row],[Agen id]],A:B,2,0)&amp;"("&amp;Table3[[#This Row],[Short]]&amp;")")</f>
        <v/>
      </c>
      <c r="J876" s="7">
        <f>VLOOKUP(Table3[[#This Row],[Agen id]],Agen!A:C,3,0)</f>
        <v/>
      </c>
      <c r="K876" s="37">
        <f>TRIM(LEFT(Table3[[#This Row],[Group]],2))</f>
        <v/>
      </c>
      <c r="L876" s="3" t="inlineStr">
        <is>
          <t>NON SALES</t>
        </is>
      </c>
    </row>
    <row r="877">
      <c r="A877" s="5" t="inlineStr">
        <is>
          <t>OP05806</t>
        </is>
      </c>
      <c r="B877" s="6" t="inlineStr">
        <is>
          <t>Aki saputrw</t>
        </is>
      </c>
      <c r="C877" s="7" t="inlineStr">
        <is>
          <t>A - Agen</t>
        </is>
      </c>
      <c r="D877" s="1" t="inlineStr">
        <is>
          <t>OP00014</t>
        </is>
      </c>
      <c r="E877" s="8" t="n">
        <v>45004.54375</v>
      </c>
      <c r="F877" s="7" t="inlineStr">
        <is>
          <t>DOWNLINE</t>
        </is>
      </c>
      <c r="G877" s="18" t="inlineStr">
        <is>
          <t>OP00014</t>
        </is>
      </c>
      <c r="H877" s="19">
        <f>UPPER(Table3[[#This Row],[Agen id]]&amp;"-"&amp;VLOOKUP(Table3[[#This Row],[Agen id]],A:B,2,0)&amp;"("&amp;Table3[[#This Row],[Short]]&amp;")")</f>
        <v/>
      </c>
      <c r="J877" s="7">
        <f>VLOOKUP(Table3[[#This Row],[Agen id]],Agen!A:C,3,0)</f>
        <v/>
      </c>
      <c r="K877" s="37">
        <f>TRIM(LEFT(Table3[[#This Row],[Group]],2))</f>
        <v/>
      </c>
      <c r="L877" s="3" t="inlineStr">
        <is>
          <t>NON SALES</t>
        </is>
      </c>
    </row>
    <row r="878">
      <c r="A878" s="5" t="inlineStr">
        <is>
          <t>OP05816</t>
        </is>
      </c>
      <c r="B878" s="6" t="inlineStr">
        <is>
          <t>Edi</t>
        </is>
      </c>
      <c r="C878" s="7" t="inlineStr">
        <is>
          <t>A - Agen</t>
        </is>
      </c>
      <c r="D878" s="1" t="inlineStr">
        <is>
          <t>OP00002</t>
        </is>
      </c>
      <c r="E878" s="8" t="n">
        <v>45005.94513888889</v>
      </c>
      <c r="F878" s="7" t="inlineStr">
        <is>
          <t>AGEN</t>
        </is>
      </c>
      <c r="G878" s="18" t="inlineStr">
        <is>
          <t>OP05816</t>
        </is>
      </c>
      <c r="H878" s="19">
        <f>UPPER(Table3[[#This Row],[Agen id]]&amp;"-"&amp;VLOOKUP(Table3[[#This Row],[Agen id]],A:B,2,0)&amp;"("&amp;Table3[[#This Row],[Short]]&amp;")")</f>
        <v/>
      </c>
      <c r="J878" s="7">
        <f>VLOOKUP(Table3[[#This Row],[Agen id]],Agen!A:C,3,0)</f>
        <v/>
      </c>
      <c r="K878" s="37">
        <f>TRIM(LEFT(Table3[[#This Row],[Group]],2))</f>
        <v/>
      </c>
      <c r="L878" s="3" t="inlineStr">
        <is>
          <t>NON SALES</t>
        </is>
      </c>
    </row>
    <row r="879">
      <c r="A879" s="5" t="inlineStr">
        <is>
          <t>OP05817</t>
        </is>
      </c>
      <c r="B879" s="6" t="inlineStr">
        <is>
          <t>SHAN CELL 46</t>
        </is>
      </c>
      <c r="C879" s="7" t="inlineStr">
        <is>
          <t>AB1 - Agen Kab Bogor</t>
        </is>
      </c>
      <c r="D879" s="1" t="inlineStr">
        <is>
          <t>OP00311</t>
        </is>
      </c>
      <c r="E879" s="8" t="n">
        <v>45006.27291666667</v>
      </c>
      <c r="F879" s="7" t="inlineStr">
        <is>
          <t>DOWNLINE</t>
        </is>
      </c>
      <c r="G879" s="18" t="inlineStr">
        <is>
          <t>OP00311</t>
        </is>
      </c>
      <c r="H879" s="19">
        <f>UPPER(Table3[[#This Row],[Agen id]]&amp;"-"&amp;VLOOKUP(Table3[[#This Row],[Agen id]],A:B,2,0)&amp;"("&amp;Table3[[#This Row],[Short]]&amp;")")</f>
        <v/>
      </c>
      <c r="J879" s="7">
        <f>VLOOKUP(Table3[[#This Row],[Agen id]],Agen!A:C,3,0)</f>
        <v/>
      </c>
      <c r="K879" s="37">
        <f>TRIM(LEFT(Table3[[#This Row],[Group]],2))</f>
        <v/>
      </c>
      <c r="L879" s="3" t="inlineStr">
        <is>
          <t>NON SALES</t>
        </is>
      </c>
    </row>
    <row r="880">
      <c r="A880" s="5" t="inlineStr">
        <is>
          <t>OP05825</t>
        </is>
      </c>
      <c r="B880" s="6" t="inlineStr">
        <is>
          <t>NAILA CELL</t>
        </is>
      </c>
      <c r="C880" s="7" t="inlineStr">
        <is>
          <t>AV - Agen Verified</t>
        </is>
      </c>
      <c r="D880" s="1" t="inlineStr">
        <is>
          <t>OP04523</t>
        </is>
      </c>
      <c r="E880" s="8" t="n">
        <v>45007.51805555556</v>
      </c>
      <c r="F880" s="7" t="inlineStr">
        <is>
          <t>DOWNLINE</t>
        </is>
      </c>
      <c r="G880" s="18" t="inlineStr">
        <is>
          <t>OP04523</t>
        </is>
      </c>
      <c r="H880" s="19">
        <f>UPPER(Table3[[#This Row],[Agen id]]&amp;"-"&amp;VLOOKUP(Table3[[#This Row],[Agen id]],A:B,2,0)&amp;"("&amp;Table3[[#This Row],[Short]]&amp;")")</f>
        <v/>
      </c>
      <c r="J880" s="7">
        <f>VLOOKUP(Table3[[#This Row],[Agen id]],Agen!A:C,3,0)</f>
        <v/>
      </c>
      <c r="K880" s="37">
        <f>TRIM(LEFT(Table3[[#This Row],[Group]],2))</f>
        <v/>
      </c>
      <c r="L880" s="3" t="inlineStr">
        <is>
          <t>NON SALES</t>
        </is>
      </c>
    </row>
    <row r="881">
      <c r="A881" s="5" t="inlineStr">
        <is>
          <t>OP05857</t>
        </is>
      </c>
      <c r="B881" s="6" t="inlineStr">
        <is>
          <t>ISMAIL</t>
        </is>
      </c>
      <c r="C881" s="7" t="inlineStr">
        <is>
          <t>A - Agen</t>
        </is>
      </c>
      <c r="D881" s="1" t="inlineStr">
        <is>
          <t>OP00335</t>
        </is>
      </c>
      <c r="E881" s="8" t="n">
        <v>45009.91111111111</v>
      </c>
      <c r="F881" s="7" t="inlineStr">
        <is>
          <t>DOWNLINE</t>
        </is>
      </c>
      <c r="G881" s="18" t="inlineStr">
        <is>
          <t>OP00335</t>
        </is>
      </c>
      <c r="H881" s="19">
        <f>UPPER(Table3[[#This Row],[Agen id]]&amp;"-"&amp;VLOOKUP(Table3[[#This Row],[Agen id]],A:B,2,0)&amp;"("&amp;Table3[[#This Row],[Short]]&amp;")")</f>
        <v/>
      </c>
      <c r="J881" s="7">
        <f>VLOOKUP(Table3[[#This Row],[Agen id]],Agen!A:C,3,0)</f>
        <v/>
      </c>
      <c r="K881" s="37">
        <f>TRIM(LEFT(Table3[[#This Row],[Group]],2))</f>
        <v/>
      </c>
      <c r="L881" s="3" t="inlineStr">
        <is>
          <t>NON SALES</t>
        </is>
      </c>
    </row>
    <row r="882">
      <c r="A882" s="5" t="inlineStr">
        <is>
          <t>OP05862</t>
        </is>
      </c>
      <c r="B882" s="6" t="inlineStr">
        <is>
          <t>Ichal Cell</t>
        </is>
      </c>
      <c r="C882" s="7" t="inlineStr">
        <is>
          <t>AV - Agen Verified</t>
        </is>
      </c>
      <c r="D882" s="1" t="inlineStr">
        <is>
          <t>OP00002</t>
        </is>
      </c>
      <c r="E882" s="8" t="n">
        <v>45010.03958333333</v>
      </c>
      <c r="F882" s="7" t="inlineStr">
        <is>
          <t>AGEN</t>
        </is>
      </c>
      <c r="G882" s="18" t="inlineStr">
        <is>
          <t>OP05862</t>
        </is>
      </c>
      <c r="H882" s="19">
        <f>UPPER(Table3[[#This Row],[Agen id]]&amp;"-"&amp;VLOOKUP(Table3[[#This Row],[Agen id]],A:B,2,0)&amp;"("&amp;Table3[[#This Row],[Short]]&amp;")")</f>
        <v/>
      </c>
      <c r="J882" s="7">
        <f>VLOOKUP(Table3[[#This Row],[Agen id]],Agen!A:C,3,0)</f>
        <v/>
      </c>
      <c r="K882" s="37">
        <f>TRIM(LEFT(Table3[[#This Row],[Group]],2))</f>
        <v/>
      </c>
      <c r="L882" s="3" t="inlineStr">
        <is>
          <t>NON SALES</t>
        </is>
      </c>
    </row>
    <row r="883">
      <c r="A883" s="5" t="inlineStr">
        <is>
          <t>OP05885</t>
        </is>
      </c>
      <c r="B883" s="6" t="inlineStr">
        <is>
          <t>Aryodilaga</t>
        </is>
      </c>
      <c r="C883" s="7" t="inlineStr">
        <is>
          <t>AB1 - Agen Kab Bogor</t>
        </is>
      </c>
      <c r="D883" s="1" t="inlineStr">
        <is>
          <t>OP00002</t>
        </is>
      </c>
      <c r="E883" s="8" t="n">
        <v>45010.61527777778</v>
      </c>
      <c r="F883" s="7" t="inlineStr">
        <is>
          <t>AGEN</t>
        </is>
      </c>
      <c r="G883" s="18" t="inlineStr">
        <is>
          <t>OP05885</t>
        </is>
      </c>
      <c r="H883" s="19">
        <f>UPPER(Table3[[#This Row],[Agen id]]&amp;"-"&amp;VLOOKUP(Table3[[#This Row],[Agen id]],A:B,2,0)&amp;"("&amp;Table3[[#This Row],[Short]]&amp;")")</f>
        <v/>
      </c>
      <c r="J883" s="7">
        <f>VLOOKUP(Table3[[#This Row],[Agen id]],Agen!A:C,3,0)</f>
        <v/>
      </c>
      <c r="K883" s="37">
        <f>TRIM(LEFT(Table3[[#This Row],[Group]],2))</f>
        <v/>
      </c>
      <c r="L883" s="3" t="inlineStr">
        <is>
          <t>NON SALES</t>
        </is>
      </c>
    </row>
    <row r="884">
      <c r="A884" s="5" t="inlineStr">
        <is>
          <t>OP05892</t>
        </is>
      </c>
      <c r="B884" s="6" t="inlineStr">
        <is>
          <t>Hetty</t>
        </is>
      </c>
      <c r="C884" s="7" t="inlineStr">
        <is>
          <t>AV - Agen Verified</t>
        </is>
      </c>
      <c r="D884" s="1" t="inlineStr">
        <is>
          <t>OP00002</t>
        </is>
      </c>
      <c r="E884" s="8" t="n">
        <v>45010.80555555555</v>
      </c>
      <c r="F884" s="7" t="inlineStr">
        <is>
          <t>AGEN</t>
        </is>
      </c>
      <c r="G884" s="18" t="inlineStr">
        <is>
          <t>OP05892</t>
        </is>
      </c>
      <c r="H884" s="19">
        <f>UPPER(Table3[[#This Row],[Agen id]]&amp;"-"&amp;VLOOKUP(Table3[[#This Row],[Agen id]],A:B,2,0)&amp;"("&amp;Table3[[#This Row],[Short]]&amp;")")</f>
        <v/>
      </c>
      <c r="J884" s="7">
        <f>VLOOKUP(Table3[[#This Row],[Agen id]],Agen!A:C,3,0)</f>
        <v/>
      </c>
      <c r="K884" s="37">
        <f>TRIM(LEFT(Table3[[#This Row],[Group]],2))</f>
        <v/>
      </c>
      <c r="L884" s="3" t="inlineStr">
        <is>
          <t>NON SALES</t>
        </is>
      </c>
    </row>
    <row r="885">
      <c r="A885" s="5" t="inlineStr">
        <is>
          <t>OP05903</t>
        </is>
      </c>
      <c r="B885" s="6" t="inlineStr">
        <is>
          <t>Indar</t>
        </is>
      </c>
      <c r="C885" s="7" t="inlineStr">
        <is>
          <t>A - Agen</t>
        </is>
      </c>
      <c r="D885" s="1" t="inlineStr">
        <is>
          <t>OP00002</t>
        </is>
      </c>
      <c r="E885" s="8" t="n">
        <v>45011.3</v>
      </c>
      <c r="F885" s="7" t="inlineStr">
        <is>
          <t>AGEN</t>
        </is>
      </c>
      <c r="G885" s="18" t="inlineStr">
        <is>
          <t>OP05903</t>
        </is>
      </c>
      <c r="H885" s="19">
        <f>UPPER(Table3[[#This Row],[Agen id]]&amp;"-"&amp;VLOOKUP(Table3[[#This Row],[Agen id]],A:B,2,0)&amp;"("&amp;Table3[[#This Row],[Short]]&amp;")")</f>
        <v/>
      </c>
      <c r="J885" s="7">
        <f>VLOOKUP(Table3[[#This Row],[Agen id]],Agen!A:C,3,0)</f>
        <v/>
      </c>
      <c r="K885" s="37">
        <f>TRIM(LEFT(Table3[[#This Row],[Group]],2))</f>
        <v/>
      </c>
      <c r="L885" s="3" t="inlineStr">
        <is>
          <t>NON SALES</t>
        </is>
      </c>
    </row>
    <row r="886">
      <c r="A886" s="5" t="inlineStr">
        <is>
          <t>OP05904</t>
        </is>
      </c>
      <c r="B886" s="6" t="inlineStr">
        <is>
          <t>Satya Arisena</t>
        </is>
      </c>
      <c r="C886" s="7" t="inlineStr">
        <is>
          <t>AV - Agen Verified</t>
        </is>
      </c>
      <c r="D886" s="1" t="inlineStr">
        <is>
          <t>OP00002</t>
        </is>
      </c>
      <c r="E886" s="8" t="n">
        <v>45011.32083333333</v>
      </c>
      <c r="F886" s="7" t="inlineStr">
        <is>
          <t>AGEN</t>
        </is>
      </c>
      <c r="G886" s="18" t="inlineStr">
        <is>
          <t>OP05904</t>
        </is>
      </c>
      <c r="H886" s="19">
        <f>UPPER(Table3[[#This Row],[Agen id]]&amp;"-"&amp;VLOOKUP(Table3[[#This Row],[Agen id]],A:B,2,0)&amp;"("&amp;Table3[[#This Row],[Short]]&amp;")")</f>
        <v/>
      </c>
      <c r="J886" s="7">
        <f>VLOOKUP(Table3[[#This Row],[Agen id]],Agen!A:C,3,0)</f>
        <v/>
      </c>
      <c r="K886" s="37">
        <f>TRIM(LEFT(Table3[[#This Row],[Group]],2))</f>
        <v/>
      </c>
      <c r="L886" s="3" t="inlineStr">
        <is>
          <t>NON SALES</t>
        </is>
      </c>
    </row>
    <row r="887">
      <c r="A887" s="5" t="inlineStr">
        <is>
          <t>OP05905</t>
        </is>
      </c>
      <c r="B887" s="6" t="inlineStr">
        <is>
          <t>Mmh angell</t>
        </is>
      </c>
      <c r="C887" s="7" t="inlineStr">
        <is>
          <t>A - Agen</t>
        </is>
      </c>
      <c r="D887" s="1" t="inlineStr">
        <is>
          <t>OP00002</t>
        </is>
      </c>
      <c r="E887" s="8" t="n">
        <v>45011.36388888889</v>
      </c>
      <c r="F887" s="7" t="inlineStr">
        <is>
          <t>AGEN</t>
        </is>
      </c>
      <c r="G887" s="18" t="inlineStr">
        <is>
          <t>OP05905</t>
        </is>
      </c>
      <c r="H887" s="19">
        <f>UPPER(Table3[[#This Row],[Agen id]]&amp;"-"&amp;VLOOKUP(Table3[[#This Row],[Agen id]],A:B,2,0)&amp;"("&amp;Table3[[#This Row],[Short]]&amp;")")</f>
        <v/>
      </c>
      <c r="J887" s="7">
        <f>VLOOKUP(Table3[[#This Row],[Agen id]],Agen!A:C,3,0)</f>
        <v/>
      </c>
      <c r="K887" s="37">
        <f>TRIM(LEFT(Table3[[#This Row],[Group]],2))</f>
        <v/>
      </c>
      <c r="L887" s="3" t="inlineStr">
        <is>
          <t>NON SALES</t>
        </is>
      </c>
    </row>
    <row r="888">
      <c r="A888" s="5" t="inlineStr">
        <is>
          <t>OP05908</t>
        </is>
      </c>
      <c r="B888" s="6" t="inlineStr">
        <is>
          <t>Hilman</t>
        </is>
      </c>
      <c r="C888" s="7" t="inlineStr">
        <is>
          <t>AT1 - Agen Tangerang</t>
        </is>
      </c>
      <c r="D888" s="1" t="inlineStr">
        <is>
          <t>OP00114</t>
        </is>
      </c>
      <c r="E888" s="8" t="n">
        <v>45011.45277777778</v>
      </c>
      <c r="F888" s="7" t="inlineStr">
        <is>
          <t>DOWNLINE</t>
        </is>
      </c>
      <c r="G888" s="18" t="inlineStr">
        <is>
          <t>OP00114</t>
        </is>
      </c>
      <c r="H888" s="19">
        <f>UPPER(Table3[[#This Row],[Agen id]]&amp;"-"&amp;VLOOKUP(Table3[[#This Row],[Agen id]],A:B,2,0)&amp;"("&amp;Table3[[#This Row],[Short]]&amp;")")</f>
        <v/>
      </c>
      <c r="J888" s="7">
        <f>VLOOKUP(Table3[[#This Row],[Agen id]],Agen!A:C,3,0)</f>
        <v/>
      </c>
      <c r="K888" s="37">
        <f>TRIM(LEFT(Table3[[#This Row],[Group]],2))</f>
        <v/>
      </c>
      <c r="L888" s="3" t="inlineStr">
        <is>
          <t>NON SALES</t>
        </is>
      </c>
    </row>
    <row r="889">
      <c r="A889" s="5" t="inlineStr">
        <is>
          <t>OP05911</t>
        </is>
      </c>
      <c r="B889" s="6" t="inlineStr">
        <is>
          <t>ANUGERAH.CELL</t>
        </is>
      </c>
      <c r="C889" s="7" t="inlineStr">
        <is>
          <t>AV - Agen Verified</t>
        </is>
      </c>
      <c r="D889" s="1" t="inlineStr">
        <is>
          <t>OP00185</t>
        </is>
      </c>
      <c r="E889" s="8" t="n">
        <v>45011.49791666667</v>
      </c>
      <c r="F889" s="7" t="inlineStr">
        <is>
          <t>DOWNLINE</t>
        </is>
      </c>
      <c r="G889" s="18" t="inlineStr">
        <is>
          <t>OP00185</t>
        </is>
      </c>
      <c r="H889" s="19">
        <f>UPPER(Table3[[#This Row],[Agen id]]&amp;"-"&amp;VLOOKUP(Table3[[#This Row],[Agen id]],A:B,2,0)&amp;"("&amp;Table3[[#This Row],[Short]]&amp;")")</f>
        <v/>
      </c>
      <c r="J889" s="7">
        <f>VLOOKUP(Table3[[#This Row],[Agen id]],Agen!A:C,3,0)</f>
        <v/>
      </c>
      <c r="K889" s="37">
        <f>TRIM(LEFT(Table3[[#This Row],[Group]],2))</f>
        <v/>
      </c>
      <c r="L889" s="3" t="inlineStr">
        <is>
          <t>NON SALES</t>
        </is>
      </c>
    </row>
    <row r="890">
      <c r="A890" s="5" t="inlineStr">
        <is>
          <t>OP05919</t>
        </is>
      </c>
      <c r="B890" s="6" t="inlineStr">
        <is>
          <t>harja</t>
        </is>
      </c>
      <c r="C890" s="7" t="inlineStr">
        <is>
          <t>A - Agen</t>
        </is>
      </c>
      <c r="D890" s="1" t="inlineStr">
        <is>
          <t>OP01030</t>
        </is>
      </c>
      <c r="E890" s="8" t="n">
        <v>45011.73055555556</v>
      </c>
      <c r="F890" s="7" t="inlineStr">
        <is>
          <t>DOWNLINE</t>
        </is>
      </c>
      <c r="G890" s="18" t="inlineStr">
        <is>
          <t>OP01030</t>
        </is>
      </c>
      <c r="H890" s="19">
        <f>UPPER(Table3[[#This Row],[Agen id]]&amp;"-"&amp;VLOOKUP(Table3[[#This Row],[Agen id]],A:B,2,0)&amp;"("&amp;Table3[[#This Row],[Short]]&amp;")")</f>
        <v/>
      </c>
      <c r="J890" s="7">
        <f>VLOOKUP(Table3[[#This Row],[Agen id]],Agen!A:C,3,0)</f>
        <v/>
      </c>
      <c r="K890" s="37">
        <f>TRIM(LEFT(Table3[[#This Row],[Group]],2))</f>
        <v/>
      </c>
      <c r="L890" s="3" t="inlineStr">
        <is>
          <t>NON SALES</t>
        </is>
      </c>
    </row>
    <row r="891">
      <c r="A891" s="5" t="inlineStr">
        <is>
          <t>OP05927</t>
        </is>
      </c>
      <c r="B891" s="6" t="inlineStr">
        <is>
          <t>Purnama Pulsa</t>
        </is>
      </c>
      <c r="C891" s="7" t="inlineStr">
        <is>
          <t>A - Agen</t>
        </is>
      </c>
      <c r="D891" s="1" t="inlineStr">
        <is>
          <t>OP00002</t>
        </is>
      </c>
      <c r="E891" s="8" t="n">
        <v>45011.87916666667</v>
      </c>
      <c r="F891" s="7" t="inlineStr">
        <is>
          <t>AGEN</t>
        </is>
      </c>
      <c r="G891" s="18" t="inlineStr">
        <is>
          <t>OP05927</t>
        </is>
      </c>
      <c r="H891" s="19">
        <f>UPPER(Table3[[#This Row],[Agen id]]&amp;"-"&amp;VLOOKUP(Table3[[#This Row],[Agen id]],A:B,2,0)&amp;"("&amp;Table3[[#This Row],[Short]]&amp;")")</f>
        <v/>
      </c>
      <c r="J891" s="7">
        <f>VLOOKUP(Table3[[#This Row],[Agen id]],Agen!A:C,3,0)</f>
        <v/>
      </c>
      <c r="K891" s="37">
        <f>TRIM(LEFT(Table3[[#This Row],[Group]],2))</f>
        <v/>
      </c>
      <c r="L891" s="3" t="inlineStr">
        <is>
          <t>NON SALES</t>
        </is>
      </c>
    </row>
    <row r="892">
      <c r="A892" s="5" t="inlineStr">
        <is>
          <t>OP05948</t>
        </is>
      </c>
      <c r="B892" s="6" t="inlineStr">
        <is>
          <t>Fajar cell</t>
        </is>
      </c>
      <c r="C892" s="7" t="inlineStr">
        <is>
          <t>A - Agen</t>
        </is>
      </c>
      <c r="D892" s="1" t="inlineStr">
        <is>
          <t>OP00002</t>
        </is>
      </c>
      <c r="E892" s="8" t="n">
        <v>45012.66666666666</v>
      </c>
      <c r="F892" s="7" t="inlineStr">
        <is>
          <t>AGEN</t>
        </is>
      </c>
      <c r="G892" s="18" t="inlineStr">
        <is>
          <t>OP05948</t>
        </is>
      </c>
      <c r="H892" s="19">
        <f>UPPER(Table3[[#This Row],[Agen id]]&amp;"-"&amp;VLOOKUP(Table3[[#This Row],[Agen id]],A:B,2,0)&amp;"("&amp;Table3[[#This Row],[Short]]&amp;")")</f>
        <v/>
      </c>
      <c r="J892" s="7">
        <f>VLOOKUP(Table3[[#This Row],[Agen id]],Agen!A:C,3,0)</f>
        <v/>
      </c>
      <c r="K892" s="37">
        <f>TRIM(LEFT(Table3[[#This Row],[Group]],2))</f>
        <v/>
      </c>
      <c r="L892" s="3" t="inlineStr">
        <is>
          <t>NON SALES</t>
        </is>
      </c>
    </row>
    <row r="893">
      <c r="A893" s="5" t="inlineStr">
        <is>
          <t>OP05953</t>
        </is>
      </c>
      <c r="B893" s="6" t="inlineStr">
        <is>
          <t>NURINCELL</t>
        </is>
      </c>
      <c r="C893" s="7" t="inlineStr">
        <is>
          <t>A - Agen</t>
        </is>
      </c>
      <c r="D893" s="1" t="inlineStr">
        <is>
          <t>OP00002</t>
        </is>
      </c>
      <c r="E893" s="8" t="n">
        <v>45012.79652777778</v>
      </c>
      <c r="F893" s="7" t="inlineStr">
        <is>
          <t>AGEN</t>
        </is>
      </c>
      <c r="G893" s="18" t="inlineStr">
        <is>
          <t>OP05953</t>
        </is>
      </c>
      <c r="H893" s="19">
        <f>UPPER(Table3[[#This Row],[Agen id]]&amp;"-"&amp;VLOOKUP(Table3[[#This Row],[Agen id]],A:B,2,0)&amp;"("&amp;Table3[[#This Row],[Short]]&amp;")")</f>
        <v/>
      </c>
      <c r="J893" s="7">
        <f>VLOOKUP(Table3[[#This Row],[Agen id]],Agen!A:C,3,0)</f>
        <v/>
      </c>
      <c r="K893" s="37">
        <f>TRIM(LEFT(Table3[[#This Row],[Group]],2))</f>
        <v/>
      </c>
      <c r="L893" s="3" t="inlineStr">
        <is>
          <t>NON SALES</t>
        </is>
      </c>
    </row>
    <row r="894">
      <c r="A894" s="5" t="inlineStr">
        <is>
          <t>OP05962</t>
        </is>
      </c>
      <c r="B894" s="6" t="inlineStr">
        <is>
          <t>Orang</t>
        </is>
      </c>
      <c r="C894" s="7" t="inlineStr">
        <is>
          <t>A - Agen</t>
        </is>
      </c>
      <c r="D894" s="1" t="inlineStr">
        <is>
          <t>OP00002</t>
        </is>
      </c>
      <c r="E894" s="8" t="n">
        <v>45012.89375</v>
      </c>
      <c r="F894" s="7" t="inlineStr">
        <is>
          <t>AGEN</t>
        </is>
      </c>
      <c r="G894" s="18" t="inlineStr">
        <is>
          <t>OP05962</t>
        </is>
      </c>
      <c r="H894" s="19">
        <f>UPPER(Table3[[#This Row],[Agen id]]&amp;"-"&amp;VLOOKUP(Table3[[#This Row],[Agen id]],A:B,2,0)&amp;"("&amp;Table3[[#This Row],[Short]]&amp;")")</f>
        <v/>
      </c>
      <c r="J894" s="7">
        <f>VLOOKUP(Table3[[#This Row],[Agen id]],Agen!A:C,3,0)</f>
        <v/>
      </c>
      <c r="K894" s="37">
        <f>TRIM(LEFT(Table3[[#This Row],[Group]],2))</f>
        <v/>
      </c>
      <c r="L894" s="3" t="inlineStr">
        <is>
          <t>NON SALES</t>
        </is>
      </c>
    </row>
    <row r="895">
      <c r="A895" s="5" t="inlineStr">
        <is>
          <t>OP05971</t>
        </is>
      </c>
      <c r="B895" s="6" t="inlineStr">
        <is>
          <t>Daffa cell</t>
        </is>
      </c>
      <c r="C895" s="7" t="inlineStr">
        <is>
          <t>AB1 - Agen Kab Bogor</t>
        </is>
      </c>
      <c r="D895" s="1" t="inlineStr">
        <is>
          <t>OP00002</t>
        </is>
      </c>
      <c r="E895" s="8" t="n">
        <v>45013.06388888889</v>
      </c>
      <c r="F895" s="7" t="inlineStr">
        <is>
          <t>AGEN</t>
        </is>
      </c>
      <c r="G895" s="18" t="inlineStr">
        <is>
          <t>OP05971</t>
        </is>
      </c>
      <c r="H895" s="19">
        <f>UPPER(Table3[[#This Row],[Agen id]]&amp;"-"&amp;VLOOKUP(Table3[[#This Row],[Agen id]],A:B,2,0)&amp;"("&amp;Table3[[#This Row],[Short]]&amp;")")</f>
        <v/>
      </c>
      <c r="J895" s="7">
        <f>VLOOKUP(Table3[[#This Row],[Agen id]],Agen!A:C,3,0)</f>
        <v/>
      </c>
      <c r="K895" s="37">
        <f>TRIM(LEFT(Table3[[#This Row],[Group]],2))</f>
        <v/>
      </c>
      <c r="L895" s="3" t="inlineStr">
        <is>
          <t>NON SALES</t>
        </is>
      </c>
    </row>
    <row r="896">
      <c r="A896" s="5" t="inlineStr">
        <is>
          <t>OP05974</t>
        </is>
      </c>
      <c r="B896" s="6" t="inlineStr">
        <is>
          <t>IBNULLAH</t>
        </is>
      </c>
      <c r="C896" s="7" t="inlineStr">
        <is>
          <t>AV - Agen Verified</t>
        </is>
      </c>
      <c r="D896" s="1" t="inlineStr">
        <is>
          <t>OP00002</t>
        </is>
      </c>
      <c r="E896" s="8" t="n">
        <v>45013.30138888889</v>
      </c>
      <c r="F896" s="7" t="inlineStr">
        <is>
          <t>AGEN</t>
        </is>
      </c>
      <c r="G896" s="18" t="inlineStr">
        <is>
          <t>OP05974</t>
        </is>
      </c>
      <c r="H896" s="19">
        <f>UPPER(Table3[[#This Row],[Agen id]]&amp;"-"&amp;VLOOKUP(Table3[[#This Row],[Agen id]],A:B,2,0)&amp;"("&amp;Table3[[#This Row],[Short]]&amp;")")</f>
        <v/>
      </c>
      <c r="J896" s="7">
        <f>VLOOKUP(Table3[[#This Row],[Agen id]],Agen!A:C,3,0)</f>
        <v/>
      </c>
      <c r="K896" s="37">
        <f>TRIM(LEFT(Table3[[#This Row],[Group]],2))</f>
        <v/>
      </c>
      <c r="L896" s="3" t="inlineStr">
        <is>
          <t>NON SALES</t>
        </is>
      </c>
    </row>
    <row r="897">
      <c r="A897" s="5" t="inlineStr">
        <is>
          <t>OP05977</t>
        </is>
      </c>
      <c r="B897" s="6" t="inlineStr">
        <is>
          <t>DAFA02</t>
        </is>
      </c>
      <c r="C897" s="7" t="inlineStr">
        <is>
          <t>AV - Agen Verified</t>
        </is>
      </c>
      <c r="D897" s="1" t="inlineStr">
        <is>
          <t>OP00049</t>
        </is>
      </c>
      <c r="E897" s="8" t="n">
        <v>45013.53888888889</v>
      </c>
      <c r="F897" s="7" t="inlineStr">
        <is>
          <t>DOWNLINE</t>
        </is>
      </c>
      <c r="G897" s="18" t="inlineStr">
        <is>
          <t>OP00049</t>
        </is>
      </c>
      <c r="H897" s="19">
        <f>UPPER(Table3[[#This Row],[Agen id]]&amp;"-"&amp;VLOOKUP(Table3[[#This Row],[Agen id]],A:B,2,0)&amp;"("&amp;Table3[[#This Row],[Short]]&amp;")")</f>
        <v/>
      </c>
      <c r="J897" s="7">
        <f>VLOOKUP(Table3[[#This Row],[Agen id]],Agen!A:C,3,0)</f>
        <v/>
      </c>
      <c r="K897" s="37">
        <f>TRIM(LEFT(Table3[[#This Row],[Group]],2))</f>
        <v/>
      </c>
      <c r="L897" s="3" t="inlineStr">
        <is>
          <t>NON SALES</t>
        </is>
      </c>
    </row>
    <row r="898">
      <c r="A898" s="5" t="inlineStr">
        <is>
          <t>OP05984</t>
        </is>
      </c>
      <c r="B898" s="6" t="inlineStr">
        <is>
          <t>Sukses cell</t>
        </is>
      </c>
      <c r="C898" s="7" t="inlineStr">
        <is>
          <t>AV - Agen Verified</t>
        </is>
      </c>
      <c r="D898" s="1" t="inlineStr">
        <is>
          <t>OP00002</t>
        </is>
      </c>
      <c r="E898" s="8" t="n">
        <v>45013.84861111111</v>
      </c>
      <c r="F898" s="7" t="inlineStr">
        <is>
          <t>AGEN</t>
        </is>
      </c>
      <c r="G898" s="18" t="inlineStr">
        <is>
          <t>OP05984</t>
        </is>
      </c>
      <c r="H898" s="19">
        <f>UPPER(Table3[[#This Row],[Agen id]]&amp;"-"&amp;VLOOKUP(Table3[[#This Row],[Agen id]],A:B,2,0)&amp;"("&amp;Table3[[#This Row],[Short]]&amp;")")</f>
        <v/>
      </c>
      <c r="J898" s="7">
        <f>VLOOKUP(Table3[[#This Row],[Agen id]],Agen!A:C,3,0)</f>
        <v/>
      </c>
      <c r="K898" s="37">
        <f>TRIM(LEFT(Table3[[#This Row],[Group]],2))</f>
        <v/>
      </c>
      <c r="L898" s="3" t="inlineStr">
        <is>
          <t>NON SALES</t>
        </is>
      </c>
    </row>
    <row r="899">
      <c r="A899" s="5" t="inlineStr">
        <is>
          <t>OP06007</t>
        </is>
      </c>
      <c r="B899" s="6" t="inlineStr">
        <is>
          <t>YUSUF</t>
        </is>
      </c>
      <c r="C899" s="7" t="inlineStr">
        <is>
          <t>A - Agen</t>
        </is>
      </c>
      <c r="D899" s="1" t="inlineStr">
        <is>
          <t>OP00002</t>
        </is>
      </c>
      <c r="E899" s="8" t="n">
        <v>45014.44375</v>
      </c>
      <c r="F899" s="7" t="inlineStr">
        <is>
          <t>AGEN</t>
        </is>
      </c>
      <c r="G899" s="18" t="inlineStr">
        <is>
          <t>OP06007</t>
        </is>
      </c>
      <c r="H899" s="19">
        <f>UPPER(Table3[[#This Row],[Agen id]]&amp;"-"&amp;VLOOKUP(Table3[[#This Row],[Agen id]],A:B,2,0)&amp;"("&amp;Table3[[#This Row],[Short]]&amp;")")</f>
        <v/>
      </c>
      <c r="J899" s="7">
        <f>VLOOKUP(Table3[[#This Row],[Agen id]],Agen!A:C,3,0)</f>
        <v/>
      </c>
      <c r="K899" s="37">
        <f>TRIM(LEFT(Table3[[#This Row],[Group]],2))</f>
        <v/>
      </c>
      <c r="L899" s="3" t="inlineStr">
        <is>
          <t>NON SALES</t>
        </is>
      </c>
    </row>
    <row r="900">
      <c r="A900" s="5" t="inlineStr">
        <is>
          <t>OP06042</t>
        </is>
      </c>
      <c r="B900" s="6" t="inlineStr">
        <is>
          <t>Containercell</t>
        </is>
      </c>
      <c r="C900" s="7" t="inlineStr">
        <is>
          <t>AV - Agen Verified</t>
        </is>
      </c>
      <c r="D900" s="1" t="inlineStr">
        <is>
          <t>OP00002</t>
        </is>
      </c>
      <c r="E900" s="8" t="n">
        <v>45015.91736111111</v>
      </c>
      <c r="F900" s="7" t="inlineStr">
        <is>
          <t>AGEN</t>
        </is>
      </c>
      <c r="G900" s="18" t="inlineStr">
        <is>
          <t>OP06042</t>
        </is>
      </c>
      <c r="H900" s="19">
        <f>UPPER(Table3[[#This Row],[Agen id]]&amp;"-"&amp;VLOOKUP(Table3[[#This Row],[Agen id]],A:B,2,0)&amp;"("&amp;Table3[[#This Row],[Short]]&amp;")")</f>
        <v/>
      </c>
      <c r="J900" s="7">
        <f>VLOOKUP(Table3[[#This Row],[Agen id]],Agen!A:C,3,0)</f>
        <v/>
      </c>
      <c r="K900" s="37">
        <f>TRIM(LEFT(Table3[[#This Row],[Group]],2))</f>
        <v/>
      </c>
      <c r="L900" s="3" t="inlineStr">
        <is>
          <t>NON SALES</t>
        </is>
      </c>
    </row>
    <row r="901">
      <c r="A901" s="5" t="inlineStr">
        <is>
          <t>OP06049</t>
        </is>
      </c>
      <c r="B901" s="6" t="inlineStr">
        <is>
          <t>suryananda</t>
        </is>
      </c>
      <c r="C901" s="7" t="inlineStr">
        <is>
          <t>A - Agen</t>
        </is>
      </c>
      <c r="D901" s="1" t="inlineStr">
        <is>
          <t>OP00002</t>
        </is>
      </c>
      <c r="E901" s="8" t="n">
        <v>45015.99722222222</v>
      </c>
      <c r="F901" s="7" t="inlineStr">
        <is>
          <t>AGEN</t>
        </is>
      </c>
      <c r="G901" s="18" t="inlineStr">
        <is>
          <t>OP06049</t>
        </is>
      </c>
      <c r="H901" s="19">
        <f>UPPER(Table3[[#This Row],[Agen id]]&amp;"-"&amp;VLOOKUP(Table3[[#This Row],[Agen id]],A:B,2,0)&amp;"("&amp;Table3[[#This Row],[Short]]&amp;")")</f>
        <v/>
      </c>
      <c r="J901" s="7">
        <f>VLOOKUP(Table3[[#This Row],[Agen id]],Agen!A:C,3,0)</f>
        <v/>
      </c>
      <c r="K901" s="37">
        <f>TRIM(LEFT(Table3[[#This Row],[Group]],2))</f>
        <v/>
      </c>
      <c r="L901" s="3" t="inlineStr">
        <is>
          <t>NON SALES</t>
        </is>
      </c>
    </row>
    <row r="902">
      <c r="A902" s="5" t="inlineStr">
        <is>
          <t>OP06051</t>
        </is>
      </c>
      <c r="B902" s="6" t="inlineStr">
        <is>
          <t>AQILA CELL</t>
        </is>
      </c>
      <c r="C902" s="7" t="inlineStr">
        <is>
          <t>AB1 - Agen Kab Bogor</t>
        </is>
      </c>
      <c r="D902" s="1" t="inlineStr">
        <is>
          <t>OP00311</t>
        </is>
      </c>
      <c r="E902" s="8" t="n">
        <v>45016.04583333333</v>
      </c>
      <c r="F902" s="7" t="inlineStr">
        <is>
          <t>DOWNLINE</t>
        </is>
      </c>
      <c r="G902" s="18" t="inlineStr">
        <is>
          <t>OP00311</t>
        </is>
      </c>
      <c r="H902" s="19">
        <f>UPPER(Table3[[#This Row],[Agen id]]&amp;"-"&amp;VLOOKUP(Table3[[#This Row],[Agen id]],A:B,2,0)&amp;"("&amp;Table3[[#This Row],[Short]]&amp;")")</f>
        <v/>
      </c>
      <c r="J902" s="7">
        <f>VLOOKUP(Table3[[#This Row],[Agen id]],Agen!A:C,3,0)</f>
        <v/>
      </c>
      <c r="K902" s="37">
        <f>TRIM(LEFT(Table3[[#This Row],[Group]],2))</f>
        <v/>
      </c>
      <c r="L902" s="3" t="inlineStr">
        <is>
          <t>NON SALES</t>
        </is>
      </c>
    </row>
    <row r="903">
      <c r="A903" s="5" t="inlineStr">
        <is>
          <t>OP06055</t>
        </is>
      </c>
      <c r="B903" s="6" t="inlineStr">
        <is>
          <t>Srirahayu</t>
        </is>
      </c>
      <c r="C903" s="7" t="inlineStr">
        <is>
          <t>A - Agen</t>
        </is>
      </c>
      <c r="D903" s="1" t="inlineStr">
        <is>
          <t>OP00002</t>
        </is>
      </c>
      <c r="E903" s="8" t="n">
        <v>45016.39305555556</v>
      </c>
      <c r="F903" s="7" t="inlineStr">
        <is>
          <t>AGEN</t>
        </is>
      </c>
      <c r="G903" s="18" t="inlineStr">
        <is>
          <t>OP06055</t>
        </is>
      </c>
      <c r="H903" s="19">
        <f>UPPER(Table3[[#This Row],[Agen id]]&amp;"-"&amp;VLOOKUP(Table3[[#This Row],[Agen id]],A:B,2,0)&amp;"("&amp;Table3[[#This Row],[Short]]&amp;")")</f>
        <v/>
      </c>
      <c r="J903" s="7">
        <f>VLOOKUP(Table3[[#This Row],[Agen id]],Agen!A:C,3,0)</f>
        <v/>
      </c>
      <c r="K903" s="37">
        <f>TRIM(LEFT(Table3[[#This Row],[Group]],2))</f>
        <v/>
      </c>
      <c r="L903" s="3" t="inlineStr">
        <is>
          <t>NON SALES</t>
        </is>
      </c>
    </row>
    <row r="904">
      <c r="A904" s="5" t="inlineStr">
        <is>
          <t>OP06061</t>
        </is>
      </c>
      <c r="B904" s="6" t="inlineStr">
        <is>
          <t>Riska Barokha</t>
        </is>
      </c>
      <c r="C904" s="7" t="inlineStr">
        <is>
          <t>A - Agen</t>
        </is>
      </c>
      <c r="D904" s="1" t="inlineStr">
        <is>
          <t>OP00002</t>
        </is>
      </c>
      <c r="E904" s="8" t="n">
        <v>45016.45138888889</v>
      </c>
      <c r="F904" s="7" t="inlineStr">
        <is>
          <t>AGEN</t>
        </is>
      </c>
      <c r="G904" s="18" t="inlineStr">
        <is>
          <t>OP06061</t>
        </is>
      </c>
      <c r="H904" s="19">
        <f>UPPER(Table3[[#This Row],[Agen id]]&amp;"-"&amp;VLOOKUP(Table3[[#This Row],[Agen id]],A:B,2,0)&amp;"("&amp;Table3[[#This Row],[Short]]&amp;")")</f>
        <v/>
      </c>
      <c r="J904" s="7">
        <f>VLOOKUP(Table3[[#This Row],[Agen id]],Agen!A:C,3,0)</f>
        <v/>
      </c>
      <c r="K904" s="37">
        <f>TRIM(LEFT(Table3[[#This Row],[Group]],2))</f>
        <v/>
      </c>
      <c r="L904" s="3" t="inlineStr">
        <is>
          <t>NON SALES</t>
        </is>
      </c>
    </row>
    <row r="905">
      <c r="A905" s="5" t="inlineStr">
        <is>
          <t>OP06064</t>
        </is>
      </c>
      <c r="B905" s="6" t="inlineStr">
        <is>
          <t>ASIH PERNANDA</t>
        </is>
      </c>
      <c r="C905" s="7" t="inlineStr">
        <is>
          <t>A - Agen</t>
        </is>
      </c>
      <c r="D905" s="1" t="inlineStr">
        <is>
          <t>OP00002</t>
        </is>
      </c>
      <c r="E905" s="8" t="n">
        <v>45016.61388888889</v>
      </c>
      <c r="F905" s="7" t="inlineStr">
        <is>
          <t>AGEN</t>
        </is>
      </c>
      <c r="G905" s="18" t="inlineStr">
        <is>
          <t>OP06064</t>
        </is>
      </c>
      <c r="H905" s="19">
        <f>UPPER(Table3[[#This Row],[Agen id]]&amp;"-"&amp;VLOOKUP(Table3[[#This Row],[Agen id]],A:B,2,0)&amp;"("&amp;Table3[[#This Row],[Short]]&amp;")")</f>
        <v/>
      </c>
      <c r="J905" s="7">
        <f>VLOOKUP(Table3[[#This Row],[Agen id]],Agen!A:C,3,0)</f>
        <v/>
      </c>
      <c r="K905" s="37">
        <f>TRIM(LEFT(Table3[[#This Row],[Group]],2))</f>
        <v/>
      </c>
      <c r="L905" s="3" t="inlineStr">
        <is>
          <t>NON SALES</t>
        </is>
      </c>
    </row>
    <row r="906">
      <c r="A906" s="5" t="inlineStr">
        <is>
          <t>OP06065</t>
        </is>
      </c>
      <c r="B906" s="6" t="inlineStr">
        <is>
          <t>Badali</t>
        </is>
      </c>
      <c r="C906" s="7" t="inlineStr">
        <is>
          <t>A - Agen</t>
        </is>
      </c>
      <c r="D906" s="1" t="inlineStr">
        <is>
          <t>OP00091</t>
        </is>
      </c>
      <c r="E906" s="8" t="n">
        <v>45016.75</v>
      </c>
      <c r="F906" s="7" t="inlineStr">
        <is>
          <t>DOWNLINE</t>
        </is>
      </c>
      <c r="G906" s="18" t="inlineStr">
        <is>
          <t>OP00091</t>
        </is>
      </c>
      <c r="H906" s="19">
        <f>UPPER(Table3[[#This Row],[Agen id]]&amp;"-"&amp;VLOOKUP(Table3[[#This Row],[Agen id]],A:B,2,0)&amp;"("&amp;Table3[[#This Row],[Short]]&amp;")")</f>
        <v/>
      </c>
      <c r="J906" s="7">
        <f>VLOOKUP(Table3[[#This Row],[Agen id]],Agen!A:C,3,0)</f>
        <v/>
      </c>
      <c r="K906" s="37">
        <f>TRIM(LEFT(Table3[[#This Row],[Group]],2))</f>
        <v/>
      </c>
      <c r="L906" s="3" t="inlineStr">
        <is>
          <t>NON SALES</t>
        </is>
      </c>
    </row>
    <row r="907">
      <c r="A907" s="5" t="inlineStr">
        <is>
          <t>OP06068</t>
        </is>
      </c>
      <c r="B907" s="6" t="inlineStr">
        <is>
          <t>Alfaza</t>
        </is>
      </c>
      <c r="C907" s="7" t="inlineStr">
        <is>
          <t>A - Agen</t>
        </is>
      </c>
      <c r="D907" s="1" t="inlineStr">
        <is>
          <t>OP04595</t>
        </is>
      </c>
      <c r="E907" s="8" t="n">
        <v>45016.95</v>
      </c>
      <c r="F907" s="7" t="inlineStr">
        <is>
          <t>DOWNLINE</t>
        </is>
      </c>
      <c r="G907" s="18" t="inlineStr">
        <is>
          <t>OP04595</t>
        </is>
      </c>
      <c r="H907" s="19">
        <f>UPPER(Table3[[#This Row],[Agen id]]&amp;"-"&amp;VLOOKUP(Table3[[#This Row],[Agen id]],A:B,2,0)&amp;"("&amp;Table3[[#This Row],[Short]]&amp;")")</f>
        <v/>
      </c>
      <c r="J907" s="7">
        <f>VLOOKUP(Table3[[#This Row],[Agen id]],Agen!A:C,3,0)</f>
        <v/>
      </c>
      <c r="K907" s="37">
        <f>TRIM(LEFT(Table3[[#This Row],[Group]],2))</f>
        <v/>
      </c>
      <c r="L907" s="3" t="inlineStr">
        <is>
          <t>NON SALES</t>
        </is>
      </c>
    </row>
    <row r="908">
      <c r="A908" s="5" t="inlineStr">
        <is>
          <t>OP06086</t>
        </is>
      </c>
      <c r="B908" s="6" t="inlineStr">
        <is>
          <t>ANUGRAH CELL</t>
        </is>
      </c>
      <c r="C908" s="7" t="inlineStr">
        <is>
          <t>AV - Agen Verified</t>
        </is>
      </c>
      <c r="D908" s="1" t="inlineStr">
        <is>
          <t>OP00311</t>
        </is>
      </c>
      <c r="E908" s="8" t="n">
        <v>45017.66458333333</v>
      </c>
      <c r="F908" s="7" t="inlineStr">
        <is>
          <t>DOWNLINE</t>
        </is>
      </c>
      <c r="G908" s="18" t="inlineStr">
        <is>
          <t>OP00311</t>
        </is>
      </c>
      <c r="H908" s="19">
        <f>UPPER(Table3[[#This Row],[Agen id]]&amp;"-"&amp;VLOOKUP(Table3[[#This Row],[Agen id]],A:B,2,0)&amp;"("&amp;Table3[[#This Row],[Short]]&amp;")")</f>
        <v/>
      </c>
      <c r="J908" s="7">
        <f>VLOOKUP(Table3[[#This Row],[Agen id]],Agen!A:C,3,0)</f>
        <v/>
      </c>
      <c r="K908" s="37">
        <f>TRIM(LEFT(Table3[[#This Row],[Group]],2))</f>
        <v/>
      </c>
      <c r="L908" s="3" t="inlineStr">
        <is>
          <t>NON SALES</t>
        </is>
      </c>
    </row>
    <row r="909">
      <c r="A909" s="5" t="inlineStr">
        <is>
          <t>OP06088</t>
        </is>
      </c>
      <c r="B909" s="6" t="inlineStr">
        <is>
          <t>Epri</t>
        </is>
      </c>
      <c r="C909" s="7" t="inlineStr">
        <is>
          <t>AV - Agen Verified</t>
        </is>
      </c>
      <c r="D909" s="1" t="inlineStr">
        <is>
          <t>OP00002</t>
        </is>
      </c>
      <c r="E909" s="8" t="n">
        <v>45017.77222222222</v>
      </c>
      <c r="F909" s="7" t="inlineStr">
        <is>
          <t>AGEN</t>
        </is>
      </c>
      <c r="G909" s="18" t="inlineStr">
        <is>
          <t>OP06088</t>
        </is>
      </c>
      <c r="H909" s="19">
        <f>UPPER(Table3[[#This Row],[Agen id]]&amp;"-"&amp;VLOOKUP(Table3[[#This Row],[Agen id]],A:B,2,0)&amp;"("&amp;Table3[[#This Row],[Short]]&amp;")")</f>
        <v/>
      </c>
      <c r="J909" s="7">
        <f>VLOOKUP(Table3[[#This Row],[Agen id]],Agen!A:C,3,0)</f>
        <v/>
      </c>
      <c r="K909" s="37">
        <f>TRIM(LEFT(Table3[[#This Row],[Group]],2))</f>
        <v/>
      </c>
      <c r="L909" s="3" t="inlineStr">
        <is>
          <t>NON SALES</t>
        </is>
      </c>
    </row>
    <row r="910">
      <c r="A910" s="5" t="inlineStr">
        <is>
          <t>OP06092</t>
        </is>
      </c>
      <c r="B910" s="6" t="inlineStr">
        <is>
          <t>TOGA PONSEL</t>
        </is>
      </c>
      <c r="C910" s="7" t="inlineStr">
        <is>
          <t>A - Agen</t>
        </is>
      </c>
      <c r="D910" s="1" t="inlineStr">
        <is>
          <t>OP00002</t>
        </is>
      </c>
      <c r="E910" s="8" t="n">
        <v>45017.83263888889</v>
      </c>
      <c r="F910" s="7" t="inlineStr">
        <is>
          <t>AGEN</t>
        </is>
      </c>
      <c r="G910" s="18" t="inlineStr">
        <is>
          <t>OP06092</t>
        </is>
      </c>
      <c r="H910" s="19">
        <f>UPPER(Table3[[#This Row],[Agen id]]&amp;"-"&amp;VLOOKUP(Table3[[#This Row],[Agen id]],A:B,2,0)&amp;"("&amp;Table3[[#This Row],[Short]]&amp;")")</f>
        <v/>
      </c>
      <c r="J910" s="7">
        <f>VLOOKUP(Table3[[#This Row],[Agen id]],Agen!A:C,3,0)</f>
        <v/>
      </c>
      <c r="K910" s="37">
        <f>TRIM(LEFT(Table3[[#This Row],[Group]],2))</f>
        <v/>
      </c>
      <c r="L910" s="3" t="inlineStr">
        <is>
          <t>NON SALES</t>
        </is>
      </c>
    </row>
    <row r="911">
      <c r="A911" s="5" t="inlineStr">
        <is>
          <t>OP06114</t>
        </is>
      </c>
      <c r="B911" s="6" t="inlineStr">
        <is>
          <t>Muhammad andriyansah</t>
        </is>
      </c>
      <c r="C911" s="7" t="inlineStr">
        <is>
          <t>A - Agen</t>
        </is>
      </c>
      <c r="D911" s="1" t="inlineStr">
        <is>
          <t>OP00002</t>
        </is>
      </c>
      <c r="E911" s="8" t="n">
        <v>45018.54444444444</v>
      </c>
      <c r="F911" s="7" t="inlineStr">
        <is>
          <t>AGEN</t>
        </is>
      </c>
      <c r="G911" s="18" t="inlineStr">
        <is>
          <t>OP06114</t>
        </is>
      </c>
      <c r="H911" s="19">
        <f>UPPER(Table3[[#This Row],[Agen id]]&amp;"-"&amp;VLOOKUP(Table3[[#This Row],[Agen id]],A:B,2,0)&amp;"("&amp;Table3[[#This Row],[Short]]&amp;")")</f>
        <v/>
      </c>
      <c r="J911" s="7">
        <f>VLOOKUP(Table3[[#This Row],[Agen id]],Agen!A:C,3,0)</f>
        <v/>
      </c>
      <c r="K911" s="37">
        <f>TRIM(LEFT(Table3[[#This Row],[Group]],2))</f>
        <v/>
      </c>
      <c r="L911" s="3" t="inlineStr">
        <is>
          <t>NON SALES</t>
        </is>
      </c>
    </row>
    <row r="912">
      <c r="A912" s="5" t="inlineStr">
        <is>
          <t>OP06138</t>
        </is>
      </c>
      <c r="B912" s="6" t="inlineStr">
        <is>
          <t>Berto</t>
        </is>
      </c>
      <c r="C912" s="7" t="inlineStr">
        <is>
          <t>A - Agen</t>
        </is>
      </c>
      <c r="D912" s="1" t="inlineStr">
        <is>
          <t>OP00002</t>
        </is>
      </c>
      <c r="E912" s="8" t="n">
        <v>45019.48611111111</v>
      </c>
      <c r="F912" s="7" t="inlineStr">
        <is>
          <t>AGEN</t>
        </is>
      </c>
      <c r="G912" s="18" t="inlineStr">
        <is>
          <t>OP06138</t>
        </is>
      </c>
      <c r="H912" s="19">
        <f>UPPER(Table3[[#This Row],[Agen id]]&amp;"-"&amp;VLOOKUP(Table3[[#This Row],[Agen id]],A:B,2,0)&amp;"("&amp;Table3[[#This Row],[Short]]&amp;")")</f>
        <v/>
      </c>
      <c r="J912" s="7">
        <f>VLOOKUP(Table3[[#This Row],[Agen id]],Agen!A:C,3,0)</f>
        <v/>
      </c>
      <c r="K912" s="37">
        <f>TRIM(LEFT(Table3[[#This Row],[Group]],2))</f>
        <v/>
      </c>
      <c r="L912" s="3" t="inlineStr">
        <is>
          <t>NON SALES</t>
        </is>
      </c>
    </row>
    <row r="913">
      <c r="A913" s="5" t="inlineStr">
        <is>
          <t>OP06161</t>
        </is>
      </c>
      <c r="B913" s="6" t="inlineStr">
        <is>
          <t>Febri ax</t>
        </is>
      </c>
      <c r="C913" s="7" t="inlineStr">
        <is>
          <t>AV - Agen Verified</t>
        </is>
      </c>
      <c r="D913" s="1" t="inlineStr">
        <is>
          <t>OP02182</t>
        </is>
      </c>
      <c r="E913" s="8" t="n">
        <v>45020.80347222222</v>
      </c>
      <c r="F913" s="7" t="inlineStr">
        <is>
          <t>DOWNLINE</t>
        </is>
      </c>
      <c r="G913" s="18" t="inlineStr">
        <is>
          <t>OP02182</t>
        </is>
      </c>
      <c r="H913" s="19">
        <f>UPPER(Table3[[#This Row],[Agen id]]&amp;"-"&amp;VLOOKUP(Table3[[#This Row],[Agen id]],A:B,2,0)&amp;"("&amp;Table3[[#This Row],[Short]]&amp;")")</f>
        <v/>
      </c>
      <c r="J913" s="7">
        <f>VLOOKUP(Table3[[#This Row],[Agen id]],Agen!A:C,3,0)</f>
        <v/>
      </c>
      <c r="K913" s="37">
        <f>TRIM(LEFT(Table3[[#This Row],[Group]],2))</f>
        <v/>
      </c>
      <c r="L913" s="3" t="inlineStr">
        <is>
          <t>NON SALES</t>
        </is>
      </c>
    </row>
    <row r="914">
      <c r="A914" s="5" t="inlineStr">
        <is>
          <t>OP06162</t>
        </is>
      </c>
      <c r="B914" s="6" t="inlineStr">
        <is>
          <t>Lisna wati</t>
        </is>
      </c>
      <c r="C914" s="7" t="inlineStr">
        <is>
          <t>A - Agen</t>
        </is>
      </c>
      <c r="D914" s="1" t="inlineStr">
        <is>
          <t>OP00002</t>
        </is>
      </c>
      <c r="E914" s="8" t="n">
        <v>45020.82847222222</v>
      </c>
      <c r="F914" s="7" t="inlineStr">
        <is>
          <t>AGEN</t>
        </is>
      </c>
      <c r="G914" s="18" t="inlineStr">
        <is>
          <t>OP06162</t>
        </is>
      </c>
      <c r="H914" s="19">
        <f>UPPER(Table3[[#This Row],[Agen id]]&amp;"-"&amp;VLOOKUP(Table3[[#This Row],[Agen id]],A:B,2,0)&amp;"("&amp;Table3[[#This Row],[Short]]&amp;")")</f>
        <v/>
      </c>
      <c r="J914" s="7">
        <f>VLOOKUP(Table3[[#This Row],[Agen id]],Agen!A:C,3,0)</f>
        <v/>
      </c>
      <c r="K914" s="37">
        <f>TRIM(LEFT(Table3[[#This Row],[Group]],2))</f>
        <v/>
      </c>
      <c r="L914" s="3" t="inlineStr">
        <is>
          <t>NON SALES</t>
        </is>
      </c>
    </row>
    <row r="915">
      <c r="A915" s="5" t="inlineStr">
        <is>
          <t>OP06174</t>
        </is>
      </c>
      <c r="B915" s="6" t="inlineStr">
        <is>
          <t>Aulia cell</t>
        </is>
      </c>
      <c r="C915" s="7" t="inlineStr">
        <is>
          <t>A - Agen</t>
        </is>
      </c>
      <c r="D915" s="1" t="inlineStr">
        <is>
          <t>OP00002</t>
        </is>
      </c>
      <c r="E915" s="8" t="n">
        <v>45021.1625</v>
      </c>
      <c r="F915" s="7" t="inlineStr">
        <is>
          <t>AGEN</t>
        </is>
      </c>
      <c r="G915" s="18" t="inlineStr">
        <is>
          <t>OP06174</t>
        </is>
      </c>
      <c r="H915" s="19">
        <f>UPPER(Table3[[#This Row],[Agen id]]&amp;"-"&amp;VLOOKUP(Table3[[#This Row],[Agen id]],A:B,2,0)&amp;"("&amp;Table3[[#This Row],[Short]]&amp;")")</f>
        <v/>
      </c>
      <c r="J915" s="7">
        <f>VLOOKUP(Table3[[#This Row],[Agen id]],Agen!A:C,3,0)</f>
        <v/>
      </c>
      <c r="K915" s="37">
        <f>TRIM(LEFT(Table3[[#This Row],[Group]],2))</f>
        <v/>
      </c>
      <c r="L915" s="3" t="inlineStr">
        <is>
          <t>NON SALES</t>
        </is>
      </c>
    </row>
    <row r="916">
      <c r="A916" s="5" t="inlineStr">
        <is>
          <t>OP06177</t>
        </is>
      </c>
      <c r="B916" s="6" t="inlineStr">
        <is>
          <t>Yafi nuah</t>
        </is>
      </c>
      <c r="C916" s="7" t="inlineStr">
        <is>
          <t>A - Agen</t>
        </is>
      </c>
      <c r="D916" s="1" t="inlineStr">
        <is>
          <t>OP00996</t>
        </is>
      </c>
      <c r="E916" s="8" t="n">
        <v>45021.4</v>
      </c>
      <c r="F916" s="7" t="inlineStr">
        <is>
          <t>DOWNLINE</t>
        </is>
      </c>
      <c r="G916" s="18" t="inlineStr">
        <is>
          <t>OP00996</t>
        </is>
      </c>
      <c r="H916" s="19">
        <f>UPPER(Table3[[#This Row],[Agen id]]&amp;"-"&amp;VLOOKUP(Table3[[#This Row],[Agen id]],A:B,2,0)&amp;"("&amp;Table3[[#This Row],[Short]]&amp;")")</f>
        <v/>
      </c>
      <c r="J916" s="7">
        <f>VLOOKUP(Table3[[#This Row],[Agen id]],Agen!A:C,3,0)</f>
        <v/>
      </c>
      <c r="K916" s="37">
        <f>TRIM(LEFT(Table3[[#This Row],[Group]],2))</f>
        <v/>
      </c>
      <c r="L916" s="3" t="inlineStr">
        <is>
          <t>NON SALES</t>
        </is>
      </c>
    </row>
    <row r="917">
      <c r="A917" s="5" t="inlineStr">
        <is>
          <t>OP06186</t>
        </is>
      </c>
      <c r="B917" s="6" t="inlineStr">
        <is>
          <t>ARcellular</t>
        </is>
      </c>
      <c r="C917" s="7" t="inlineStr">
        <is>
          <t>A - Agen</t>
        </is>
      </c>
      <c r="D917" s="1" t="inlineStr">
        <is>
          <t>OP02233</t>
        </is>
      </c>
      <c r="E917" s="8" t="n">
        <v>45021.70833333334</v>
      </c>
      <c r="F917" s="7" t="inlineStr">
        <is>
          <t>DOWNLINE</t>
        </is>
      </c>
      <c r="G917" s="18" t="inlineStr">
        <is>
          <t>OP02233</t>
        </is>
      </c>
      <c r="H917" s="19">
        <f>UPPER(Table3[[#This Row],[Agen id]]&amp;"-"&amp;VLOOKUP(Table3[[#This Row],[Agen id]],A:B,2,0)&amp;"("&amp;Table3[[#This Row],[Short]]&amp;")")</f>
        <v/>
      </c>
      <c r="J917" s="7">
        <f>VLOOKUP(Table3[[#This Row],[Agen id]],Agen!A:C,3,0)</f>
        <v/>
      </c>
      <c r="K917" s="37">
        <f>TRIM(LEFT(Table3[[#This Row],[Group]],2))</f>
        <v/>
      </c>
      <c r="L917" s="3" t="inlineStr">
        <is>
          <t>NON SALES</t>
        </is>
      </c>
    </row>
    <row r="918">
      <c r="A918" s="5" t="inlineStr">
        <is>
          <t>OP06207</t>
        </is>
      </c>
      <c r="B918" s="6" t="inlineStr">
        <is>
          <t>Burhanuddin rkt</t>
        </is>
      </c>
      <c r="C918" s="7" t="inlineStr">
        <is>
          <t>A - Agen</t>
        </is>
      </c>
      <c r="D918" s="1" t="inlineStr">
        <is>
          <t>OP00003</t>
        </is>
      </c>
      <c r="E918" s="8" t="n">
        <v>45022.50208333333</v>
      </c>
      <c r="F918" s="7" t="inlineStr">
        <is>
          <t>AGEN</t>
        </is>
      </c>
      <c r="G918" s="18" t="inlineStr">
        <is>
          <t>OP06207</t>
        </is>
      </c>
      <c r="H918" s="19">
        <f>UPPER(Table3[[#This Row],[Agen id]]&amp;"-"&amp;VLOOKUP(Table3[[#This Row],[Agen id]],A:B,2,0)&amp;"("&amp;Table3[[#This Row],[Short]]&amp;")")</f>
        <v/>
      </c>
      <c r="J918" s="7">
        <f>VLOOKUP(Table3[[#This Row],[Agen id]],Agen!A:C,3,0)</f>
        <v/>
      </c>
      <c r="K918" s="37">
        <f>TRIM(LEFT(Table3[[#This Row],[Group]],2))</f>
        <v/>
      </c>
      <c r="L918" s="3" t="inlineStr">
        <is>
          <t>NON SALES</t>
        </is>
      </c>
    </row>
    <row r="919">
      <c r="A919" s="5" t="inlineStr">
        <is>
          <t>OP06224</t>
        </is>
      </c>
      <c r="B919" s="6" t="inlineStr">
        <is>
          <t>abdul rahandani</t>
        </is>
      </c>
      <c r="C919" s="7" t="inlineStr">
        <is>
          <t>AV - Agen Verified</t>
        </is>
      </c>
      <c r="D919" s="1" t="inlineStr">
        <is>
          <t>OP00002</t>
        </is>
      </c>
      <c r="E919" s="8" t="n">
        <v>45022.88819444444</v>
      </c>
      <c r="F919" s="7" t="inlineStr">
        <is>
          <t>AGEN</t>
        </is>
      </c>
      <c r="G919" s="18" t="inlineStr">
        <is>
          <t>OP06224</t>
        </is>
      </c>
      <c r="H919" s="19">
        <f>UPPER(Table3[[#This Row],[Agen id]]&amp;"-"&amp;VLOOKUP(Table3[[#This Row],[Agen id]],A:B,2,0)&amp;"("&amp;Table3[[#This Row],[Short]]&amp;")")</f>
        <v/>
      </c>
      <c r="J919" s="7">
        <f>VLOOKUP(Table3[[#This Row],[Agen id]],Agen!A:C,3,0)</f>
        <v/>
      </c>
      <c r="K919" s="37">
        <f>TRIM(LEFT(Table3[[#This Row],[Group]],2))</f>
        <v/>
      </c>
      <c r="L919" s="3" t="inlineStr">
        <is>
          <t>NON SALES</t>
        </is>
      </c>
    </row>
    <row r="920">
      <c r="A920" s="5" t="inlineStr">
        <is>
          <t>OP06226</t>
        </is>
      </c>
      <c r="B920" s="6" t="inlineStr">
        <is>
          <t>Izul</t>
        </is>
      </c>
      <c r="C920" s="7" t="inlineStr">
        <is>
          <t>A - Agen</t>
        </is>
      </c>
      <c r="D920" s="1" t="inlineStr">
        <is>
          <t>OP00002</t>
        </is>
      </c>
      <c r="E920" s="8" t="n">
        <v>45022.93055555555</v>
      </c>
      <c r="F920" s="7" t="inlineStr">
        <is>
          <t>AGEN</t>
        </is>
      </c>
      <c r="G920" s="18" t="inlineStr">
        <is>
          <t>OP06226</t>
        </is>
      </c>
      <c r="H920" s="19">
        <f>UPPER(Table3[[#This Row],[Agen id]]&amp;"-"&amp;VLOOKUP(Table3[[#This Row],[Agen id]],A:B,2,0)&amp;"("&amp;Table3[[#This Row],[Short]]&amp;")")</f>
        <v/>
      </c>
      <c r="J920" s="7">
        <f>VLOOKUP(Table3[[#This Row],[Agen id]],Agen!A:C,3,0)</f>
        <v/>
      </c>
      <c r="K920" s="37">
        <f>TRIM(LEFT(Table3[[#This Row],[Group]],2))</f>
        <v/>
      </c>
      <c r="L920" s="3" t="inlineStr">
        <is>
          <t>NON SALES</t>
        </is>
      </c>
    </row>
    <row r="921">
      <c r="A921" s="5" t="inlineStr">
        <is>
          <t>OP06234</t>
        </is>
      </c>
      <c r="B921" s="6" t="inlineStr">
        <is>
          <t>Sandi hartono</t>
        </is>
      </c>
      <c r="C921" s="7" t="inlineStr">
        <is>
          <t>A - Agen</t>
        </is>
      </c>
      <c r="D921" s="1" t="inlineStr">
        <is>
          <t>OP00002</t>
        </is>
      </c>
      <c r="E921" s="8" t="n">
        <v>45023.43055555555</v>
      </c>
      <c r="F921" s="7" t="inlineStr">
        <is>
          <t>AGEN</t>
        </is>
      </c>
      <c r="G921" s="18" t="inlineStr">
        <is>
          <t>OP06234</t>
        </is>
      </c>
      <c r="H921" s="19">
        <f>UPPER(Table3[[#This Row],[Agen id]]&amp;"-"&amp;VLOOKUP(Table3[[#This Row],[Agen id]],A:B,2,0)&amp;"("&amp;Table3[[#This Row],[Short]]&amp;")")</f>
        <v/>
      </c>
      <c r="J921" s="7">
        <f>VLOOKUP(Table3[[#This Row],[Agen id]],Agen!A:C,3,0)</f>
        <v/>
      </c>
      <c r="K921" s="37">
        <f>TRIM(LEFT(Table3[[#This Row],[Group]],2))</f>
        <v/>
      </c>
      <c r="L921" s="3" t="inlineStr">
        <is>
          <t>NON SALES</t>
        </is>
      </c>
    </row>
    <row r="922">
      <c r="A922" s="5" t="inlineStr">
        <is>
          <t>OP06240</t>
        </is>
      </c>
      <c r="B922" s="6" t="inlineStr">
        <is>
          <t>Kontermu</t>
        </is>
      </c>
      <c r="C922" s="7" t="inlineStr">
        <is>
          <t>A - Agen</t>
        </is>
      </c>
      <c r="D922" s="1" t="inlineStr">
        <is>
          <t>OP00002</t>
        </is>
      </c>
      <c r="E922" s="8" t="n">
        <v>45023.5875</v>
      </c>
      <c r="F922" s="7" t="inlineStr">
        <is>
          <t>AGEN</t>
        </is>
      </c>
      <c r="G922" s="18" t="inlineStr">
        <is>
          <t>OP06240</t>
        </is>
      </c>
      <c r="H922" s="19">
        <f>UPPER(Table3[[#This Row],[Agen id]]&amp;"-"&amp;VLOOKUP(Table3[[#This Row],[Agen id]],A:B,2,0)&amp;"("&amp;Table3[[#This Row],[Short]]&amp;")")</f>
        <v/>
      </c>
      <c r="J922" s="7">
        <f>VLOOKUP(Table3[[#This Row],[Agen id]],Agen!A:C,3,0)</f>
        <v/>
      </c>
      <c r="K922" s="37">
        <f>TRIM(LEFT(Table3[[#This Row],[Group]],2))</f>
        <v/>
      </c>
      <c r="L922" s="3" t="inlineStr">
        <is>
          <t>NON SALES</t>
        </is>
      </c>
    </row>
    <row r="923">
      <c r="A923" s="5" t="inlineStr">
        <is>
          <t>OP06243</t>
        </is>
      </c>
      <c r="B923" s="6" t="inlineStr">
        <is>
          <t>omu</t>
        </is>
      </c>
      <c r="C923" s="7" t="inlineStr">
        <is>
          <t>AV - Agen Verified</t>
        </is>
      </c>
      <c r="D923" s="1" t="inlineStr">
        <is>
          <t>OP03215</t>
        </is>
      </c>
      <c r="E923" s="8" t="n">
        <v>45023.72083333333</v>
      </c>
      <c r="F923" s="7" t="inlineStr">
        <is>
          <t>DOWNLINE</t>
        </is>
      </c>
      <c r="G923" s="18" t="inlineStr">
        <is>
          <t>OP03179</t>
        </is>
      </c>
      <c r="H923" s="19">
        <f>UPPER(Table3[[#This Row],[Agen id]]&amp;"-"&amp;VLOOKUP(Table3[[#This Row],[Agen id]],A:B,2,0)&amp;"("&amp;Table3[[#This Row],[Short]]&amp;")")</f>
        <v/>
      </c>
      <c r="J923" s="7">
        <f>VLOOKUP(Table3[[#This Row],[Agen id]],Agen!A:C,3,0)</f>
        <v/>
      </c>
      <c r="K923" s="37">
        <f>TRIM(LEFT(Table3[[#This Row],[Group]],2))</f>
        <v/>
      </c>
      <c r="L923" s="3" t="inlineStr">
        <is>
          <t>NON SALES</t>
        </is>
      </c>
    </row>
    <row r="924">
      <c r="A924" s="5" t="inlineStr">
        <is>
          <t>OP06248</t>
        </is>
      </c>
      <c r="B924" s="6" t="inlineStr">
        <is>
          <t>Harman</t>
        </is>
      </c>
      <c r="C924" s="7" t="inlineStr">
        <is>
          <t>AV - Agen Verified</t>
        </is>
      </c>
      <c r="D924" s="1" t="inlineStr">
        <is>
          <t>OP00003</t>
        </is>
      </c>
      <c r="E924" s="8" t="n">
        <v>45023.90694444445</v>
      </c>
      <c r="F924" s="7" t="inlineStr">
        <is>
          <t>AGEN</t>
        </is>
      </c>
      <c r="G924" s="18" t="inlineStr">
        <is>
          <t>OP06248</t>
        </is>
      </c>
      <c r="H924" s="19">
        <f>UPPER(Table3[[#This Row],[Agen id]]&amp;"-"&amp;VLOOKUP(Table3[[#This Row],[Agen id]],A:B,2,0)&amp;"("&amp;Table3[[#This Row],[Short]]&amp;")")</f>
        <v/>
      </c>
      <c r="J924" s="7">
        <f>VLOOKUP(Table3[[#This Row],[Agen id]],Agen!A:C,3,0)</f>
        <v/>
      </c>
      <c r="K924" s="37">
        <f>TRIM(LEFT(Table3[[#This Row],[Group]],2))</f>
        <v/>
      </c>
      <c r="L924" s="3" t="inlineStr">
        <is>
          <t>NON SALES</t>
        </is>
      </c>
    </row>
    <row r="925">
      <c r="A925" s="5" t="inlineStr">
        <is>
          <t>OP06263</t>
        </is>
      </c>
      <c r="B925" s="6" t="inlineStr">
        <is>
          <t>Anisah Effendi</t>
        </is>
      </c>
      <c r="C925" s="7" t="inlineStr">
        <is>
          <t>A - Agen</t>
        </is>
      </c>
      <c r="D925" s="1" t="inlineStr">
        <is>
          <t>OP00002</t>
        </is>
      </c>
      <c r="E925" s="8" t="n">
        <v>45024.84166666667</v>
      </c>
      <c r="F925" s="7" t="inlineStr">
        <is>
          <t>AGEN</t>
        </is>
      </c>
      <c r="G925" s="18" t="inlineStr">
        <is>
          <t>OP06263</t>
        </is>
      </c>
      <c r="H925" s="19">
        <f>UPPER(Table3[[#This Row],[Agen id]]&amp;"-"&amp;VLOOKUP(Table3[[#This Row],[Agen id]],A:B,2,0)&amp;"("&amp;Table3[[#This Row],[Short]]&amp;")")</f>
        <v/>
      </c>
      <c r="J925" s="7">
        <f>VLOOKUP(Table3[[#This Row],[Agen id]],Agen!A:C,3,0)</f>
        <v/>
      </c>
      <c r="K925" s="37">
        <f>TRIM(LEFT(Table3[[#This Row],[Group]],2))</f>
        <v/>
      </c>
      <c r="L925" s="3" t="inlineStr">
        <is>
          <t>NON SALES</t>
        </is>
      </c>
    </row>
    <row r="926">
      <c r="A926" s="5" t="inlineStr">
        <is>
          <t>OP06275</t>
        </is>
      </c>
      <c r="B926" s="6" t="inlineStr">
        <is>
          <t>BANG.AZIS</t>
        </is>
      </c>
      <c r="C926" s="7" t="inlineStr">
        <is>
          <t>A - Agen</t>
        </is>
      </c>
      <c r="D926" s="1" t="inlineStr">
        <is>
          <t>OP00002</t>
        </is>
      </c>
      <c r="E926" s="8" t="n">
        <v>45024.95</v>
      </c>
      <c r="F926" s="7" t="inlineStr">
        <is>
          <t>AGEN</t>
        </is>
      </c>
      <c r="G926" s="18" t="inlineStr">
        <is>
          <t>OP06275</t>
        </is>
      </c>
      <c r="H926" s="19">
        <f>UPPER(Table3[[#This Row],[Agen id]]&amp;"-"&amp;VLOOKUP(Table3[[#This Row],[Agen id]],A:B,2,0)&amp;"("&amp;Table3[[#This Row],[Short]]&amp;")")</f>
        <v/>
      </c>
      <c r="J926" s="7">
        <f>VLOOKUP(Table3[[#This Row],[Agen id]],Agen!A:C,3,0)</f>
        <v/>
      </c>
      <c r="K926" s="37">
        <f>TRIM(LEFT(Table3[[#This Row],[Group]],2))</f>
        <v/>
      </c>
      <c r="L926" s="3" t="inlineStr">
        <is>
          <t>NON SALES</t>
        </is>
      </c>
    </row>
    <row r="927">
      <c r="A927" s="5" t="inlineStr">
        <is>
          <t>OP06285</t>
        </is>
      </c>
      <c r="B927" s="6" t="inlineStr">
        <is>
          <t>tedi</t>
        </is>
      </c>
      <c r="C927" s="7" t="inlineStr">
        <is>
          <t>A - Agen</t>
        </is>
      </c>
      <c r="D927" s="1" t="inlineStr">
        <is>
          <t>OP06088</t>
        </is>
      </c>
      <c r="E927" s="8" t="n">
        <v>45025.50138888889</v>
      </c>
      <c r="F927" s="7" t="inlineStr">
        <is>
          <t>DOWNLINE</t>
        </is>
      </c>
      <c r="G927" s="18" t="inlineStr">
        <is>
          <t>OP06088</t>
        </is>
      </c>
      <c r="H927" s="19">
        <f>UPPER(Table3[[#This Row],[Agen id]]&amp;"-"&amp;VLOOKUP(Table3[[#This Row],[Agen id]],A:B,2,0)&amp;"("&amp;Table3[[#This Row],[Short]]&amp;")")</f>
        <v/>
      </c>
      <c r="J927" s="7">
        <f>VLOOKUP(Table3[[#This Row],[Agen id]],Agen!A:C,3,0)</f>
        <v/>
      </c>
      <c r="K927" s="37">
        <f>TRIM(LEFT(Table3[[#This Row],[Group]],2))</f>
        <v/>
      </c>
      <c r="L927" s="3" t="inlineStr">
        <is>
          <t>NON SALES</t>
        </is>
      </c>
    </row>
    <row r="928">
      <c r="A928" s="5" t="inlineStr">
        <is>
          <t>OP06287</t>
        </is>
      </c>
      <c r="B928" s="6" t="inlineStr">
        <is>
          <t>Joni purba</t>
        </is>
      </c>
      <c r="C928" s="7" t="inlineStr">
        <is>
          <t>A - Agen</t>
        </is>
      </c>
      <c r="D928" s="1" t="inlineStr">
        <is>
          <t>OP00003</t>
        </is>
      </c>
      <c r="E928" s="8" t="n">
        <v>45025.51944444444</v>
      </c>
      <c r="F928" s="7" t="inlineStr">
        <is>
          <t>AGEN</t>
        </is>
      </c>
      <c r="G928" s="18" t="inlineStr">
        <is>
          <t>OP06287</t>
        </is>
      </c>
      <c r="H928" s="19">
        <f>UPPER(Table3[[#This Row],[Agen id]]&amp;"-"&amp;VLOOKUP(Table3[[#This Row],[Agen id]],A:B,2,0)&amp;"("&amp;Table3[[#This Row],[Short]]&amp;")")</f>
        <v/>
      </c>
      <c r="J928" s="7">
        <f>VLOOKUP(Table3[[#This Row],[Agen id]],Agen!A:C,3,0)</f>
        <v/>
      </c>
      <c r="K928" s="37">
        <f>TRIM(LEFT(Table3[[#This Row],[Group]],2))</f>
        <v/>
      </c>
      <c r="L928" s="3" t="inlineStr">
        <is>
          <t>NON SALES</t>
        </is>
      </c>
    </row>
    <row r="929">
      <c r="A929" s="5" t="inlineStr">
        <is>
          <t>OP06294</t>
        </is>
      </c>
      <c r="B929" s="6" t="inlineStr">
        <is>
          <t>Andre</t>
        </is>
      </c>
      <c r="C929" s="7" t="inlineStr">
        <is>
          <t>A - Agen</t>
        </is>
      </c>
      <c r="D929" s="1" t="inlineStr">
        <is>
          <t>OP00996</t>
        </is>
      </c>
      <c r="E929" s="8" t="n">
        <v>45025.71111111111</v>
      </c>
      <c r="F929" s="7" t="inlineStr">
        <is>
          <t>DOWNLINE</t>
        </is>
      </c>
      <c r="G929" s="18" t="inlineStr">
        <is>
          <t>OP00996</t>
        </is>
      </c>
      <c r="H929" s="19">
        <f>UPPER(Table3[[#This Row],[Agen id]]&amp;"-"&amp;VLOOKUP(Table3[[#This Row],[Agen id]],A:B,2,0)&amp;"("&amp;Table3[[#This Row],[Short]]&amp;")")</f>
        <v/>
      </c>
      <c r="J929" s="7">
        <f>VLOOKUP(Table3[[#This Row],[Agen id]],Agen!A:C,3,0)</f>
        <v/>
      </c>
      <c r="K929" s="37">
        <f>TRIM(LEFT(Table3[[#This Row],[Group]],2))</f>
        <v/>
      </c>
      <c r="L929" s="3" t="inlineStr">
        <is>
          <t>NON SALES</t>
        </is>
      </c>
    </row>
    <row r="930">
      <c r="A930" s="5" t="inlineStr">
        <is>
          <t>OP06303</t>
        </is>
      </c>
      <c r="B930" s="6" t="inlineStr">
        <is>
          <t>baroengah</t>
        </is>
      </c>
      <c r="C930" s="7" t="inlineStr">
        <is>
          <t>AV - Agen Verified</t>
        </is>
      </c>
      <c r="D930" s="1" t="inlineStr">
        <is>
          <t>OP00002</t>
        </is>
      </c>
      <c r="E930" s="8" t="n">
        <v>45025.86180555556</v>
      </c>
      <c r="F930" s="7" t="inlineStr">
        <is>
          <t>AGEN</t>
        </is>
      </c>
      <c r="G930" s="18" t="inlineStr">
        <is>
          <t>OP06303</t>
        </is>
      </c>
      <c r="H930" s="19">
        <f>UPPER(Table3[[#This Row],[Agen id]]&amp;"-"&amp;VLOOKUP(Table3[[#This Row],[Agen id]],A:B,2,0)&amp;"("&amp;Table3[[#This Row],[Short]]&amp;")")</f>
        <v/>
      </c>
      <c r="J930" s="7">
        <f>VLOOKUP(Table3[[#This Row],[Agen id]],Agen!A:C,3,0)</f>
        <v/>
      </c>
      <c r="K930" s="37">
        <f>TRIM(LEFT(Table3[[#This Row],[Group]],2))</f>
        <v/>
      </c>
      <c r="L930" s="3" t="inlineStr">
        <is>
          <t>NON SALES</t>
        </is>
      </c>
    </row>
    <row r="931">
      <c r="A931" s="5" t="inlineStr">
        <is>
          <t>OP06310</t>
        </is>
      </c>
      <c r="B931" s="6" t="inlineStr">
        <is>
          <t>Fajrian candra pratama</t>
        </is>
      </c>
      <c r="C931" s="7" t="inlineStr">
        <is>
          <t>AV - Agen Verified</t>
        </is>
      </c>
      <c r="D931" s="1" t="inlineStr">
        <is>
          <t>OP00002</t>
        </is>
      </c>
      <c r="E931" s="8" t="n">
        <v>45026.32291666666</v>
      </c>
      <c r="F931" s="7" t="inlineStr">
        <is>
          <t>AGEN</t>
        </is>
      </c>
      <c r="G931" s="18" t="inlineStr">
        <is>
          <t>OP06310</t>
        </is>
      </c>
      <c r="H931" s="19">
        <f>UPPER(Table3[[#This Row],[Agen id]]&amp;"-"&amp;VLOOKUP(Table3[[#This Row],[Agen id]],A:B,2,0)&amp;"("&amp;Table3[[#This Row],[Short]]&amp;")")</f>
        <v/>
      </c>
      <c r="J931" s="7">
        <f>VLOOKUP(Table3[[#This Row],[Agen id]],Agen!A:C,3,0)</f>
        <v/>
      </c>
      <c r="K931" s="37">
        <f>TRIM(LEFT(Table3[[#This Row],[Group]],2))</f>
        <v/>
      </c>
      <c r="L931" s="3" t="inlineStr">
        <is>
          <t>NON SALES</t>
        </is>
      </c>
    </row>
    <row r="932">
      <c r="A932" s="5" t="inlineStr">
        <is>
          <t>OP06320</t>
        </is>
      </c>
      <c r="B932" s="6" t="inlineStr">
        <is>
          <t>karmila</t>
        </is>
      </c>
      <c r="C932" s="7" t="inlineStr">
        <is>
          <t>A - Agen</t>
        </is>
      </c>
      <c r="D932" s="1" t="inlineStr">
        <is>
          <t>OP00049</t>
        </is>
      </c>
      <c r="E932" s="8" t="n">
        <v>45026.78125</v>
      </c>
      <c r="F932" s="7" t="inlineStr">
        <is>
          <t>DOWNLINE</t>
        </is>
      </c>
      <c r="G932" s="18" t="inlineStr">
        <is>
          <t>OP00049</t>
        </is>
      </c>
      <c r="H932" s="19">
        <f>UPPER(Table3[[#This Row],[Agen id]]&amp;"-"&amp;VLOOKUP(Table3[[#This Row],[Agen id]],A:B,2,0)&amp;"("&amp;Table3[[#This Row],[Short]]&amp;")")</f>
        <v/>
      </c>
      <c r="J932" s="7">
        <f>VLOOKUP(Table3[[#This Row],[Agen id]],Agen!A:C,3,0)</f>
        <v/>
      </c>
      <c r="K932" s="37">
        <f>TRIM(LEFT(Table3[[#This Row],[Group]],2))</f>
        <v/>
      </c>
      <c r="L932" s="3" t="inlineStr">
        <is>
          <t>NON SALES</t>
        </is>
      </c>
    </row>
    <row r="933">
      <c r="A933" s="5" t="inlineStr">
        <is>
          <t>OP06328</t>
        </is>
      </c>
      <c r="B933" s="6" t="inlineStr">
        <is>
          <t>ANDRE SUHAN</t>
        </is>
      </c>
      <c r="C933" s="7" t="inlineStr">
        <is>
          <t>A - Agen</t>
        </is>
      </c>
      <c r="D933" s="1" t="inlineStr">
        <is>
          <t>OP00002</t>
        </is>
      </c>
      <c r="E933" s="8" t="n">
        <v>45027.12569444445</v>
      </c>
      <c r="F933" s="7" t="inlineStr">
        <is>
          <t>AGEN</t>
        </is>
      </c>
      <c r="G933" s="18" t="inlineStr">
        <is>
          <t>OP06328</t>
        </is>
      </c>
      <c r="H933" s="19">
        <f>UPPER(Table3[[#This Row],[Agen id]]&amp;"-"&amp;VLOOKUP(Table3[[#This Row],[Agen id]],A:B,2,0)&amp;"("&amp;Table3[[#This Row],[Short]]&amp;")")</f>
        <v/>
      </c>
      <c r="J933" s="7">
        <f>VLOOKUP(Table3[[#This Row],[Agen id]],Agen!A:C,3,0)</f>
        <v/>
      </c>
      <c r="K933" s="37">
        <f>TRIM(LEFT(Table3[[#This Row],[Group]],2))</f>
        <v/>
      </c>
      <c r="L933" s="3" t="inlineStr">
        <is>
          <t>NON SALES</t>
        </is>
      </c>
    </row>
    <row r="934">
      <c r="A934" s="5" t="inlineStr">
        <is>
          <t>OP06354</t>
        </is>
      </c>
      <c r="B934" s="6" t="inlineStr">
        <is>
          <t>Tru</t>
        </is>
      </c>
      <c r="C934" s="7" t="inlineStr">
        <is>
          <t>A - Agen</t>
        </is>
      </c>
      <c r="D934" s="1" t="inlineStr">
        <is>
          <t>OP00002</t>
        </is>
      </c>
      <c r="E934" s="8" t="n">
        <v>45028.88611111111</v>
      </c>
      <c r="F934" s="7" t="inlineStr">
        <is>
          <t>AGEN</t>
        </is>
      </c>
      <c r="G934" s="18" t="inlineStr">
        <is>
          <t>OP06354</t>
        </is>
      </c>
      <c r="H934" s="19">
        <f>UPPER(Table3[[#This Row],[Agen id]]&amp;"-"&amp;VLOOKUP(Table3[[#This Row],[Agen id]],A:B,2,0)&amp;"("&amp;Table3[[#This Row],[Short]]&amp;")")</f>
        <v/>
      </c>
      <c r="J934" s="7">
        <f>VLOOKUP(Table3[[#This Row],[Agen id]],Agen!A:C,3,0)</f>
        <v/>
      </c>
      <c r="K934" s="37">
        <f>TRIM(LEFT(Table3[[#This Row],[Group]],2))</f>
        <v/>
      </c>
      <c r="L934" s="3" t="inlineStr">
        <is>
          <t>NON SALES</t>
        </is>
      </c>
    </row>
    <row r="935">
      <c r="A935" s="5" t="inlineStr">
        <is>
          <t>OP06390</t>
        </is>
      </c>
      <c r="B935" s="6" t="inlineStr">
        <is>
          <t>Iswandi</t>
        </is>
      </c>
      <c r="C935" s="7" t="inlineStr">
        <is>
          <t>A - Agen</t>
        </is>
      </c>
      <c r="D935" s="1" t="inlineStr">
        <is>
          <t>OP00002</t>
        </is>
      </c>
      <c r="E935" s="8" t="n">
        <v>45031.07013888889</v>
      </c>
      <c r="F935" s="7" t="inlineStr">
        <is>
          <t>AGEN</t>
        </is>
      </c>
      <c r="G935" s="18" t="inlineStr">
        <is>
          <t>OP06390</t>
        </is>
      </c>
      <c r="H935" s="19">
        <f>UPPER(Table3[[#This Row],[Agen id]]&amp;"-"&amp;VLOOKUP(Table3[[#This Row],[Agen id]],A:B,2,0)&amp;"("&amp;Table3[[#This Row],[Short]]&amp;")")</f>
        <v/>
      </c>
      <c r="J935" s="7">
        <f>VLOOKUP(Table3[[#This Row],[Agen id]],Agen!A:C,3,0)</f>
        <v/>
      </c>
      <c r="K935" s="37">
        <f>TRIM(LEFT(Table3[[#This Row],[Group]],2))</f>
        <v/>
      </c>
      <c r="L935" s="3" t="inlineStr">
        <is>
          <t>NON SALES</t>
        </is>
      </c>
    </row>
    <row r="936">
      <c r="A936" s="5" t="inlineStr">
        <is>
          <t>OP06396</t>
        </is>
      </c>
      <c r="B936" s="6" t="inlineStr">
        <is>
          <t>Alfadhil</t>
        </is>
      </c>
      <c r="C936" s="7" t="inlineStr">
        <is>
          <t>AV - Agen Verified</t>
        </is>
      </c>
      <c r="D936" s="1" t="inlineStr">
        <is>
          <t>OP00002</t>
        </is>
      </c>
      <c r="E936" s="8" t="n">
        <v>45031.44652777778</v>
      </c>
      <c r="F936" s="7" t="inlineStr">
        <is>
          <t>AGEN</t>
        </is>
      </c>
      <c r="G936" s="18" t="inlineStr">
        <is>
          <t>OP06396</t>
        </is>
      </c>
      <c r="H936" s="19">
        <f>UPPER(Table3[[#This Row],[Agen id]]&amp;"-"&amp;VLOOKUP(Table3[[#This Row],[Agen id]],A:B,2,0)&amp;"("&amp;Table3[[#This Row],[Short]]&amp;")")</f>
        <v/>
      </c>
      <c r="J936" s="7">
        <f>VLOOKUP(Table3[[#This Row],[Agen id]],Agen!A:C,3,0)</f>
        <v/>
      </c>
      <c r="K936" s="37">
        <f>TRIM(LEFT(Table3[[#This Row],[Group]],2))</f>
        <v/>
      </c>
      <c r="L936" s="3" t="inlineStr">
        <is>
          <t>NON SALES</t>
        </is>
      </c>
    </row>
    <row r="937">
      <c r="A937" s="5" t="inlineStr">
        <is>
          <t>OP06397</t>
        </is>
      </c>
      <c r="B937" s="6" t="inlineStr">
        <is>
          <t>Iswandi</t>
        </is>
      </c>
      <c r="C937" s="7" t="inlineStr">
        <is>
          <t>AV - Agen Verified</t>
        </is>
      </c>
      <c r="D937" s="1" t="inlineStr">
        <is>
          <t>OP00002</t>
        </is>
      </c>
      <c r="E937" s="8" t="n">
        <v>45031.45763888889</v>
      </c>
      <c r="F937" s="7" t="inlineStr">
        <is>
          <t>AGEN</t>
        </is>
      </c>
      <c r="G937" s="18" t="inlineStr">
        <is>
          <t>OP06397</t>
        </is>
      </c>
      <c r="H937" s="19">
        <f>UPPER(Table3[[#This Row],[Agen id]]&amp;"-"&amp;VLOOKUP(Table3[[#This Row],[Agen id]],A:B,2,0)&amp;"("&amp;Table3[[#This Row],[Short]]&amp;")")</f>
        <v/>
      </c>
      <c r="J937" s="7">
        <f>VLOOKUP(Table3[[#This Row],[Agen id]],Agen!A:C,3,0)</f>
        <v/>
      </c>
      <c r="K937" s="37">
        <f>TRIM(LEFT(Table3[[#This Row],[Group]],2))</f>
        <v/>
      </c>
      <c r="L937" s="3" t="inlineStr">
        <is>
          <t>NON SALES</t>
        </is>
      </c>
    </row>
    <row r="938">
      <c r="A938" s="5" t="inlineStr">
        <is>
          <t>OP06401</t>
        </is>
      </c>
      <c r="B938" s="6" t="inlineStr">
        <is>
          <t>Rahma Amanda</t>
        </is>
      </c>
      <c r="C938" s="7" t="inlineStr">
        <is>
          <t>AV - Agen Verified</t>
        </is>
      </c>
      <c r="D938" s="1" t="inlineStr">
        <is>
          <t>OP04219</t>
        </is>
      </c>
      <c r="E938" s="8" t="n">
        <v>45031.67430555556</v>
      </c>
      <c r="F938" s="7" t="inlineStr">
        <is>
          <t>DOWNLINE</t>
        </is>
      </c>
      <c r="G938" s="18" t="inlineStr">
        <is>
          <t>OP04219</t>
        </is>
      </c>
      <c r="H938" s="19">
        <f>UPPER(Table3[[#This Row],[Agen id]]&amp;"-"&amp;VLOOKUP(Table3[[#This Row],[Agen id]],A:B,2,0)&amp;"("&amp;Table3[[#This Row],[Short]]&amp;")")</f>
        <v/>
      </c>
      <c r="J938" s="7">
        <f>VLOOKUP(Table3[[#This Row],[Agen id]],Agen!A:C,3,0)</f>
        <v/>
      </c>
      <c r="K938" s="37">
        <f>TRIM(LEFT(Table3[[#This Row],[Group]],2))</f>
        <v/>
      </c>
      <c r="L938" s="3" t="inlineStr">
        <is>
          <t>NON SALES</t>
        </is>
      </c>
    </row>
    <row r="939">
      <c r="A939" s="5" t="inlineStr">
        <is>
          <t>OP06406</t>
        </is>
      </c>
      <c r="B939" s="6" t="inlineStr">
        <is>
          <t>KEMBAR CELL</t>
        </is>
      </c>
      <c r="C939" s="7" t="inlineStr">
        <is>
          <t>AV - Agen Verified</t>
        </is>
      </c>
      <c r="D939" s="1" t="inlineStr">
        <is>
          <t>OP00688</t>
        </is>
      </c>
      <c r="E939" s="8" t="n">
        <v>45031.7875</v>
      </c>
      <c r="F939" s="7" t="inlineStr">
        <is>
          <t>DOWNLINE</t>
        </is>
      </c>
      <c r="G939" s="18" t="inlineStr">
        <is>
          <t>OP00688</t>
        </is>
      </c>
      <c r="H939" s="19">
        <f>UPPER(Table3[[#This Row],[Agen id]]&amp;"-"&amp;VLOOKUP(Table3[[#This Row],[Agen id]],A:B,2,0)&amp;"("&amp;Table3[[#This Row],[Short]]&amp;")")</f>
        <v/>
      </c>
      <c r="J939" s="7">
        <f>VLOOKUP(Table3[[#This Row],[Agen id]],Agen!A:C,3,0)</f>
        <v/>
      </c>
      <c r="K939" s="37">
        <f>TRIM(LEFT(Table3[[#This Row],[Group]],2))</f>
        <v/>
      </c>
      <c r="L939" s="3" t="inlineStr">
        <is>
          <t>NON SALES</t>
        </is>
      </c>
    </row>
    <row r="940">
      <c r="A940" s="5" t="inlineStr">
        <is>
          <t>OP06409</t>
        </is>
      </c>
      <c r="B940" s="6" t="inlineStr">
        <is>
          <t>Situasi Ndruru</t>
        </is>
      </c>
      <c r="C940" s="7" t="inlineStr">
        <is>
          <t>AV - Agen Verified</t>
        </is>
      </c>
      <c r="D940" s="1" t="inlineStr">
        <is>
          <t>OP00002</t>
        </is>
      </c>
      <c r="E940" s="8" t="n">
        <v>45031.82638888889</v>
      </c>
      <c r="F940" s="7" t="inlineStr">
        <is>
          <t>AGEN</t>
        </is>
      </c>
      <c r="G940" s="18" t="inlineStr">
        <is>
          <t>OP06409</t>
        </is>
      </c>
      <c r="H940" s="19">
        <f>UPPER(Table3[[#This Row],[Agen id]]&amp;"-"&amp;VLOOKUP(Table3[[#This Row],[Agen id]],A:B,2,0)&amp;"("&amp;Table3[[#This Row],[Short]]&amp;")")</f>
        <v/>
      </c>
      <c r="J940" s="7">
        <f>VLOOKUP(Table3[[#This Row],[Agen id]],Agen!A:C,3,0)</f>
        <v/>
      </c>
      <c r="K940" s="37">
        <f>TRIM(LEFT(Table3[[#This Row],[Group]],2))</f>
        <v/>
      </c>
      <c r="L940" s="3" t="inlineStr">
        <is>
          <t>NON SALES</t>
        </is>
      </c>
    </row>
    <row r="941">
      <c r="A941" s="5" t="inlineStr">
        <is>
          <t>OP06411</t>
        </is>
      </c>
      <c r="B941" s="6" t="inlineStr">
        <is>
          <t>ADI DARMAWAN</t>
        </is>
      </c>
      <c r="C941" s="7" t="inlineStr">
        <is>
          <t>A - Agen</t>
        </is>
      </c>
      <c r="D941" s="1" t="inlineStr">
        <is>
          <t>OP00002</t>
        </is>
      </c>
      <c r="E941" s="8" t="n">
        <v>45031.83263888889</v>
      </c>
      <c r="F941" s="7" t="inlineStr">
        <is>
          <t>AGEN</t>
        </is>
      </c>
      <c r="G941" s="18" t="inlineStr">
        <is>
          <t>OP06411</t>
        </is>
      </c>
      <c r="H941" s="19">
        <f>UPPER(Table3[[#This Row],[Agen id]]&amp;"-"&amp;VLOOKUP(Table3[[#This Row],[Agen id]],A:B,2,0)&amp;"("&amp;Table3[[#This Row],[Short]]&amp;")")</f>
        <v/>
      </c>
      <c r="J941" s="7">
        <f>VLOOKUP(Table3[[#This Row],[Agen id]],Agen!A:C,3,0)</f>
        <v/>
      </c>
      <c r="K941" s="37">
        <f>TRIM(LEFT(Table3[[#This Row],[Group]],2))</f>
        <v/>
      </c>
      <c r="L941" s="3" t="inlineStr">
        <is>
          <t>NON SALES</t>
        </is>
      </c>
    </row>
    <row r="942">
      <c r="A942" s="5" t="inlineStr">
        <is>
          <t>OP06421</t>
        </is>
      </c>
      <c r="B942" s="6" t="inlineStr">
        <is>
          <t>Gilang rose</t>
        </is>
      </c>
      <c r="C942" s="7" t="inlineStr">
        <is>
          <t>AV - Agen Verified</t>
        </is>
      </c>
      <c r="D942" s="1" t="inlineStr">
        <is>
          <t>OP00002</t>
        </is>
      </c>
      <c r="E942" s="8" t="n">
        <v>45032.83611111111</v>
      </c>
      <c r="F942" s="7" t="inlineStr">
        <is>
          <t>AGEN</t>
        </is>
      </c>
      <c r="G942" s="18" t="inlineStr">
        <is>
          <t>OP06421</t>
        </is>
      </c>
      <c r="H942" s="19">
        <f>UPPER(Table3[[#This Row],[Agen id]]&amp;"-"&amp;VLOOKUP(Table3[[#This Row],[Agen id]],A:B,2,0)&amp;"("&amp;Table3[[#This Row],[Short]]&amp;")")</f>
        <v/>
      </c>
      <c r="J942" s="7">
        <f>VLOOKUP(Table3[[#This Row],[Agen id]],Agen!A:C,3,0)</f>
        <v/>
      </c>
      <c r="K942" s="37">
        <f>TRIM(LEFT(Table3[[#This Row],[Group]],2))</f>
        <v/>
      </c>
      <c r="L942" s="3" t="inlineStr">
        <is>
          <t>NON SALES</t>
        </is>
      </c>
    </row>
    <row r="943">
      <c r="A943" s="5" t="inlineStr">
        <is>
          <t>OP06425</t>
        </is>
      </c>
      <c r="B943" s="6" t="inlineStr">
        <is>
          <t>KEYSHACELL</t>
        </is>
      </c>
      <c r="C943" s="7" t="inlineStr">
        <is>
          <t>A - Agen</t>
        </is>
      </c>
      <c r="D943" s="1" t="inlineStr">
        <is>
          <t>OP00996</t>
        </is>
      </c>
      <c r="E943" s="8" t="n">
        <v>45033.02013888889</v>
      </c>
      <c r="F943" s="7" t="inlineStr">
        <is>
          <t>DOWNLINE</t>
        </is>
      </c>
      <c r="G943" s="18" t="inlineStr">
        <is>
          <t>OP00996</t>
        </is>
      </c>
      <c r="H943" s="19">
        <f>UPPER(Table3[[#This Row],[Agen id]]&amp;"-"&amp;VLOOKUP(Table3[[#This Row],[Agen id]],A:B,2,0)&amp;"("&amp;Table3[[#This Row],[Short]]&amp;")")</f>
        <v/>
      </c>
      <c r="J943" s="7">
        <f>VLOOKUP(Table3[[#This Row],[Agen id]],Agen!A:C,3,0)</f>
        <v/>
      </c>
      <c r="K943" s="37">
        <f>TRIM(LEFT(Table3[[#This Row],[Group]],2))</f>
        <v/>
      </c>
      <c r="L943" s="3" t="inlineStr">
        <is>
          <t>NON SALES</t>
        </is>
      </c>
    </row>
    <row r="944">
      <c r="A944" s="5" t="inlineStr">
        <is>
          <t>OP06451</t>
        </is>
      </c>
      <c r="B944" s="6" t="inlineStr">
        <is>
          <t>Pebriana</t>
        </is>
      </c>
      <c r="C944" s="7" t="inlineStr">
        <is>
          <t>AV - Agen Verified</t>
        </is>
      </c>
      <c r="D944" s="1" t="inlineStr">
        <is>
          <t>OP00002</t>
        </is>
      </c>
      <c r="E944" s="8" t="n">
        <v>45034.33263888889</v>
      </c>
      <c r="F944" s="7" t="inlineStr">
        <is>
          <t>AGEN</t>
        </is>
      </c>
      <c r="G944" s="18" t="inlineStr">
        <is>
          <t>OP06451</t>
        </is>
      </c>
      <c r="H944" s="19">
        <f>UPPER(Table3[[#This Row],[Agen id]]&amp;"-"&amp;VLOOKUP(Table3[[#This Row],[Agen id]],A:B,2,0)&amp;"("&amp;Table3[[#This Row],[Short]]&amp;")")</f>
        <v/>
      </c>
      <c r="J944" s="7">
        <f>VLOOKUP(Table3[[#This Row],[Agen id]],Agen!A:C,3,0)</f>
        <v/>
      </c>
      <c r="K944" s="37">
        <f>TRIM(LEFT(Table3[[#This Row],[Group]],2))</f>
        <v/>
      </c>
      <c r="L944" s="3" t="inlineStr">
        <is>
          <t>NON SALES</t>
        </is>
      </c>
    </row>
    <row r="945">
      <c r="A945" s="5" t="inlineStr">
        <is>
          <t>OP06455</t>
        </is>
      </c>
      <c r="B945" s="6" t="inlineStr">
        <is>
          <t>Hariyani</t>
        </is>
      </c>
      <c r="C945" s="7" t="inlineStr">
        <is>
          <t>A - Agen</t>
        </is>
      </c>
      <c r="D945" s="1" t="inlineStr">
        <is>
          <t>OP00002</t>
        </is>
      </c>
      <c r="E945" s="8" t="n">
        <v>45034.47916666666</v>
      </c>
      <c r="F945" s="7" t="inlineStr">
        <is>
          <t>AGEN</t>
        </is>
      </c>
      <c r="G945" s="18" t="inlineStr">
        <is>
          <t>OP06455</t>
        </is>
      </c>
      <c r="H945" s="19">
        <f>UPPER(Table3[[#This Row],[Agen id]]&amp;"-"&amp;VLOOKUP(Table3[[#This Row],[Agen id]],A:B,2,0)&amp;"("&amp;Table3[[#This Row],[Short]]&amp;")")</f>
        <v/>
      </c>
      <c r="J945" s="7">
        <f>VLOOKUP(Table3[[#This Row],[Agen id]],Agen!A:C,3,0)</f>
        <v/>
      </c>
      <c r="K945" s="37">
        <f>TRIM(LEFT(Table3[[#This Row],[Group]],2))</f>
        <v/>
      </c>
      <c r="L945" s="3" t="inlineStr">
        <is>
          <t>NON SALES</t>
        </is>
      </c>
    </row>
    <row r="946">
      <c r="A946" s="5" t="inlineStr">
        <is>
          <t>OP06466</t>
        </is>
      </c>
      <c r="B946" s="6" t="inlineStr">
        <is>
          <t>Randi Wijaya</t>
        </is>
      </c>
      <c r="C946" s="7" t="inlineStr">
        <is>
          <t>A - Agen</t>
        </is>
      </c>
      <c r="D946" s="1" t="inlineStr">
        <is>
          <t>OP00002</t>
        </is>
      </c>
      <c r="E946" s="8" t="n">
        <v>45034.79583333333</v>
      </c>
      <c r="F946" s="7" t="inlineStr">
        <is>
          <t>AGEN</t>
        </is>
      </c>
      <c r="G946" s="18" t="inlineStr">
        <is>
          <t>OP06466</t>
        </is>
      </c>
      <c r="H946" s="19">
        <f>UPPER(Table3[[#This Row],[Agen id]]&amp;"-"&amp;VLOOKUP(Table3[[#This Row],[Agen id]],A:B,2,0)&amp;"("&amp;Table3[[#This Row],[Short]]&amp;")")</f>
        <v/>
      </c>
      <c r="J946" s="7">
        <f>VLOOKUP(Table3[[#This Row],[Agen id]],Agen!A:C,3,0)</f>
        <v/>
      </c>
      <c r="K946" s="37">
        <f>TRIM(LEFT(Table3[[#This Row],[Group]],2))</f>
        <v/>
      </c>
      <c r="L946" s="3" t="inlineStr">
        <is>
          <t>NON SALES</t>
        </is>
      </c>
    </row>
    <row r="947">
      <c r="A947" s="5" t="inlineStr">
        <is>
          <t>OP06467</t>
        </is>
      </c>
      <c r="B947" s="6" t="inlineStr">
        <is>
          <t>Anwar</t>
        </is>
      </c>
      <c r="C947" s="7" t="inlineStr">
        <is>
          <t>A - Agen</t>
        </is>
      </c>
      <c r="D947" s="1" t="inlineStr">
        <is>
          <t>OP00996</t>
        </is>
      </c>
      <c r="E947" s="8" t="n">
        <v>45034.81388888889</v>
      </c>
      <c r="F947" s="7" t="inlineStr">
        <is>
          <t>DOWNLINE</t>
        </is>
      </c>
      <c r="G947" s="18" t="inlineStr">
        <is>
          <t>OP00996</t>
        </is>
      </c>
      <c r="H947" s="19">
        <f>UPPER(Table3[[#This Row],[Agen id]]&amp;"-"&amp;VLOOKUP(Table3[[#This Row],[Agen id]],A:B,2,0)&amp;"("&amp;Table3[[#This Row],[Short]]&amp;")")</f>
        <v/>
      </c>
      <c r="J947" s="7">
        <f>VLOOKUP(Table3[[#This Row],[Agen id]],Agen!A:C,3,0)</f>
        <v/>
      </c>
      <c r="K947" s="37">
        <f>TRIM(LEFT(Table3[[#This Row],[Group]],2))</f>
        <v/>
      </c>
      <c r="L947" s="3" t="inlineStr">
        <is>
          <t>NON SALES</t>
        </is>
      </c>
    </row>
    <row r="948">
      <c r="A948" s="5" t="inlineStr">
        <is>
          <t>OP06478</t>
        </is>
      </c>
      <c r="B948" s="6" t="inlineStr">
        <is>
          <t>Neni Nuryani</t>
        </is>
      </c>
      <c r="C948" s="7" t="inlineStr">
        <is>
          <t>AV - Agen Verified</t>
        </is>
      </c>
      <c r="D948" s="1" t="inlineStr">
        <is>
          <t>OP00003</t>
        </is>
      </c>
      <c r="E948" s="8" t="n">
        <v>45035.35833333333</v>
      </c>
      <c r="F948" s="7" t="inlineStr">
        <is>
          <t>AGEN</t>
        </is>
      </c>
      <c r="G948" s="18" t="inlineStr">
        <is>
          <t>OP06478</t>
        </is>
      </c>
      <c r="H948" s="19">
        <f>UPPER(Table3[[#This Row],[Agen id]]&amp;"-"&amp;VLOOKUP(Table3[[#This Row],[Agen id]],A:B,2,0)&amp;"("&amp;Table3[[#This Row],[Short]]&amp;")")</f>
        <v/>
      </c>
      <c r="J948" s="7">
        <f>VLOOKUP(Table3[[#This Row],[Agen id]],Agen!A:C,3,0)</f>
        <v/>
      </c>
      <c r="K948" s="37">
        <f>TRIM(LEFT(Table3[[#This Row],[Group]],2))</f>
        <v/>
      </c>
      <c r="L948" s="3" t="inlineStr">
        <is>
          <t>NON SALES</t>
        </is>
      </c>
    </row>
    <row r="949">
      <c r="A949" s="5" t="inlineStr">
        <is>
          <t>OP06490</t>
        </is>
      </c>
      <c r="B949" s="6" t="inlineStr">
        <is>
          <t>BERKAH JAYA CELLULAR</t>
        </is>
      </c>
      <c r="C949" s="7" t="inlineStr">
        <is>
          <t>AV - Agen Verified</t>
        </is>
      </c>
      <c r="D949" s="1" t="inlineStr">
        <is>
          <t>OP00002</t>
        </is>
      </c>
      <c r="E949" s="8" t="n">
        <v>45036.07847222222</v>
      </c>
      <c r="F949" s="7" t="inlineStr">
        <is>
          <t>AGEN</t>
        </is>
      </c>
      <c r="G949" s="18" t="inlineStr">
        <is>
          <t>OP06490</t>
        </is>
      </c>
      <c r="H949" s="19">
        <f>UPPER(Table3[[#This Row],[Agen id]]&amp;"-"&amp;VLOOKUP(Table3[[#This Row],[Agen id]],A:B,2,0)&amp;"("&amp;Table3[[#This Row],[Short]]&amp;")")</f>
        <v/>
      </c>
      <c r="J949" s="7">
        <f>VLOOKUP(Table3[[#This Row],[Agen id]],Agen!A:C,3,0)</f>
        <v/>
      </c>
      <c r="K949" s="37">
        <f>TRIM(LEFT(Table3[[#This Row],[Group]],2))</f>
        <v/>
      </c>
      <c r="L949" s="3" t="inlineStr">
        <is>
          <t>NON SALES</t>
        </is>
      </c>
    </row>
    <row r="950">
      <c r="A950" s="5" t="inlineStr">
        <is>
          <t>OP06496</t>
        </is>
      </c>
      <c r="B950" s="6" t="inlineStr">
        <is>
          <t>Syakilacell</t>
        </is>
      </c>
      <c r="C950" s="7" t="inlineStr">
        <is>
          <t>A - Agen</t>
        </is>
      </c>
      <c r="D950" s="1" t="inlineStr">
        <is>
          <t>OP00996</t>
        </is>
      </c>
      <c r="E950" s="8" t="n">
        <v>45036.60416666666</v>
      </c>
      <c r="F950" s="7" t="inlineStr">
        <is>
          <t>DOWNLINE</t>
        </is>
      </c>
      <c r="G950" s="18" t="inlineStr">
        <is>
          <t>OP00996</t>
        </is>
      </c>
      <c r="H950" s="19">
        <f>UPPER(Table3[[#This Row],[Agen id]]&amp;"-"&amp;VLOOKUP(Table3[[#This Row],[Agen id]],A:B,2,0)&amp;"("&amp;Table3[[#This Row],[Short]]&amp;")")</f>
        <v/>
      </c>
      <c r="J950" s="7">
        <f>VLOOKUP(Table3[[#This Row],[Agen id]],Agen!A:C,3,0)</f>
        <v/>
      </c>
      <c r="K950" s="37">
        <f>TRIM(LEFT(Table3[[#This Row],[Group]],2))</f>
        <v/>
      </c>
      <c r="L950" s="3" t="inlineStr">
        <is>
          <t>NON SALES</t>
        </is>
      </c>
    </row>
    <row r="951">
      <c r="A951" s="5" t="inlineStr">
        <is>
          <t>OP06508</t>
        </is>
      </c>
      <c r="B951" s="6" t="inlineStr">
        <is>
          <t>Barunya nafi</t>
        </is>
      </c>
      <c r="C951" s="7" t="inlineStr">
        <is>
          <t>AV - Agen Verified</t>
        </is>
      </c>
      <c r="D951" s="1" t="inlineStr">
        <is>
          <t>OP00996</t>
        </is>
      </c>
      <c r="E951" s="8" t="n">
        <v>45037.45208333333</v>
      </c>
      <c r="F951" s="7" t="inlineStr">
        <is>
          <t>DOWNLINE</t>
        </is>
      </c>
      <c r="G951" s="18" t="inlineStr">
        <is>
          <t>OP00996</t>
        </is>
      </c>
      <c r="H951" s="19">
        <f>UPPER(Table3[[#This Row],[Agen id]]&amp;"-"&amp;VLOOKUP(Table3[[#This Row],[Agen id]],A:B,2,0)&amp;"("&amp;Table3[[#This Row],[Short]]&amp;")")</f>
        <v/>
      </c>
      <c r="J951" s="7">
        <f>VLOOKUP(Table3[[#This Row],[Agen id]],Agen!A:C,3,0)</f>
        <v/>
      </c>
      <c r="K951" s="37">
        <f>TRIM(LEFT(Table3[[#This Row],[Group]],2))</f>
        <v/>
      </c>
      <c r="L951" s="3" t="inlineStr">
        <is>
          <t>NON SALES</t>
        </is>
      </c>
    </row>
    <row r="952">
      <c r="A952" s="5" t="inlineStr">
        <is>
          <t>OP06512</t>
        </is>
      </c>
      <c r="B952" s="6" t="inlineStr">
        <is>
          <t>Tiga putri</t>
        </is>
      </c>
      <c r="C952" s="7" t="inlineStr">
        <is>
          <t>A - Agen</t>
        </is>
      </c>
      <c r="D952" s="1" t="inlineStr">
        <is>
          <t>OP00996</t>
        </is>
      </c>
      <c r="E952" s="8" t="n">
        <v>45037.56805555556</v>
      </c>
      <c r="F952" s="7" t="inlineStr">
        <is>
          <t>DOWNLINE</t>
        </is>
      </c>
      <c r="G952" s="18" t="inlineStr">
        <is>
          <t>OP00996</t>
        </is>
      </c>
      <c r="H952" s="19">
        <f>UPPER(Table3[[#This Row],[Agen id]]&amp;"-"&amp;VLOOKUP(Table3[[#This Row],[Agen id]],A:B,2,0)&amp;"("&amp;Table3[[#This Row],[Short]]&amp;")")</f>
        <v/>
      </c>
      <c r="J952" s="7">
        <f>VLOOKUP(Table3[[#This Row],[Agen id]],Agen!A:C,3,0)</f>
        <v/>
      </c>
      <c r="K952" s="37">
        <f>TRIM(LEFT(Table3[[#This Row],[Group]],2))</f>
        <v/>
      </c>
      <c r="L952" s="3" t="inlineStr">
        <is>
          <t>NON SALES</t>
        </is>
      </c>
    </row>
    <row r="953">
      <c r="A953" s="5" t="inlineStr">
        <is>
          <t>OP06517</t>
        </is>
      </c>
      <c r="B953" s="6" t="inlineStr">
        <is>
          <t>Ruuroka</t>
        </is>
      </c>
      <c r="C953" s="7" t="inlineStr">
        <is>
          <t>AV - Agen Verified</t>
        </is>
      </c>
      <c r="D953" s="1" t="inlineStr">
        <is>
          <t>OP00002</t>
        </is>
      </c>
      <c r="E953" s="8" t="n">
        <v>45038.01805555556</v>
      </c>
      <c r="F953" s="7" t="inlineStr">
        <is>
          <t>AGEN</t>
        </is>
      </c>
      <c r="G953" s="18" t="inlineStr">
        <is>
          <t>OP06517</t>
        </is>
      </c>
      <c r="H953" s="19">
        <f>UPPER(Table3[[#This Row],[Agen id]]&amp;"-"&amp;VLOOKUP(Table3[[#This Row],[Agen id]],A:B,2,0)&amp;"("&amp;Table3[[#This Row],[Short]]&amp;")")</f>
        <v/>
      </c>
      <c r="J953" s="7">
        <f>VLOOKUP(Table3[[#This Row],[Agen id]],Agen!A:C,3,0)</f>
        <v/>
      </c>
      <c r="K953" s="37">
        <f>TRIM(LEFT(Table3[[#This Row],[Group]],2))</f>
        <v/>
      </c>
      <c r="L953" s="3" t="inlineStr">
        <is>
          <t>NON SALES</t>
        </is>
      </c>
    </row>
    <row r="954">
      <c r="A954" s="5" t="inlineStr">
        <is>
          <t>OP06519</t>
        </is>
      </c>
      <c r="B954" s="6" t="inlineStr">
        <is>
          <t>nurmadi</t>
        </is>
      </c>
      <c r="C954" s="7" t="inlineStr">
        <is>
          <t>A - Agen</t>
        </is>
      </c>
      <c r="D954" s="1" t="inlineStr">
        <is>
          <t>OP00002</t>
        </is>
      </c>
      <c r="E954" s="8" t="n">
        <v>45038.03125</v>
      </c>
      <c r="F954" s="7" t="inlineStr">
        <is>
          <t>AGEN</t>
        </is>
      </c>
      <c r="G954" s="18" t="inlineStr">
        <is>
          <t>OP06519</t>
        </is>
      </c>
      <c r="H954" s="19">
        <f>UPPER(Table3[[#This Row],[Agen id]]&amp;"-"&amp;VLOOKUP(Table3[[#This Row],[Agen id]],A:B,2,0)&amp;"("&amp;Table3[[#This Row],[Short]]&amp;")")</f>
        <v/>
      </c>
      <c r="J954" s="7">
        <f>VLOOKUP(Table3[[#This Row],[Agen id]],Agen!A:C,3,0)</f>
        <v/>
      </c>
      <c r="K954" s="37">
        <f>TRIM(LEFT(Table3[[#This Row],[Group]],2))</f>
        <v/>
      </c>
      <c r="L954" s="3" t="inlineStr">
        <is>
          <t>NON SALES</t>
        </is>
      </c>
    </row>
    <row r="955">
      <c r="A955" s="5" t="inlineStr">
        <is>
          <t>OP06529</t>
        </is>
      </c>
      <c r="B955" s="6" t="inlineStr">
        <is>
          <t>Armand ponsel.</t>
        </is>
      </c>
      <c r="C955" s="7" t="inlineStr">
        <is>
          <t>AV - Agen Verified</t>
        </is>
      </c>
      <c r="D955" s="1" t="inlineStr">
        <is>
          <t>OP00002</t>
        </is>
      </c>
      <c r="E955" s="8" t="n">
        <v>45038.46666666667</v>
      </c>
      <c r="F955" s="7" t="inlineStr">
        <is>
          <t>AGEN</t>
        </is>
      </c>
      <c r="G955" s="18" t="inlineStr">
        <is>
          <t>OP06529</t>
        </is>
      </c>
      <c r="H955" s="19">
        <f>UPPER(Table3[[#This Row],[Agen id]]&amp;"-"&amp;VLOOKUP(Table3[[#This Row],[Agen id]],A:B,2,0)&amp;"("&amp;Table3[[#This Row],[Short]]&amp;")")</f>
        <v/>
      </c>
      <c r="J955" s="7">
        <f>VLOOKUP(Table3[[#This Row],[Agen id]],Agen!A:C,3,0)</f>
        <v/>
      </c>
      <c r="K955" s="37">
        <f>TRIM(LEFT(Table3[[#This Row],[Group]],2))</f>
        <v/>
      </c>
      <c r="L955" s="3" t="inlineStr">
        <is>
          <t>NON SALES</t>
        </is>
      </c>
    </row>
    <row r="956">
      <c r="A956" s="5" t="inlineStr">
        <is>
          <t>OP06544</t>
        </is>
      </c>
      <c r="B956" s="6" t="inlineStr">
        <is>
          <t>ILHAM CELL</t>
        </is>
      </c>
      <c r="C956" s="7" t="inlineStr">
        <is>
          <t>AV - Agen Verified</t>
        </is>
      </c>
      <c r="D956" s="1" t="inlineStr">
        <is>
          <t>OP01570</t>
        </is>
      </c>
      <c r="E956" s="8" t="n">
        <v>45039.2375</v>
      </c>
      <c r="F956" s="7" t="inlineStr">
        <is>
          <t>DOWNLINE</t>
        </is>
      </c>
      <c r="G956" s="18" t="inlineStr">
        <is>
          <t>OP01570</t>
        </is>
      </c>
      <c r="H956" s="19">
        <f>UPPER(Table3[[#This Row],[Agen id]]&amp;"-"&amp;VLOOKUP(Table3[[#This Row],[Agen id]],A:B,2,0)&amp;"("&amp;Table3[[#This Row],[Short]]&amp;")")</f>
        <v/>
      </c>
      <c r="J956" s="7">
        <f>VLOOKUP(Table3[[#This Row],[Agen id]],Agen!A:C,3,0)</f>
        <v/>
      </c>
      <c r="K956" s="37">
        <f>TRIM(LEFT(Table3[[#This Row],[Group]],2))</f>
        <v/>
      </c>
      <c r="L956" s="3" t="inlineStr">
        <is>
          <t>NON SALES</t>
        </is>
      </c>
    </row>
    <row r="957">
      <c r="A957" s="5" t="inlineStr">
        <is>
          <t>OP06554</t>
        </is>
      </c>
      <c r="B957" s="6" t="inlineStr">
        <is>
          <t>Sitti Rohmah</t>
        </is>
      </c>
      <c r="C957" s="7" t="inlineStr">
        <is>
          <t>A - Agen</t>
        </is>
      </c>
      <c r="D957" s="1" t="inlineStr">
        <is>
          <t>OP04445</t>
        </is>
      </c>
      <c r="E957" s="8" t="n">
        <v>45039.66319444445</v>
      </c>
      <c r="F957" s="7" t="inlineStr">
        <is>
          <t>DOWNLINE</t>
        </is>
      </c>
      <c r="G957" s="18" t="inlineStr">
        <is>
          <t>OP04445</t>
        </is>
      </c>
      <c r="H957" s="19">
        <f>UPPER(Table3[[#This Row],[Agen id]]&amp;"-"&amp;VLOOKUP(Table3[[#This Row],[Agen id]],A:B,2,0)&amp;"("&amp;Table3[[#This Row],[Short]]&amp;")")</f>
        <v/>
      </c>
      <c r="J957" s="7">
        <f>VLOOKUP(Table3[[#This Row],[Agen id]],Agen!A:C,3,0)</f>
        <v/>
      </c>
      <c r="K957" s="37">
        <f>TRIM(LEFT(Table3[[#This Row],[Group]],2))</f>
        <v/>
      </c>
      <c r="L957" s="3" t="inlineStr">
        <is>
          <t>NON SALES</t>
        </is>
      </c>
    </row>
    <row r="958">
      <c r="A958" s="5" t="inlineStr">
        <is>
          <t>OP06555</t>
        </is>
      </c>
      <c r="B958" s="6" t="inlineStr">
        <is>
          <t>amelia cell</t>
        </is>
      </c>
      <c r="C958" s="7" t="inlineStr">
        <is>
          <t>A - Agen</t>
        </is>
      </c>
      <c r="D958" s="1" t="inlineStr">
        <is>
          <t>OP04766</t>
        </is>
      </c>
      <c r="E958" s="8" t="n">
        <v>45039.68194444444</v>
      </c>
      <c r="F958" s="7" t="inlineStr">
        <is>
          <t>DOWNLINE</t>
        </is>
      </c>
      <c r="G958" s="18" t="inlineStr">
        <is>
          <t>OP04706</t>
        </is>
      </c>
      <c r="H958" s="19">
        <f>UPPER(Table3[[#This Row],[Agen id]]&amp;"-"&amp;VLOOKUP(Table3[[#This Row],[Agen id]],A:B,2,0)&amp;"("&amp;Table3[[#This Row],[Short]]&amp;")")</f>
        <v/>
      </c>
      <c r="J958" s="7">
        <f>VLOOKUP(Table3[[#This Row],[Agen id]],Agen!A:C,3,0)</f>
        <v/>
      </c>
      <c r="K958" s="37">
        <f>TRIM(LEFT(Table3[[#This Row],[Group]],2))</f>
        <v/>
      </c>
      <c r="L958" s="3" t="inlineStr">
        <is>
          <t>NON SALES</t>
        </is>
      </c>
    </row>
    <row r="959">
      <c r="A959" s="5" t="inlineStr">
        <is>
          <t>OP06557</t>
        </is>
      </c>
      <c r="B959" s="6" t="inlineStr">
        <is>
          <t>Muhammad riski</t>
        </is>
      </c>
      <c r="C959" s="7" t="inlineStr">
        <is>
          <t>A - Agen</t>
        </is>
      </c>
      <c r="D959" s="1" t="inlineStr">
        <is>
          <t>OP00002</t>
        </is>
      </c>
      <c r="E959" s="8" t="n">
        <v>45039.7375</v>
      </c>
      <c r="F959" s="7" t="inlineStr">
        <is>
          <t>AGEN</t>
        </is>
      </c>
      <c r="G959" s="18" t="inlineStr">
        <is>
          <t>OP06557</t>
        </is>
      </c>
      <c r="H959" s="19">
        <f>UPPER(Table3[[#This Row],[Agen id]]&amp;"-"&amp;VLOOKUP(Table3[[#This Row],[Agen id]],A:B,2,0)&amp;"("&amp;Table3[[#This Row],[Short]]&amp;")")</f>
        <v/>
      </c>
      <c r="J959" s="7">
        <f>VLOOKUP(Table3[[#This Row],[Agen id]],Agen!A:C,3,0)</f>
        <v/>
      </c>
      <c r="K959" s="37">
        <f>TRIM(LEFT(Table3[[#This Row],[Group]],2))</f>
        <v/>
      </c>
      <c r="L959" s="3" t="inlineStr">
        <is>
          <t>NON SALES</t>
        </is>
      </c>
    </row>
    <row r="960">
      <c r="A960" s="5" t="inlineStr">
        <is>
          <t>OP06564</t>
        </is>
      </c>
      <c r="B960" s="6" t="inlineStr">
        <is>
          <t>Asni</t>
        </is>
      </c>
      <c r="C960" s="7" t="inlineStr">
        <is>
          <t>AV - Agen Verified</t>
        </is>
      </c>
      <c r="D960" s="1" t="inlineStr">
        <is>
          <t>OP00049</t>
        </is>
      </c>
      <c r="E960" s="8" t="n">
        <v>45040.46458333333</v>
      </c>
      <c r="F960" s="7" t="inlineStr">
        <is>
          <t>DOWNLINE</t>
        </is>
      </c>
      <c r="G960" s="18" t="inlineStr">
        <is>
          <t>OP00049</t>
        </is>
      </c>
      <c r="H960" s="19">
        <f>UPPER(Table3[[#This Row],[Agen id]]&amp;"-"&amp;VLOOKUP(Table3[[#This Row],[Agen id]],A:B,2,0)&amp;"("&amp;Table3[[#This Row],[Short]]&amp;")")</f>
        <v/>
      </c>
      <c r="J960" s="7">
        <f>VLOOKUP(Table3[[#This Row],[Agen id]],Agen!A:C,3,0)</f>
        <v/>
      </c>
      <c r="K960" s="37">
        <f>TRIM(LEFT(Table3[[#This Row],[Group]],2))</f>
        <v/>
      </c>
      <c r="L960" s="3" t="inlineStr">
        <is>
          <t>NON SALES</t>
        </is>
      </c>
    </row>
    <row r="961">
      <c r="A961" s="5" t="inlineStr">
        <is>
          <t>OP06566</t>
        </is>
      </c>
      <c r="B961" s="6" t="inlineStr">
        <is>
          <t>Jana</t>
        </is>
      </c>
      <c r="C961" s="7" t="inlineStr">
        <is>
          <t>A - Agen</t>
        </is>
      </c>
      <c r="D961" s="1" t="inlineStr">
        <is>
          <t>OP00002</t>
        </is>
      </c>
      <c r="E961" s="8" t="n">
        <v>45040.48958333334</v>
      </c>
      <c r="F961" s="7" t="inlineStr">
        <is>
          <t>AGEN</t>
        </is>
      </c>
      <c r="G961" s="18" t="inlineStr">
        <is>
          <t>OP06566</t>
        </is>
      </c>
      <c r="H961" s="19">
        <f>UPPER(Table3[[#This Row],[Agen id]]&amp;"-"&amp;VLOOKUP(Table3[[#This Row],[Agen id]],A:B,2,0)&amp;"("&amp;Table3[[#This Row],[Short]]&amp;")")</f>
        <v/>
      </c>
      <c r="J961" s="7">
        <f>VLOOKUP(Table3[[#This Row],[Agen id]],Agen!A:C,3,0)</f>
        <v/>
      </c>
      <c r="K961" s="37">
        <f>TRIM(LEFT(Table3[[#This Row],[Group]],2))</f>
        <v/>
      </c>
      <c r="L961" s="3" t="inlineStr">
        <is>
          <t>NON SALES</t>
        </is>
      </c>
    </row>
    <row r="962">
      <c r="A962" s="5" t="inlineStr">
        <is>
          <t>OP06573</t>
        </is>
      </c>
      <c r="B962" s="6" t="inlineStr">
        <is>
          <t>Lence Seriosa</t>
        </is>
      </c>
      <c r="C962" s="7" t="inlineStr">
        <is>
          <t>A - Agen</t>
        </is>
      </c>
      <c r="D962" s="1" t="inlineStr">
        <is>
          <t>OP00003</t>
        </is>
      </c>
      <c r="E962" s="8" t="n">
        <v>45040.77222222222</v>
      </c>
      <c r="F962" s="7" t="inlineStr">
        <is>
          <t>AGEN</t>
        </is>
      </c>
      <c r="G962" s="18" t="inlineStr">
        <is>
          <t>OP06573</t>
        </is>
      </c>
      <c r="H962" s="19">
        <f>UPPER(Table3[[#This Row],[Agen id]]&amp;"-"&amp;VLOOKUP(Table3[[#This Row],[Agen id]],A:B,2,0)&amp;"("&amp;Table3[[#This Row],[Short]]&amp;")")</f>
        <v/>
      </c>
      <c r="J962" s="7">
        <f>VLOOKUP(Table3[[#This Row],[Agen id]],Agen!A:C,3,0)</f>
        <v/>
      </c>
      <c r="K962" s="37">
        <f>TRIM(LEFT(Table3[[#This Row],[Group]],2))</f>
        <v/>
      </c>
      <c r="L962" s="3" t="inlineStr">
        <is>
          <t>NON SALES</t>
        </is>
      </c>
    </row>
    <row r="963">
      <c r="A963" s="5" t="inlineStr">
        <is>
          <t>OP06583</t>
        </is>
      </c>
      <c r="B963" s="6" t="inlineStr">
        <is>
          <t>Zing</t>
        </is>
      </c>
      <c r="C963" s="7" t="inlineStr">
        <is>
          <t>AV - Agen Verified</t>
        </is>
      </c>
      <c r="D963" s="1" t="inlineStr">
        <is>
          <t>OP00002</t>
        </is>
      </c>
      <c r="E963" s="8" t="n">
        <v>45041.4125</v>
      </c>
      <c r="F963" s="7" t="inlineStr">
        <is>
          <t>AGEN</t>
        </is>
      </c>
      <c r="G963" s="18" t="inlineStr">
        <is>
          <t>OP06583</t>
        </is>
      </c>
      <c r="H963" s="19">
        <f>UPPER(Table3[[#This Row],[Agen id]]&amp;"-"&amp;VLOOKUP(Table3[[#This Row],[Agen id]],A:B,2,0)&amp;"("&amp;Table3[[#This Row],[Short]]&amp;")")</f>
        <v/>
      </c>
      <c r="J963" s="7">
        <f>VLOOKUP(Table3[[#This Row],[Agen id]],Agen!A:C,3,0)</f>
        <v/>
      </c>
      <c r="K963" s="37">
        <f>TRIM(LEFT(Table3[[#This Row],[Group]],2))</f>
        <v/>
      </c>
      <c r="L963" s="3" t="inlineStr">
        <is>
          <t>NON SALES</t>
        </is>
      </c>
    </row>
    <row r="964">
      <c r="A964" s="5" t="inlineStr">
        <is>
          <t>OP06594</t>
        </is>
      </c>
      <c r="B964" s="6" t="inlineStr">
        <is>
          <t>Raihan</t>
        </is>
      </c>
      <c r="C964" s="7" t="inlineStr">
        <is>
          <t>A - Agen</t>
        </is>
      </c>
      <c r="D964" s="1" t="inlineStr">
        <is>
          <t>OP00003</t>
        </is>
      </c>
      <c r="E964" s="8" t="n">
        <v>45042.10277777778</v>
      </c>
      <c r="F964" s="7" t="inlineStr">
        <is>
          <t>AGEN</t>
        </is>
      </c>
      <c r="G964" s="18" t="inlineStr">
        <is>
          <t>OP06594</t>
        </is>
      </c>
      <c r="H964" s="19">
        <f>UPPER(Table3[[#This Row],[Agen id]]&amp;"-"&amp;VLOOKUP(Table3[[#This Row],[Agen id]],A:B,2,0)&amp;"("&amp;Table3[[#This Row],[Short]]&amp;")")</f>
        <v/>
      </c>
      <c r="J964" s="7">
        <f>VLOOKUP(Table3[[#This Row],[Agen id]],Agen!A:C,3,0)</f>
        <v/>
      </c>
      <c r="K964" s="37">
        <f>TRIM(LEFT(Table3[[#This Row],[Group]],2))</f>
        <v/>
      </c>
      <c r="L964" s="3" t="inlineStr">
        <is>
          <t>NON SALES</t>
        </is>
      </c>
    </row>
    <row r="965">
      <c r="A965" s="5" t="inlineStr">
        <is>
          <t>OP06600</t>
        </is>
      </c>
      <c r="B965" s="6" t="inlineStr">
        <is>
          <t>Gabdi</t>
        </is>
      </c>
      <c r="C965" s="7" t="inlineStr">
        <is>
          <t>AV - Agen Verified</t>
        </is>
      </c>
      <c r="D965" s="1" t="inlineStr">
        <is>
          <t>OP00014</t>
        </is>
      </c>
      <c r="E965" s="8" t="n">
        <v>45042.28611111111</v>
      </c>
      <c r="F965" s="7" t="inlineStr">
        <is>
          <t>DOWNLINE</t>
        </is>
      </c>
      <c r="G965" s="18" t="inlineStr">
        <is>
          <t>OP00014</t>
        </is>
      </c>
      <c r="H965" s="19">
        <f>UPPER(Table3[[#This Row],[Agen id]]&amp;"-"&amp;VLOOKUP(Table3[[#This Row],[Agen id]],A:B,2,0)&amp;"("&amp;Table3[[#This Row],[Short]]&amp;")")</f>
        <v/>
      </c>
      <c r="J965" s="7">
        <f>VLOOKUP(Table3[[#This Row],[Agen id]],Agen!A:C,3,0)</f>
        <v/>
      </c>
      <c r="K965" s="37">
        <f>TRIM(LEFT(Table3[[#This Row],[Group]],2))</f>
        <v/>
      </c>
      <c r="L965" s="3" t="inlineStr">
        <is>
          <t>NON SALES</t>
        </is>
      </c>
    </row>
    <row r="966">
      <c r="A966" s="5" t="inlineStr">
        <is>
          <t>OP06628</t>
        </is>
      </c>
      <c r="B966" s="6" t="inlineStr">
        <is>
          <t>IntanCell</t>
        </is>
      </c>
      <c r="C966" s="7" t="inlineStr">
        <is>
          <t>A - Agen</t>
        </is>
      </c>
      <c r="D966" s="1" t="inlineStr">
        <is>
          <t>OP00002</t>
        </is>
      </c>
      <c r="E966" s="8" t="n">
        <v>45043.42152777778</v>
      </c>
      <c r="F966" s="7" t="inlineStr">
        <is>
          <t>AGEN</t>
        </is>
      </c>
      <c r="G966" s="18" t="inlineStr">
        <is>
          <t>OP06628</t>
        </is>
      </c>
      <c r="H966" s="19">
        <f>UPPER(Table3[[#This Row],[Agen id]]&amp;"-"&amp;VLOOKUP(Table3[[#This Row],[Agen id]],A:B,2,0)&amp;"("&amp;Table3[[#This Row],[Short]]&amp;")")</f>
        <v/>
      </c>
      <c r="J966" s="7">
        <f>VLOOKUP(Table3[[#This Row],[Agen id]],Agen!A:C,3,0)</f>
        <v/>
      </c>
      <c r="K966" s="37">
        <f>TRIM(LEFT(Table3[[#This Row],[Group]],2))</f>
        <v/>
      </c>
      <c r="L966" s="3" t="inlineStr">
        <is>
          <t>NON SALES</t>
        </is>
      </c>
    </row>
    <row r="967">
      <c r="A967" s="5" t="inlineStr">
        <is>
          <t>OP06631</t>
        </is>
      </c>
      <c r="B967" s="6" t="inlineStr">
        <is>
          <t>Hafid Cell</t>
        </is>
      </c>
      <c r="C967" s="7" t="inlineStr">
        <is>
          <t>A - Agen</t>
        </is>
      </c>
      <c r="D967" s="1" t="inlineStr">
        <is>
          <t>OP00003</t>
        </is>
      </c>
      <c r="E967" s="8" t="n">
        <v>45043.47013888889</v>
      </c>
      <c r="F967" s="7" t="inlineStr">
        <is>
          <t>AGEN</t>
        </is>
      </c>
      <c r="G967" s="18" t="inlineStr">
        <is>
          <t>OP06631</t>
        </is>
      </c>
      <c r="H967" s="19">
        <f>UPPER(Table3[[#This Row],[Agen id]]&amp;"-"&amp;VLOOKUP(Table3[[#This Row],[Agen id]],A:B,2,0)&amp;"("&amp;Table3[[#This Row],[Short]]&amp;")")</f>
        <v/>
      </c>
      <c r="J967" s="7">
        <f>VLOOKUP(Table3[[#This Row],[Agen id]],Agen!A:C,3,0)</f>
        <v/>
      </c>
      <c r="K967" s="37">
        <f>TRIM(LEFT(Table3[[#This Row],[Group]],2))</f>
        <v/>
      </c>
      <c r="L967" s="3" t="inlineStr">
        <is>
          <t>NON SALES</t>
        </is>
      </c>
    </row>
    <row r="968">
      <c r="A968" s="5" t="inlineStr">
        <is>
          <t>OP06641</t>
        </is>
      </c>
      <c r="B968" s="6" t="inlineStr">
        <is>
          <t>MUTIARA CELL</t>
        </is>
      </c>
      <c r="C968" s="7" t="inlineStr">
        <is>
          <t>AV - Agen Verified</t>
        </is>
      </c>
      <c r="D968" s="1" t="inlineStr">
        <is>
          <t>OP00002</t>
        </is>
      </c>
      <c r="E968" s="8" t="n">
        <v>45043.54930555556</v>
      </c>
      <c r="F968" s="7" t="inlineStr">
        <is>
          <t>AGEN</t>
        </is>
      </c>
      <c r="G968" s="18" t="inlineStr">
        <is>
          <t>OP06641</t>
        </is>
      </c>
      <c r="H968" s="19">
        <f>UPPER(Table3[[#This Row],[Agen id]]&amp;"-"&amp;VLOOKUP(Table3[[#This Row],[Agen id]],A:B,2,0)&amp;"("&amp;Table3[[#This Row],[Short]]&amp;")")</f>
        <v/>
      </c>
      <c r="J968" s="7">
        <f>VLOOKUP(Table3[[#This Row],[Agen id]],Agen!A:C,3,0)</f>
        <v/>
      </c>
      <c r="K968" s="37">
        <f>TRIM(LEFT(Table3[[#This Row],[Group]],2))</f>
        <v/>
      </c>
      <c r="L968" s="3" t="inlineStr">
        <is>
          <t>NON SALES</t>
        </is>
      </c>
    </row>
    <row r="969">
      <c r="A969" s="5" t="inlineStr">
        <is>
          <t>OP06664</t>
        </is>
      </c>
      <c r="B969" s="6" t="inlineStr">
        <is>
          <t>Fina</t>
        </is>
      </c>
      <c r="C969" s="7" t="inlineStr">
        <is>
          <t>AV - Agen Verified</t>
        </is>
      </c>
      <c r="D969" s="1" t="inlineStr">
        <is>
          <t>OP00002</t>
        </is>
      </c>
      <c r="E969" s="8" t="n">
        <v>45044.54722222222</v>
      </c>
      <c r="F969" s="7" t="inlineStr">
        <is>
          <t>AGEN</t>
        </is>
      </c>
      <c r="G969" s="18" t="inlineStr">
        <is>
          <t>OP06664</t>
        </is>
      </c>
      <c r="H969" s="19">
        <f>UPPER(Table3[[#This Row],[Agen id]]&amp;"-"&amp;VLOOKUP(Table3[[#This Row],[Agen id]],A:B,2,0)&amp;"("&amp;Table3[[#This Row],[Short]]&amp;")")</f>
        <v/>
      </c>
      <c r="J969" s="7">
        <f>VLOOKUP(Table3[[#This Row],[Agen id]],Agen!A:C,3,0)</f>
        <v/>
      </c>
      <c r="K969" s="37">
        <f>TRIM(LEFT(Table3[[#This Row],[Group]],2))</f>
        <v/>
      </c>
      <c r="L969" s="3" t="inlineStr">
        <is>
          <t>NON SALES</t>
        </is>
      </c>
    </row>
    <row r="970">
      <c r="A970" s="5" t="inlineStr">
        <is>
          <t>OP06667</t>
        </is>
      </c>
      <c r="B970" s="6" t="inlineStr">
        <is>
          <t>Fahmi</t>
        </is>
      </c>
      <c r="C970" s="7" t="inlineStr">
        <is>
          <t>A - Agen</t>
        </is>
      </c>
      <c r="D970" s="1" t="inlineStr">
        <is>
          <t>OP00002</t>
        </is>
      </c>
      <c r="E970" s="8" t="n">
        <v>45044.5875</v>
      </c>
      <c r="F970" s="7" t="inlineStr">
        <is>
          <t>AGEN</t>
        </is>
      </c>
      <c r="G970" s="18" t="inlineStr">
        <is>
          <t>OP06667</t>
        </is>
      </c>
      <c r="H970" s="19">
        <f>UPPER(Table3[[#This Row],[Agen id]]&amp;"-"&amp;VLOOKUP(Table3[[#This Row],[Agen id]],A:B,2,0)&amp;"("&amp;Table3[[#This Row],[Short]]&amp;")")</f>
        <v/>
      </c>
      <c r="J970" s="7">
        <f>VLOOKUP(Table3[[#This Row],[Agen id]],Agen!A:C,3,0)</f>
        <v/>
      </c>
      <c r="K970" s="37">
        <f>TRIM(LEFT(Table3[[#This Row],[Group]],2))</f>
        <v/>
      </c>
      <c r="L970" s="3" t="inlineStr">
        <is>
          <t>NON SALES</t>
        </is>
      </c>
    </row>
    <row r="971">
      <c r="A971" s="5" t="inlineStr">
        <is>
          <t>OP06669</t>
        </is>
      </c>
      <c r="B971" s="6" t="inlineStr">
        <is>
          <t>MALIKA CELL</t>
        </is>
      </c>
      <c r="C971" s="7" t="inlineStr">
        <is>
          <t>AV - Agen Verified</t>
        </is>
      </c>
      <c r="D971" s="1" t="inlineStr">
        <is>
          <t>OP00002</t>
        </is>
      </c>
      <c r="E971" s="8" t="n">
        <v>45044.66666666666</v>
      </c>
      <c r="F971" s="7" t="inlineStr">
        <is>
          <t>AGEN</t>
        </is>
      </c>
      <c r="G971" s="18" t="inlineStr">
        <is>
          <t>OP06669</t>
        </is>
      </c>
      <c r="H971" s="19">
        <f>UPPER(Table3[[#This Row],[Agen id]]&amp;"-"&amp;VLOOKUP(Table3[[#This Row],[Agen id]],A:B,2,0)&amp;"("&amp;Table3[[#This Row],[Short]]&amp;")")</f>
        <v/>
      </c>
      <c r="J971" s="7">
        <f>VLOOKUP(Table3[[#This Row],[Agen id]],Agen!A:C,3,0)</f>
        <v/>
      </c>
      <c r="K971" s="37">
        <f>TRIM(LEFT(Table3[[#This Row],[Group]],2))</f>
        <v/>
      </c>
      <c r="L971" s="3" t="inlineStr">
        <is>
          <t>NON SALES</t>
        </is>
      </c>
    </row>
    <row r="972">
      <c r="A972" s="5" t="inlineStr">
        <is>
          <t>OP06671</t>
        </is>
      </c>
      <c r="B972" s="6" t="inlineStr">
        <is>
          <t>Doraemaon</t>
        </is>
      </c>
      <c r="C972" s="7" t="inlineStr">
        <is>
          <t>A - Agen</t>
        </is>
      </c>
      <c r="D972" s="1" t="inlineStr">
        <is>
          <t>OP00091</t>
        </is>
      </c>
      <c r="E972" s="8" t="n">
        <v>45044.70902777778</v>
      </c>
      <c r="F972" s="7" t="inlineStr">
        <is>
          <t>DOWNLINE</t>
        </is>
      </c>
      <c r="G972" s="18" t="inlineStr">
        <is>
          <t>OP00091</t>
        </is>
      </c>
      <c r="H972" s="19">
        <f>UPPER(Table3[[#This Row],[Agen id]]&amp;"-"&amp;VLOOKUP(Table3[[#This Row],[Agen id]],A:B,2,0)&amp;"("&amp;Table3[[#This Row],[Short]]&amp;")")</f>
        <v/>
      </c>
      <c r="J972" s="7">
        <f>VLOOKUP(Table3[[#This Row],[Agen id]],Agen!A:C,3,0)</f>
        <v/>
      </c>
      <c r="K972" s="37">
        <f>TRIM(LEFT(Table3[[#This Row],[Group]],2))</f>
        <v/>
      </c>
      <c r="L972" s="3" t="inlineStr">
        <is>
          <t>NON SALES</t>
        </is>
      </c>
    </row>
    <row r="973">
      <c r="A973" s="5" t="inlineStr">
        <is>
          <t>OP06679</t>
        </is>
      </c>
      <c r="B973" s="6" t="inlineStr">
        <is>
          <t>Novinda5</t>
        </is>
      </c>
      <c r="C973" s="7" t="inlineStr">
        <is>
          <t>A - Agen</t>
        </is>
      </c>
      <c r="D973" s="1" t="inlineStr">
        <is>
          <t>OP00996</t>
        </is>
      </c>
      <c r="E973" s="8" t="n">
        <v>45044.81388888889</v>
      </c>
      <c r="F973" s="7" t="inlineStr">
        <is>
          <t>DOWNLINE</t>
        </is>
      </c>
      <c r="G973" s="18" t="inlineStr">
        <is>
          <t>OP00996</t>
        </is>
      </c>
      <c r="H973" s="19">
        <f>UPPER(Table3[[#This Row],[Agen id]]&amp;"-"&amp;VLOOKUP(Table3[[#This Row],[Agen id]],A:B,2,0)&amp;"("&amp;Table3[[#This Row],[Short]]&amp;")")</f>
        <v/>
      </c>
      <c r="J973" s="7">
        <f>VLOOKUP(Table3[[#This Row],[Agen id]],Agen!A:C,3,0)</f>
        <v/>
      </c>
      <c r="K973" s="37">
        <f>TRIM(LEFT(Table3[[#This Row],[Group]],2))</f>
        <v/>
      </c>
      <c r="L973" s="3" t="inlineStr">
        <is>
          <t>NON SALES</t>
        </is>
      </c>
    </row>
    <row r="974">
      <c r="A974" s="5" t="inlineStr">
        <is>
          <t>OP06692</t>
        </is>
      </c>
      <c r="B974" s="6" t="inlineStr">
        <is>
          <t>Baehaqi</t>
        </is>
      </c>
      <c r="C974" s="7" t="inlineStr">
        <is>
          <t>A - Agen</t>
        </is>
      </c>
      <c r="D974" s="1" t="inlineStr">
        <is>
          <t>OP00002</t>
        </is>
      </c>
      <c r="E974" s="8" t="n">
        <v>45045.36527777778</v>
      </c>
      <c r="F974" s="7" t="inlineStr">
        <is>
          <t>AGEN</t>
        </is>
      </c>
      <c r="G974" s="18" t="inlineStr">
        <is>
          <t>OP06692</t>
        </is>
      </c>
      <c r="H974" s="19">
        <f>UPPER(Table3[[#This Row],[Agen id]]&amp;"-"&amp;VLOOKUP(Table3[[#This Row],[Agen id]],A:B,2,0)&amp;"("&amp;Table3[[#This Row],[Short]]&amp;")")</f>
        <v/>
      </c>
      <c r="J974" s="7">
        <f>VLOOKUP(Table3[[#This Row],[Agen id]],Agen!A:C,3,0)</f>
        <v/>
      </c>
      <c r="K974" s="37">
        <f>TRIM(LEFT(Table3[[#This Row],[Group]],2))</f>
        <v/>
      </c>
      <c r="L974" s="3" t="inlineStr">
        <is>
          <t>NON SALES</t>
        </is>
      </c>
    </row>
    <row r="975">
      <c r="A975" s="5" t="inlineStr">
        <is>
          <t>OP06697</t>
        </is>
      </c>
      <c r="B975" s="6" t="inlineStr">
        <is>
          <t>agus weldi</t>
        </is>
      </c>
      <c r="C975" s="7" t="inlineStr">
        <is>
          <t>A - Agen</t>
        </is>
      </c>
      <c r="D975" s="1" t="inlineStr">
        <is>
          <t>OP00054</t>
        </is>
      </c>
      <c r="E975" s="8" t="n">
        <v>45045.55</v>
      </c>
      <c r="F975" s="7" t="inlineStr">
        <is>
          <t>DOWNLINE</t>
        </is>
      </c>
      <c r="G975" s="18" t="inlineStr">
        <is>
          <t>OP00049</t>
        </is>
      </c>
      <c r="H975" s="19">
        <f>UPPER(Table3[[#This Row],[Agen id]]&amp;"-"&amp;VLOOKUP(Table3[[#This Row],[Agen id]],A:B,2,0)&amp;"("&amp;Table3[[#This Row],[Short]]&amp;")")</f>
        <v/>
      </c>
      <c r="J975" s="7">
        <f>VLOOKUP(Table3[[#This Row],[Agen id]],Agen!A:C,3,0)</f>
        <v/>
      </c>
      <c r="K975" s="37">
        <f>TRIM(LEFT(Table3[[#This Row],[Group]],2))</f>
        <v/>
      </c>
      <c r="L975" s="3" t="inlineStr">
        <is>
          <t>NON SALES</t>
        </is>
      </c>
    </row>
    <row r="976">
      <c r="A976" s="5" t="inlineStr">
        <is>
          <t>OP06698</t>
        </is>
      </c>
      <c r="B976" s="6" t="inlineStr">
        <is>
          <t>yuliana</t>
        </is>
      </c>
      <c r="C976" s="7" t="inlineStr">
        <is>
          <t>A - Agen</t>
        </is>
      </c>
      <c r="D976" s="1" t="inlineStr">
        <is>
          <t>OP06697</t>
        </is>
      </c>
      <c r="E976" s="8" t="n">
        <v>45045.55972222222</v>
      </c>
      <c r="F976" s="7" t="inlineStr">
        <is>
          <t>DOWNLINE</t>
        </is>
      </c>
      <c r="G976" s="18" t="inlineStr">
        <is>
          <t>OP00049</t>
        </is>
      </c>
      <c r="H976" s="19">
        <f>UPPER(Table3[[#This Row],[Agen id]]&amp;"-"&amp;VLOOKUP(Table3[[#This Row],[Agen id]],A:B,2,0)&amp;"("&amp;Table3[[#This Row],[Short]]&amp;")")</f>
        <v/>
      </c>
      <c r="J976" s="7">
        <f>VLOOKUP(Table3[[#This Row],[Agen id]],Agen!A:C,3,0)</f>
        <v/>
      </c>
      <c r="K976" s="37">
        <f>TRIM(LEFT(Table3[[#This Row],[Group]],2))</f>
        <v/>
      </c>
      <c r="L976" s="3" t="inlineStr">
        <is>
          <t>NON SALES</t>
        </is>
      </c>
    </row>
    <row r="977">
      <c r="A977" s="5" t="inlineStr">
        <is>
          <t>OP06734</t>
        </is>
      </c>
      <c r="B977" s="6" t="inlineStr">
        <is>
          <t>Rici</t>
        </is>
      </c>
      <c r="C977" s="7" t="inlineStr">
        <is>
          <t>A - Agen</t>
        </is>
      </c>
      <c r="D977" s="1" t="inlineStr">
        <is>
          <t>OP00996</t>
        </is>
      </c>
      <c r="E977" s="8" t="n">
        <v>45046.55416666667</v>
      </c>
      <c r="F977" s="7" t="inlineStr">
        <is>
          <t>DOWNLINE</t>
        </is>
      </c>
      <c r="G977" s="18" t="inlineStr">
        <is>
          <t>OP00996</t>
        </is>
      </c>
      <c r="H977" s="19">
        <f>UPPER(Table3[[#This Row],[Agen id]]&amp;"-"&amp;VLOOKUP(Table3[[#This Row],[Agen id]],A:B,2,0)&amp;"("&amp;Table3[[#This Row],[Short]]&amp;")")</f>
        <v/>
      </c>
      <c r="J977" s="7">
        <f>VLOOKUP(Table3[[#This Row],[Agen id]],Agen!A:C,3,0)</f>
        <v/>
      </c>
      <c r="K977" s="37">
        <f>TRIM(LEFT(Table3[[#This Row],[Group]],2))</f>
        <v/>
      </c>
      <c r="L977" s="3" t="inlineStr">
        <is>
          <t>NON SALES</t>
        </is>
      </c>
    </row>
    <row r="978">
      <c r="A978" s="5" t="inlineStr">
        <is>
          <t>OP06748</t>
        </is>
      </c>
      <c r="B978" s="6" t="inlineStr">
        <is>
          <t>Nurhalimah</t>
        </is>
      </c>
      <c r="C978" s="7" t="inlineStr">
        <is>
          <t>A - Agen</t>
        </is>
      </c>
      <c r="D978" s="1" t="inlineStr">
        <is>
          <t>OP00002</t>
        </is>
      </c>
      <c r="E978" s="8" t="n">
        <v>45047.38680555556</v>
      </c>
      <c r="F978" s="7" t="inlineStr">
        <is>
          <t>AGEN</t>
        </is>
      </c>
      <c r="G978" s="18" t="inlineStr">
        <is>
          <t>OP06748</t>
        </is>
      </c>
      <c r="H978" s="19">
        <f>UPPER(Table3[[#This Row],[Agen id]]&amp;"-"&amp;VLOOKUP(Table3[[#This Row],[Agen id]],A:B,2,0)&amp;"("&amp;Table3[[#This Row],[Short]]&amp;")")</f>
        <v/>
      </c>
      <c r="J978" s="7">
        <f>VLOOKUP(Table3[[#This Row],[Agen id]],Agen!A:C,3,0)</f>
        <v/>
      </c>
      <c r="K978" s="37">
        <f>TRIM(LEFT(Table3[[#This Row],[Group]],2))</f>
        <v/>
      </c>
      <c r="L978" s="3" t="inlineStr">
        <is>
          <t>NON SALES</t>
        </is>
      </c>
    </row>
    <row r="979">
      <c r="A979" s="5" t="inlineStr">
        <is>
          <t>OP06749</t>
        </is>
      </c>
      <c r="B979" s="6" t="inlineStr">
        <is>
          <t>Toko pulsa</t>
        </is>
      </c>
      <c r="C979" s="7" t="inlineStr">
        <is>
          <t>A - Agen</t>
        </is>
      </c>
      <c r="D979" s="1" t="inlineStr">
        <is>
          <t>OP00002</t>
        </is>
      </c>
      <c r="E979" s="8" t="n">
        <v>45047.44236111111</v>
      </c>
      <c r="F979" s="7" t="inlineStr">
        <is>
          <t>AGEN</t>
        </is>
      </c>
      <c r="G979" s="18" t="inlineStr">
        <is>
          <t>OP06749</t>
        </is>
      </c>
      <c r="H979" s="19">
        <f>UPPER(Table3[[#This Row],[Agen id]]&amp;"-"&amp;VLOOKUP(Table3[[#This Row],[Agen id]],A:B,2,0)&amp;"("&amp;Table3[[#This Row],[Short]]&amp;")")</f>
        <v/>
      </c>
      <c r="J979" s="7">
        <f>VLOOKUP(Table3[[#This Row],[Agen id]],Agen!A:C,3,0)</f>
        <v/>
      </c>
      <c r="K979" s="37">
        <f>TRIM(LEFT(Table3[[#This Row],[Group]],2))</f>
        <v/>
      </c>
      <c r="L979" s="3" t="inlineStr">
        <is>
          <t>NON SALES</t>
        </is>
      </c>
    </row>
    <row r="980">
      <c r="A980" s="5" t="inlineStr">
        <is>
          <t>OP06753</t>
        </is>
      </c>
      <c r="B980" s="6" t="inlineStr">
        <is>
          <t>Arbiansyah Widatamara</t>
        </is>
      </c>
      <c r="C980" s="7" t="inlineStr">
        <is>
          <t>A - Agen</t>
        </is>
      </c>
      <c r="D980" s="1" t="inlineStr">
        <is>
          <t>OP00002</t>
        </is>
      </c>
      <c r="E980" s="8" t="n">
        <v>45047.65277777778</v>
      </c>
      <c r="F980" s="7" t="inlineStr">
        <is>
          <t>AGEN</t>
        </is>
      </c>
      <c r="G980" s="18" t="inlineStr">
        <is>
          <t>OP06753</t>
        </is>
      </c>
      <c r="H980" s="19">
        <f>UPPER(Table3[[#This Row],[Agen id]]&amp;"-"&amp;VLOOKUP(Table3[[#This Row],[Agen id]],A:B,2,0)&amp;"("&amp;Table3[[#This Row],[Short]]&amp;")")</f>
        <v/>
      </c>
      <c r="J980" s="7">
        <f>VLOOKUP(Table3[[#This Row],[Agen id]],Agen!A:C,3,0)</f>
        <v/>
      </c>
      <c r="K980" s="37">
        <f>TRIM(LEFT(Table3[[#This Row],[Group]],2))</f>
        <v/>
      </c>
      <c r="L980" s="3" t="inlineStr">
        <is>
          <t>NON SALES</t>
        </is>
      </c>
    </row>
    <row r="981">
      <c r="A981" s="5" t="inlineStr">
        <is>
          <t>OP06758</t>
        </is>
      </c>
      <c r="B981" s="6" t="inlineStr">
        <is>
          <t>Hasda</t>
        </is>
      </c>
      <c r="C981" s="7" t="inlineStr">
        <is>
          <t>A - Agen</t>
        </is>
      </c>
      <c r="D981" s="1" t="inlineStr">
        <is>
          <t>OP06186</t>
        </is>
      </c>
      <c r="E981" s="8" t="n">
        <v>45047.82847222222</v>
      </c>
      <c r="F981" s="7" t="inlineStr">
        <is>
          <t>DOWNLINE</t>
        </is>
      </c>
      <c r="G981" s="18" t="inlineStr">
        <is>
          <t>OP02233</t>
        </is>
      </c>
      <c r="H981" s="19">
        <f>UPPER(Table3[[#This Row],[Agen id]]&amp;"-"&amp;VLOOKUP(Table3[[#This Row],[Agen id]],A:B,2,0)&amp;"("&amp;Table3[[#This Row],[Short]]&amp;")")</f>
        <v/>
      </c>
      <c r="J981" s="7">
        <f>VLOOKUP(Table3[[#This Row],[Agen id]],Agen!A:C,3,0)</f>
        <v/>
      </c>
      <c r="K981" s="37">
        <f>TRIM(LEFT(Table3[[#This Row],[Group]],2))</f>
        <v/>
      </c>
      <c r="L981" s="3" t="inlineStr">
        <is>
          <t>NON SALES</t>
        </is>
      </c>
    </row>
    <row r="982">
      <c r="A982" s="5" t="inlineStr">
        <is>
          <t>OP06759</t>
        </is>
      </c>
      <c r="B982" s="6" t="inlineStr">
        <is>
          <t>Enza Mardy</t>
        </is>
      </c>
      <c r="C982" s="7" t="inlineStr">
        <is>
          <t>A - Agen</t>
        </is>
      </c>
      <c r="D982" s="1" t="inlineStr">
        <is>
          <t>OP00002</t>
        </is>
      </c>
      <c r="E982" s="8" t="n">
        <v>45047.83819444444</v>
      </c>
      <c r="F982" s="7" t="inlineStr">
        <is>
          <t>AGEN</t>
        </is>
      </c>
      <c r="G982" s="18" t="inlineStr">
        <is>
          <t>OP06759</t>
        </is>
      </c>
      <c r="H982" s="19">
        <f>UPPER(Table3[[#This Row],[Agen id]]&amp;"-"&amp;VLOOKUP(Table3[[#This Row],[Agen id]],A:B,2,0)&amp;"("&amp;Table3[[#This Row],[Short]]&amp;")")</f>
        <v/>
      </c>
      <c r="J982" s="7">
        <f>VLOOKUP(Table3[[#This Row],[Agen id]],Agen!A:C,3,0)</f>
        <v/>
      </c>
      <c r="K982" s="37">
        <f>TRIM(LEFT(Table3[[#This Row],[Group]],2))</f>
        <v/>
      </c>
      <c r="L982" s="3" t="inlineStr">
        <is>
          <t>NON SALES</t>
        </is>
      </c>
    </row>
    <row r="983">
      <c r="A983" s="5" t="inlineStr">
        <is>
          <t>OP06760</t>
        </is>
      </c>
      <c r="B983" s="6" t="inlineStr">
        <is>
          <t>ILHAM CELL</t>
        </is>
      </c>
      <c r="C983" s="7" t="inlineStr">
        <is>
          <t>AV - Agen Verified</t>
        </is>
      </c>
      <c r="D983" s="1" t="inlineStr">
        <is>
          <t>OP06544</t>
        </is>
      </c>
      <c r="E983" s="8" t="n">
        <v>45048.01597222222</v>
      </c>
      <c r="F983" s="7" t="inlineStr">
        <is>
          <t>DOWNLINE</t>
        </is>
      </c>
      <c r="G983" s="18" t="inlineStr">
        <is>
          <t>OP01570</t>
        </is>
      </c>
      <c r="H983" s="19">
        <f>UPPER(Table3[[#This Row],[Agen id]]&amp;"-"&amp;VLOOKUP(Table3[[#This Row],[Agen id]],A:B,2,0)&amp;"("&amp;Table3[[#This Row],[Short]]&amp;")")</f>
        <v/>
      </c>
      <c r="J983" s="7">
        <f>VLOOKUP(Table3[[#This Row],[Agen id]],Agen!A:C,3,0)</f>
        <v/>
      </c>
      <c r="K983" s="37">
        <f>TRIM(LEFT(Table3[[#This Row],[Group]],2))</f>
        <v/>
      </c>
      <c r="L983" s="3" t="inlineStr">
        <is>
          <t>NON SALES</t>
        </is>
      </c>
    </row>
    <row r="984">
      <c r="A984" s="5" t="inlineStr">
        <is>
          <t>OP06767</t>
        </is>
      </c>
      <c r="B984" s="6" t="inlineStr">
        <is>
          <t>KINGPONSEL</t>
        </is>
      </c>
      <c r="C984" s="7" t="inlineStr">
        <is>
          <t>AV - Agen Verified</t>
        </is>
      </c>
      <c r="D984" s="1" t="inlineStr">
        <is>
          <t>OP00002</t>
        </is>
      </c>
      <c r="E984" s="8" t="n">
        <v>45048.34166666667</v>
      </c>
      <c r="F984" s="7" t="inlineStr">
        <is>
          <t>AGEN</t>
        </is>
      </c>
      <c r="G984" s="18" t="inlineStr">
        <is>
          <t>OP06767</t>
        </is>
      </c>
      <c r="H984" s="19">
        <f>UPPER(Table3[[#This Row],[Agen id]]&amp;"-"&amp;VLOOKUP(Table3[[#This Row],[Agen id]],A:B,2,0)&amp;"("&amp;Table3[[#This Row],[Short]]&amp;")")</f>
        <v/>
      </c>
      <c r="J984" s="7">
        <f>VLOOKUP(Table3[[#This Row],[Agen id]],Agen!A:C,3,0)</f>
        <v/>
      </c>
      <c r="K984" s="37">
        <f>TRIM(LEFT(Table3[[#This Row],[Group]],2))</f>
        <v/>
      </c>
      <c r="L984" s="3" t="inlineStr">
        <is>
          <t>NON SALES</t>
        </is>
      </c>
    </row>
    <row r="985">
      <c r="A985" s="5" t="inlineStr">
        <is>
          <t>OP06770</t>
        </is>
      </c>
      <c r="B985" s="6" t="inlineStr">
        <is>
          <t>Fadill Cell</t>
        </is>
      </c>
      <c r="C985" s="7" t="inlineStr">
        <is>
          <t>AV - Agen Verified</t>
        </is>
      </c>
      <c r="D985" s="1" t="inlineStr">
        <is>
          <t>OP00842</t>
        </is>
      </c>
      <c r="E985" s="8" t="n">
        <v>45048.525</v>
      </c>
      <c r="F985" s="7" t="inlineStr">
        <is>
          <t>DOWNLINE</t>
        </is>
      </c>
      <c r="G985" s="18" t="inlineStr">
        <is>
          <t>OP00842</t>
        </is>
      </c>
      <c r="H985" s="19">
        <f>UPPER(Table3[[#This Row],[Agen id]]&amp;"-"&amp;VLOOKUP(Table3[[#This Row],[Agen id]],A:B,2,0)&amp;"("&amp;Table3[[#This Row],[Short]]&amp;")")</f>
        <v/>
      </c>
      <c r="J985" s="7">
        <f>VLOOKUP(Table3[[#This Row],[Agen id]],Agen!A:C,3,0)</f>
        <v/>
      </c>
      <c r="K985" s="37">
        <f>TRIM(LEFT(Table3[[#This Row],[Group]],2))</f>
        <v/>
      </c>
      <c r="L985" s="3" t="inlineStr">
        <is>
          <t>NON SALES</t>
        </is>
      </c>
    </row>
    <row r="986">
      <c r="A986" s="5" t="inlineStr">
        <is>
          <t>OP06773</t>
        </is>
      </c>
      <c r="B986" s="6" t="inlineStr">
        <is>
          <t>Irmawati</t>
        </is>
      </c>
      <c r="C986" s="7" t="inlineStr">
        <is>
          <t>A - Agen</t>
        </is>
      </c>
      <c r="D986" s="1" t="inlineStr">
        <is>
          <t>OP00002</t>
        </is>
      </c>
      <c r="E986" s="8" t="n">
        <v>45048.55416666667</v>
      </c>
      <c r="F986" s="7" t="inlineStr">
        <is>
          <t>AGEN</t>
        </is>
      </c>
      <c r="G986" s="18" t="inlineStr">
        <is>
          <t>OP06773</t>
        </is>
      </c>
      <c r="H986" s="19">
        <f>UPPER(Table3[[#This Row],[Agen id]]&amp;"-"&amp;VLOOKUP(Table3[[#This Row],[Agen id]],A:B,2,0)&amp;"("&amp;Table3[[#This Row],[Short]]&amp;")")</f>
        <v/>
      </c>
      <c r="J986" s="7">
        <f>VLOOKUP(Table3[[#This Row],[Agen id]],Agen!A:C,3,0)</f>
        <v/>
      </c>
      <c r="K986" s="37">
        <f>TRIM(LEFT(Table3[[#This Row],[Group]],2))</f>
        <v/>
      </c>
      <c r="L986" s="3" t="inlineStr">
        <is>
          <t>NON SALES</t>
        </is>
      </c>
    </row>
    <row r="987">
      <c r="A987" s="5" t="inlineStr">
        <is>
          <t>OP06781</t>
        </is>
      </c>
      <c r="B987" s="6" t="inlineStr">
        <is>
          <t>SWORD CELL</t>
        </is>
      </c>
      <c r="C987" s="7" t="inlineStr">
        <is>
          <t>AK - Agen Khusus</t>
        </is>
      </c>
      <c r="D987" s="1" t="inlineStr">
        <is>
          <t>OP00002</t>
        </is>
      </c>
      <c r="E987" s="8" t="n">
        <v>45048.80763888889</v>
      </c>
      <c r="F987" s="7" t="inlineStr">
        <is>
          <t>AGEN</t>
        </is>
      </c>
      <c r="G987" s="18" t="inlineStr">
        <is>
          <t>OP06781</t>
        </is>
      </c>
      <c r="H987" s="19">
        <f>UPPER(Table3[[#This Row],[Agen id]]&amp;"-"&amp;VLOOKUP(Table3[[#This Row],[Agen id]],A:B,2,0)&amp;"("&amp;Table3[[#This Row],[Short]]&amp;")")</f>
        <v/>
      </c>
      <c r="J987" s="7">
        <f>VLOOKUP(Table3[[#This Row],[Agen id]],Agen!A:C,3,0)</f>
        <v/>
      </c>
      <c r="K987" s="37">
        <f>TRIM(LEFT(Table3[[#This Row],[Group]],2))</f>
        <v/>
      </c>
      <c r="L987" s="3" t="inlineStr">
        <is>
          <t>NON SALES</t>
        </is>
      </c>
    </row>
    <row r="988">
      <c r="A988" s="5" t="inlineStr">
        <is>
          <t>OP06785</t>
        </is>
      </c>
      <c r="B988" s="6" t="inlineStr">
        <is>
          <t>Usup supriyatna</t>
        </is>
      </c>
      <c r="C988" s="7" t="inlineStr">
        <is>
          <t>AV - Agen Verified</t>
        </is>
      </c>
      <c r="D988" s="1" t="inlineStr">
        <is>
          <t>OP00002</t>
        </is>
      </c>
      <c r="E988" s="8" t="n">
        <v>45048.95763888889</v>
      </c>
      <c r="F988" s="7" t="inlineStr">
        <is>
          <t>AGEN</t>
        </is>
      </c>
      <c r="G988" s="18" t="inlineStr">
        <is>
          <t>OP06785</t>
        </is>
      </c>
      <c r="H988" s="19">
        <f>UPPER(Table3[[#This Row],[Agen id]]&amp;"-"&amp;VLOOKUP(Table3[[#This Row],[Agen id]],A:B,2,0)&amp;"("&amp;Table3[[#This Row],[Short]]&amp;")")</f>
        <v/>
      </c>
      <c r="J988" s="7">
        <f>VLOOKUP(Table3[[#This Row],[Agen id]],Agen!A:C,3,0)</f>
        <v/>
      </c>
      <c r="K988" s="37">
        <f>TRIM(LEFT(Table3[[#This Row],[Group]],2))</f>
        <v/>
      </c>
      <c r="L988" s="3" t="inlineStr">
        <is>
          <t>NON SALES</t>
        </is>
      </c>
    </row>
    <row r="989">
      <c r="A989" s="5" t="inlineStr">
        <is>
          <t>OP06794</t>
        </is>
      </c>
      <c r="B989" s="6" t="inlineStr">
        <is>
          <t>winarno</t>
        </is>
      </c>
      <c r="C989" s="7" t="inlineStr">
        <is>
          <t>A - Agen</t>
        </is>
      </c>
      <c r="D989" s="1" t="inlineStr">
        <is>
          <t>OP04330</t>
        </is>
      </c>
      <c r="E989" s="8" t="n">
        <v>45049.38194444445</v>
      </c>
      <c r="F989" s="7" t="inlineStr">
        <is>
          <t>DOWNLINE</t>
        </is>
      </c>
      <c r="G989" s="18" t="inlineStr">
        <is>
          <t>OP04330</t>
        </is>
      </c>
      <c r="H989" s="19">
        <f>UPPER(Table3[[#This Row],[Agen id]]&amp;"-"&amp;VLOOKUP(Table3[[#This Row],[Agen id]],A:B,2,0)&amp;"("&amp;Table3[[#This Row],[Short]]&amp;")")</f>
        <v/>
      </c>
      <c r="J989" s="7">
        <f>VLOOKUP(Table3[[#This Row],[Agen id]],Agen!A:C,3,0)</f>
        <v/>
      </c>
      <c r="K989" s="37">
        <f>TRIM(LEFT(Table3[[#This Row],[Group]],2))</f>
        <v/>
      </c>
      <c r="L989" s="3" t="inlineStr">
        <is>
          <t>NON SALES</t>
        </is>
      </c>
    </row>
    <row r="990">
      <c r="A990" s="5" t="inlineStr">
        <is>
          <t>OP06796</t>
        </is>
      </c>
      <c r="B990" s="6" t="inlineStr">
        <is>
          <t>Nur</t>
        </is>
      </c>
      <c r="C990" s="7" t="inlineStr">
        <is>
          <t>A - Agen</t>
        </is>
      </c>
      <c r="D990" s="1" t="inlineStr">
        <is>
          <t>OP00996</t>
        </is>
      </c>
      <c r="E990" s="8" t="n">
        <v>45049.43402777778</v>
      </c>
      <c r="F990" s="7" t="inlineStr">
        <is>
          <t>DOWNLINE</t>
        </is>
      </c>
      <c r="G990" s="18" t="inlineStr">
        <is>
          <t>OP00996</t>
        </is>
      </c>
      <c r="H990" s="19">
        <f>UPPER(Table3[[#This Row],[Agen id]]&amp;"-"&amp;VLOOKUP(Table3[[#This Row],[Agen id]],A:B,2,0)&amp;"("&amp;Table3[[#This Row],[Short]]&amp;")")</f>
        <v/>
      </c>
      <c r="J990" s="7">
        <f>VLOOKUP(Table3[[#This Row],[Agen id]],Agen!A:C,3,0)</f>
        <v/>
      </c>
      <c r="K990" s="37">
        <f>TRIM(LEFT(Table3[[#This Row],[Group]],2))</f>
        <v/>
      </c>
      <c r="L990" s="3" t="inlineStr">
        <is>
          <t>NON SALES</t>
        </is>
      </c>
    </row>
    <row r="991">
      <c r="A991" s="5" t="inlineStr">
        <is>
          <t>OP06804</t>
        </is>
      </c>
      <c r="B991" s="6" t="inlineStr">
        <is>
          <t>Daffa Cell</t>
        </is>
      </c>
      <c r="C991" s="7" t="inlineStr">
        <is>
          <t>AV - Agen Verified</t>
        </is>
      </c>
      <c r="D991" s="1" t="inlineStr">
        <is>
          <t>OP00842</t>
        </is>
      </c>
      <c r="E991" s="8" t="n">
        <v>45049.625</v>
      </c>
      <c r="F991" s="7" t="inlineStr">
        <is>
          <t>DOWNLINE</t>
        </is>
      </c>
      <c r="G991" s="18" t="inlineStr">
        <is>
          <t>OP00842</t>
        </is>
      </c>
      <c r="H991" s="19">
        <f>UPPER(Table3[[#This Row],[Agen id]]&amp;"-"&amp;VLOOKUP(Table3[[#This Row],[Agen id]],A:B,2,0)&amp;"("&amp;Table3[[#This Row],[Short]]&amp;")")</f>
        <v/>
      </c>
      <c r="J991" s="7">
        <f>VLOOKUP(Table3[[#This Row],[Agen id]],Agen!A:C,3,0)</f>
        <v/>
      </c>
      <c r="K991" s="37">
        <f>TRIM(LEFT(Table3[[#This Row],[Group]],2))</f>
        <v/>
      </c>
      <c r="L991" s="3" t="inlineStr">
        <is>
          <t>NON SALES</t>
        </is>
      </c>
    </row>
    <row r="992">
      <c r="A992" s="5" t="inlineStr">
        <is>
          <t>OP06807</t>
        </is>
      </c>
      <c r="B992" s="6" t="inlineStr">
        <is>
          <t>ABDUR CELL</t>
        </is>
      </c>
      <c r="C992" s="7" t="inlineStr">
        <is>
          <t>AK - Agen Khusus</t>
        </is>
      </c>
      <c r="D992" s="1" t="inlineStr">
        <is>
          <t>OP06781</t>
        </is>
      </c>
      <c r="E992" s="8" t="n">
        <v>45049.66041666667</v>
      </c>
      <c r="F992" s="7" t="inlineStr">
        <is>
          <t>DOWNLINE</t>
        </is>
      </c>
      <c r="G992" s="18" t="inlineStr">
        <is>
          <t>OP06781</t>
        </is>
      </c>
      <c r="H992" s="19">
        <f>UPPER(Table3[[#This Row],[Agen id]]&amp;"-"&amp;VLOOKUP(Table3[[#This Row],[Agen id]],A:B,2,0)&amp;"("&amp;Table3[[#This Row],[Short]]&amp;")")</f>
        <v/>
      </c>
      <c r="J992" s="7">
        <f>VLOOKUP(Table3[[#This Row],[Agen id]],Agen!A:C,3,0)</f>
        <v/>
      </c>
      <c r="K992" s="37">
        <f>TRIM(LEFT(Table3[[#This Row],[Group]],2))</f>
        <v/>
      </c>
      <c r="L992" s="3" t="inlineStr">
        <is>
          <t>NON SALES</t>
        </is>
      </c>
    </row>
    <row r="993">
      <c r="A993" s="5" t="inlineStr">
        <is>
          <t>OP06808</t>
        </is>
      </c>
      <c r="B993" s="6" t="inlineStr">
        <is>
          <t>AKMAL CELL</t>
        </is>
      </c>
      <c r="C993" s="7" t="inlineStr">
        <is>
          <t>AK - Agen Khusus</t>
        </is>
      </c>
      <c r="D993" s="1" t="inlineStr">
        <is>
          <t>OP06781</t>
        </is>
      </c>
      <c r="E993" s="8" t="n">
        <v>45049.66388888889</v>
      </c>
      <c r="F993" s="7" t="inlineStr">
        <is>
          <t>DOWNLINE</t>
        </is>
      </c>
      <c r="G993" s="18" t="inlineStr">
        <is>
          <t>OP06781</t>
        </is>
      </c>
      <c r="H993" s="19">
        <f>UPPER(Table3[[#This Row],[Agen id]]&amp;"-"&amp;VLOOKUP(Table3[[#This Row],[Agen id]],A:B,2,0)&amp;"("&amp;Table3[[#This Row],[Short]]&amp;")")</f>
        <v/>
      </c>
      <c r="J993" s="7">
        <f>VLOOKUP(Table3[[#This Row],[Agen id]],Agen!A:C,3,0)</f>
        <v/>
      </c>
      <c r="K993" s="37">
        <f>TRIM(LEFT(Table3[[#This Row],[Group]],2))</f>
        <v/>
      </c>
      <c r="L993" s="3" t="inlineStr">
        <is>
          <t>NON SALES</t>
        </is>
      </c>
    </row>
    <row r="994">
      <c r="A994" s="5" t="inlineStr">
        <is>
          <t>OP06809</t>
        </is>
      </c>
      <c r="B994" s="6" t="inlineStr">
        <is>
          <t>ANISSA CELL</t>
        </is>
      </c>
      <c r="C994" s="7" t="inlineStr">
        <is>
          <t>AK - Agen Khusus</t>
        </is>
      </c>
      <c r="D994" s="1" t="inlineStr">
        <is>
          <t>OP06781</t>
        </is>
      </c>
      <c r="E994" s="8" t="n">
        <v>45049.69097222222</v>
      </c>
      <c r="F994" s="7" t="inlineStr">
        <is>
          <t>DOWNLINE</t>
        </is>
      </c>
      <c r="G994" s="18" t="inlineStr">
        <is>
          <t>OP06781</t>
        </is>
      </c>
      <c r="H994" s="19">
        <f>UPPER(Table3[[#This Row],[Agen id]]&amp;"-"&amp;VLOOKUP(Table3[[#This Row],[Agen id]],A:B,2,0)&amp;"("&amp;Table3[[#This Row],[Short]]&amp;")")</f>
        <v/>
      </c>
      <c r="J994" s="7">
        <f>VLOOKUP(Table3[[#This Row],[Agen id]],Agen!A:C,3,0)</f>
        <v/>
      </c>
      <c r="K994" s="37">
        <f>TRIM(LEFT(Table3[[#This Row],[Group]],2))</f>
        <v/>
      </c>
      <c r="L994" s="3" t="inlineStr">
        <is>
          <t>NON SALES</t>
        </is>
      </c>
    </row>
    <row r="995">
      <c r="A995" s="5" t="inlineStr">
        <is>
          <t>OP06810</t>
        </is>
      </c>
      <c r="B995" s="6" t="inlineStr">
        <is>
          <t>ANDRAA CELL</t>
        </is>
      </c>
      <c r="C995" s="7" t="inlineStr">
        <is>
          <t>AK - Agen Khusus</t>
        </is>
      </c>
      <c r="D995" s="1" t="inlineStr">
        <is>
          <t>OP06781</t>
        </is>
      </c>
      <c r="E995" s="8" t="n">
        <v>45049.69236111111</v>
      </c>
      <c r="F995" s="7" t="inlineStr">
        <is>
          <t>DOWNLINE</t>
        </is>
      </c>
      <c r="G995" s="18" t="inlineStr">
        <is>
          <t>OP06781</t>
        </is>
      </c>
      <c r="H995" s="19">
        <f>UPPER(Table3[[#This Row],[Agen id]]&amp;"-"&amp;VLOOKUP(Table3[[#This Row],[Agen id]],A:B,2,0)&amp;"("&amp;Table3[[#This Row],[Short]]&amp;")")</f>
        <v/>
      </c>
      <c r="J995" s="7">
        <f>VLOOKUP(Table3[[#This Row],[Agen id]],Agen!A:C,3,0)</f>
        <v/>
      </c>
      <c r="K995" s="37">
        <f>TRIM(LEFT(Table3[[#This Row],[Group]],2))</f>
        <v/>
      </c>
      <c r="L995" s="3" t="inlineStr">
        <is>
          <t>NON SALES</t>
        </is>
      </c>
    </row>
    <row r="996">
      <c r="A996" s="5" t="inlineStr">
        <is>
          <t>OP06811</t>
        </is>
      </c>
      <c r="B996" s="6" t="inlineStr">
        <is>
          <t>AYU CELL</t>
        </is>
      </c>
      <c r="C996" s="7" t="inlineStr">
        <is>
          <t>AK - Agen Khusus</t>
        </is>
      </c>
      <c r="D996" s="1" t="inlineStr">
        <is>
          <t>OP06781</t>
        </is>
      </c>
      <c r="E996" s="8" t="n">
        <v>45049.69305555556</v>
      </c>
      <c r="F996" s="7" t="inlineStr">
        <is>
          <t>DOWNLINE</t>
        </is>
      </c>
      <c r="G996" s="18" t="inlineStr">
        <is>
          <t>OP06781</t>
        </is>
      </c>
      <c r="H996" s="19">
        <f>UPPER(Table3[[#This Row],[Agen id]]&amp;"-"&amp;VLOOKUP(Table3[[#This Row],[Agen id]],A:B,2,0)&amp;"("&amp;Table3[[#This Row],[Short]]&amp;")")</f>
        <v/>
      </c>
      <c r="J996" s="7">
        <f>VLOOKUP(Table3[[#This Row],[Agen id]],Agen!A:C,3,0)</f>
        <v/>
      </c>
      <c r="K996" s="37">
        <f>TRIM(LEFT(Table3[[#This Row],[Group]],2))</f>
        <v/>
      </c>
      <c r="L996" s="3" t="inlineStr">
        <is>
          <t>NON SALES</t>
        </is>
      </c>
    </row>
    <row r="997">
      <c r="A997" s="5" t="inlineStr">
        <is>
          <t>OP06812</t>
        </is>
      </c>
      <c r="B997" s="6" t="inlineStr">
        <is>
          <t>ARIS CELL</t>
        </is>
      </c>
      <c r="C997" s="7" t="inlineStr">
        <is>
          <t>AK - Agen Khusus</t>
        </is>
      </c>
      <c r="D997" s="1" t="inlineStr">
        <is>
          <t>OP06781</t>
        </is>
      </c>
      <c r="E997" s="8" t="n">
        <v>45049.69583333333</v>
      </c>
      <c r="F997" s="7" t="inlineStr">
        <is>
          <t>DOWNLINE</t>
        </is>
      </c>
      <c r="G997" s="18" t="inlineStr">
        <is>
          <t>OP06781</t>
        </is>
      </c>
      <c r="H997" s="19">
        <f>UPPER(Table3[[#This Row],[Agen id]]&amp;"-"&amp;VLOOKUP(Table3[[#This Row],[Agen id]],A:B,2,0)&amp;"("&amp;Table3[[#This Row],[Short]]&amp;")")</f>
        <v/>
      </c>
      <c r="J997" s="7">
        <f>VLOOKUP(Table3[[#This Row],[Agen id]],Agen!A:C,3,0)</f>
        <v/>
      </c>
      <c r="K997" s="37">
        <f>TRIM(LEFT(Table3[[#This Row],[Group]],2))</f>
        <v/>
      </c>
      <c r="L997" s="3" t="inlineStr">
        <is>
          <t>NON SALES</t>
        </is>
      </c>
    </row>
    <row r="998">
      <c r="A998" s="5" t="inlineStr">
        <is>
          <t>OP06815</t>
        </is>
      </c>
      <c r="B998" s="6" t="inlineStr">
        <is>
          <t>Yadi Yansyah</t>
        </is>
      </c>
      <c r="C998" s="7" t="inlineStr">
        <is>
          <t>A - Agen</t>
        </is>
      </c>
      <c r="D998" s="1" t="inlineStr">
        <is>
          <t>OP00002</t>
        </is>
      </c>
      <c r="E998" s="8" t="n">
        <v>45049.76458333333</v>
      </c>
      <c r="F998" s="7" t="inlineStr">
        <is>
          <t>AGEN</t>
        </is>
      </c>
      <c r="G998" s="18" t="inlineStr">
        <is>
          <t>OP06815</t>
        </is>
      </c>
      <c r="H998" s="19">
        <f>UPPER(Table3[[#This Row],[Agen id]]&amp;"-"&amp;VLOOKUP(Table3[[#This Row],[Agen id]],A:B,2,0)&amp;"("&amp;Table3[[#This Row],[Short]]&amp;")")</f>
        <v/>
      </c>
      <c r="J998" s="7">
        <f>VLOOKUP(Table3[[#This Row],[Agen id]],Agen!A:C,3,0)</f>
        <v/>
      </c>
      <c r="K998" s="37">
        <f>TRIM(LEFT(Table3[[#This Row],[Group]],2))</f>
        <v/>
      </c>
      <c r="L998" s="3" t="inlineStr">
        <is>
          <t>NON SALES</t>
        </is>
      </c>
    </row>
    <row r="999">
      <c r="A999" s="5" t="inlineStr">
        <is>
          <t>OP06819</t>
        </is>
      </c>
      <c r="B999" s="6" t="inlineStr">
        <is>
          <t>BAGAS CELL</t>
        </is>
      </c>
      <c r="C999" s="7" t="inlineStr">
        <is>
          <t>AK - Agen Khusus</t>
        </is>
      </c>
      <c r="D999" s="1" t="inlineStr">
        <is>
          <t>OP06781</t>
        </is>
      </c>
      <c r="E999" s="8" t="n">
        <v>45049.79930555556</v>
      </c>
      <c r="F999" s="7" t="inlineStr">
        <is>
          <t>DOWNLINE</t>
        </is>
      </c>
      <c r="G999" s="18" t="inlineStr">
        <is>
          <t>OP06781</t>
        </is>
      </c>
      <c r="H999" s="19">
        <f>UPPER(Table3[[#This Row],[Agen id]]&amp;"-"&amp;VLOOKUP(Table3[[#This Row],[Agen id]],A:B,2,0)&amp;"("&amp;Table3[[#This Row],[Short]]&amp;")")</f>
        <v/>
      </c>
      <c r="J999" s="7">
        <f>VLOOKUP(Table3[[#This Row],[Agen id]],Agen!A:C,3,0)</f>
        <v/>
      </c>
      <c r="K999" s="37">
        <f>TRIM(LEFT(Table3[[#This Row],[Group]],2))</f>
        <v/>
      </c>
      <c r="L999" s="3" t="inlineStr">
        <is>
          <t>NON SALES</t>
        </is>
      </c>
    </row>
    <row r="1000">
      <c r="A1000" s="5" t="inlineStr">
        <is>
          <t>OP06820</t>
        </is>
      </c>
      <c r="B1000" s="6" t="inlineStr">
        <is>
          <t>AZIZAH CELL</t>
        </is>
      </c>
      <c r="C1000" s="7" t="inlineStr">
        <is>
          <t>AK - Agen Khusus</t>
        </is>
      </c>
      <c r="D1000" s="1" t="inlineStr">
        <is>
          <t>OP06781</t>
        </is>
      </c>
      <c r="E1000" s="8" t="n">
        <v>45049.8</v>
      </c>
      <c r="F1000" s="7" t="inlineStr">
        <is>
          <t>DOWNLINE</t>
        </is>
      </c>
      <c r="G1000" s="18" t="inlineStr">
        <is>
          <t>OP06781</t>
        </is>
      </c>
      <c r="H1000" s="19">
        <f>UPPER(Table3[[#This Row],[Agen id]]&amp;"-"&amp;VLOOKUP(Table3[[#This Row],[Agen id]],A:B,2,0)&amp;"("&amp;Table3[[#This Row],[Short]]&amp;")")</f>
        <v/>
      </c>
      <c r="J1000" s="7">
        <f>VLOOKUP(Table3[[#This Row],[Agen id]],Agen!A:C,3,0)</f>
        <v/>
      </c>
      <c r="K1000" s="37">
        <f>TRIM(LEFT(Table3[[#This Row],[Group]],2))</f>
        <v/>
      </c>
      <c r="L1000" s="3" t="inlineStr">
        <is>
          <t>NON SALES</t>
        </is>
      </c>
    </row>
    <row r="1001">
      <c r="A1001" s="5" t="inlineStr">
        <is>
          <t>OP06821</t>
        </is>
      </c>
      <c r="B1001" s="6" t="inlineStr">
        <is>
          <t>CICI CELL</t>
        </is>
      </c>
      <c r="C1001" s="7" t="inlineStr">
        <is>
          <t>AK - Agen Khusus</t>
        </is>
      </c>
      <c r="D1001" s="1" t="inlineStr">
        <is>
          <t>OP06781</t>
        </is>
      </c>
      <c r="E1001" s="8" t="n">
        <v>45049.80069444444</v>
      </c>
      <c r="F1001" s="7" t="inlineStr">
        <is>
          <t>DOWNLINE</t>
        </is>
      </c>
      <c r="G1001" s="18" t="inlineStr">
        <is>
          <t>OP06781</t>
        </is>
      </c>
      <c r="H1001" s="19">
        <f>UPPER(Table3[[#This Row],[Agen id]]&amp;"-"&amp;VLOOKUP(Table3[[#This Row],[Agen id]],A:B,2,0)&amp;"("&amp;Table3[[#This Row],[Short]]&amp;")")</f>
        <v/>
      </c>
      <c r="J1001" s="7">
        <f>VLOOKUP(Table3[[#This Row],[Agen id]],Agen!A:C,3,0)</f>
        <v/>
      </c>
      <c r="K1001" s="37">
        <f>TRIM(LEFT(Table3[[#This Row],[Group]],2))</f>
        <v/>
      </c>
      <c r="L1001" s="3" t="inlineStr">
        <is>
          <t>NON SALES</t>
        </is>
      </c>
    </row>
    <row r="1002">
      <c r="A1002" s="5" t="inlineStr">
        <is>
          <t>OP06822</t>
        </is>
      </c>
      <c r="B1002" s="6" t="inlineStr">
        <is>
          <t>DEDEN CELL</t>
        </is>
      </c>
      <c r="C1002" s="7" t="inlineStr">
        <is>
          <t>AK - Agen Khusus</t>
        </is>
      </c>
      <c r="D1002" s="1" t="inlineStr">
        <is>
          <t>OP06781</t>
        </is>
      </c>
      <c r="E1002" s="8" t="n">
        <v>45049.80069444444</v>
      </c>
      <c r="F1002" s="7" t="inlineStr">
        <is>
          <t>DOWNLINE</t>
        </is>
      </c>
      <c r="G1002" s="18" t="inlineStr">
        <is>
          <t>OP06781</t>
        </is>
      </c>
      <c r="H1002" s="19">
        <f>UPPER(Table3[[#This Row],[Agen id]]&amp;"-"&amp;VLOOKUP(Table3[[#This Row],[Agen id]],A:B,2,0)&amp;"("&amp;Table3[[#This Row],[Short]]&amp;")")</f>
        <v/>
      </c>
      <c r="J1002" s="7">
        <f>VLOOKUP(Table3[[#This Row],[Agen id]],Agen!A:C,3,0)</f>
        <v/>
      </c>
      <c r="K1002" s="37">
        <f>TRIM(LEFT(Table3[[#This Row],[Group]],2))</f>
        <v/>
      </c>
      <c r="L1002" s="3" t="inlineStr">
        <is>
          <t>NON SALES</t>
        </is>
      </c>
    </row>
    <row r="1003">
      <c r="A1003" s="5" t="inlineStr">
        <is>
          <t>OP06823</t>
        </is>
      </c>
      <c r="B1003" s="6" t="inlineStr">
        <is>
          <t>Rafli pelu</t>
        </is>
      </c>
      <c r="C1003" s="7" t="inlineStr">
        <is>
          <t>A - Agen</t>
        </is>
      </c>
      <c r="D1003" s="1" t="inlineStr">
        <is>
          <t>OP00002</t>
        </is>
      </c>
      <c r="E1003" s="8" t="n">
        <v>45049.80138888889</v>
      </c>
      <c r="F1003" s="7" t="inlineStr">
        <is>
          <t>AGEN</t>
        </is>
      </c>
      <c r="G1003" s="18" t="inlineStr">
        <is>
          <t>OP06823</t>
        </is>
      </c>
      <c r="H1003" s="19">
        <f>UPPER(Table3[[#This Row],[Agen id]]&amp;"-"&amp;VLOOKUP(Table3[[#This Row],[Agen id]],A:B,2,0)&amp;"("&amp;Table3[[#This Row],[Short]]&amp;")")</f>
        <v/>
      </c>
      <c r="J1003" s="7">
        <f>VLOOKUP(Table3[[#This Row],[Agen id]],Agen!A:C,3,0)</f>
        <v/>
      </c>
      <c r="K1003" s="37">
        <f>TRIM(LEFT(Table3[[#This Row],[Group]],2))</f>
        <v/>
      </c>
      <c r="L1003" s="3" t="inlineStr">
        <is>
          <t>NON SALES</t>
        </is>
      </c>
    </row>
    <row r="1004">
      <c r="A1004" s="5" t="inlineStr">
        <is>
          <t>OP06824</t>
        </is>
      </c>
      <c r="B1004" s="6" t="inlineStr">
        <is>
          <t>GITA CELL</t>
        </is>
      </c>
      <c r="C1004" s="7" t="inlineStr">
        <is>
          <t>AK - Agen Khusus</t>
        </is>
      </c>
      <c r="D1004" s="1" t="inlineStr">
        <is>
          <t>OP06781</t>
        </is>
      </c>
      <c r="E1004" s="8" t="n">
        <v>45049.80138888889</v>
      </c>
      <c r="F1004" s="7" t="inlineStr">
        <is>
          <t>DOWNLINE</t>
        </is>
      </c>
      <c r="G1004" s="18" t="inlineStr">
        <is>
          <t>OP06781</t>
        </is>
      </c>
      <c r="H1004" s="19">
        <f>UPPER(Table3[[#This Row],[Agen id]]&amp;"-"&amp;VLOOKUP(Table3[[#This Row],[Agen id]],A:B,2,0)&amp;"("&amp;Table3[[#This Row],[Short]]&amp;")")</f>
        <v/>
      </c>
      <c r="J1004" s="7">
        <f>VLOOKUP(Table3[[#This Row],[Agen id]],Agen!A:C,3,0)</f>
        <v/>
      </c>
      <c r="K1004" s="37">
        <f>TRIM(LEFT(Table3[[#This Row],[Group]],2))</f>
        <v/>
      </c>
      <c r="L1004" s="3" t="inlineStr">
        <is>
          <t>NON SALES</t>
        </is>
      </c>
    </row>
    <row r="1005">
      <c r="A1005" s="5" t="inlineStr">
        <is>
          <t>OP06825</t>
        </is>
      </c>
      <c r="B1005" s="6" t="inlineStr">
        <is>
          <t>NAFISA CELL</t>
        </is>
      </c>
      <c r="C1005" s="7" t="inlineStr">
        <is>
          <t>AK - Agen Khusus</t>
        </is>
      </c>
      <c r="D1005" s="1" t="inlineStr">
        <is>
          <t>OP06781</t>
        </is>
      </c>
      <c r="E1005" s="8" t="n">
        <v>45049.80277777778</v>
      </c>
      <c r="F1005" s="7" t="inlineStr">
        <is>
          <t>DOWNLINE</t>
        </is>
      </c>
      <c r="G1005" s="18" t="inlineStr">
        <is>
          <t>OP06781</t>
        </is>
      </c>
      <c r="H1005" s="19">
        <f>UPPER(Table3[[#This Row],[Agen id]]&amp;"-"&amp;VLOOKUP(Table3[[#This Row],[Agen id]],A:B,2,0)&amp;"("&amp;Table3[[#This Row],[Short]]&amp;")")</f>
        <v/>
      </c>
      <c r="J1005" s="7">
        <f>VLOOKUP(Table3[[#This Row],[Agen id]],Agen!A:C,3,0)</f>
        <v/>
      </c>
      <c r="K1005" s="37">
        <f>TRIM(LEFT(Table3[[#This Row],[Group]],2))</f>
        <v/>
      </c>
      <c r="L1005" s="3" t="inlineStr">
        <is>
          <t>NON SALES</t>
        </is>
      </c>
    </row>
    <row r="1006">
      <c r="A1006" s="5" t="inlineStr">
        <is>
          <t>OP06826</t>
        </is>
      </c>
      <c r="B1006" s="6" t="inlineStr">
        <is>
          <t>ODEP CELL</t>
        </is>
      </c>
      <c r="C1006" s="7" t="inlineStr">
        <is>
          <t>AK - Agen Khusus</t>
        </is>
      </c>
      <c r="D1006" s="1" t="inlineStr">
        <is>
          <t>OP06781</t>
        </is>
      </c>
      <c r="E1006" s="8" t="n">
        <v>45049.80486111111</v>
      </c>
      <c r="F1006" s="7" t="inlineStr">
        <is>
          <t>DOWNLINE</t>
        </is>
      </c>
      <c r="G1006" s="18" t="inlineStr">
        <is>
          <t>OP06781</t>
        </is>
      </c>
      <c r="H1006" s="19">
        <f>UPPER(Table3[[#This Row],[Agen id]]&amp;"-"&amp;VLOOKUP(Table3[[#This Row],[Agen id]],A:B,2,0)&amp;"("&amp;Table3[[#This Row],[Short]]&amp;")")</f>
        <v/>
      </c>
      <c r="J1006" s="7">
        <f>VLOOKUP(Table3[[#This Row],[Agen id]],Agen!A:C,3,0)</f>
        <v/>
      </c>
      <c r="K1006" s="37">
        <f>TRIM(LEFT(Table3[[#This Row],[Group]],2))</f>
        <v/>
      </c>
      <c r="L1006" s="3" t="inlineStr">
        <is>
          <t>NON SALES</t>
        </is>
      </c>
    </row>
    <row r="1007">
      <c r="A1007" s="5" t="inlineStr">
        <is>
          <t>OP06827</t>
        </is>
      </c>
      <c r="B1007" s="6" t="inlineStr">
        <is>
          <t>RAFFASYA CELL</t>
        </is>
      </c>
      <c r="C1007" s="7" t="inlineStr">
        <is>
          <t>AK - Agen Khusus</t>
        </is>
      </c>
      <c r="D1007" s="1" t="inlineStr">
        <is>
          <t>OP06781</t>
        </is>
      </c>
      <c r="E1007" s="8" t="n">
        <v>45049.80555555555</v>
      </c>
      <c r="F1007" s="7" t="inlineStr">
        <is>
          <t>DOWNLINE</t>
        </is>
      </c>
      <c r="G1007" s="18" t="inlineStr">
        <is>
          <t>OP06781</t>
        </is>
      </c>
      <c r="H1007" s="19">
        <f>UPPER(Table3[[#This Row],[Agen id]]&amp;"-"&amp;VLOOKUP(Table3[[#This Row],[Agen id]],A:B,2,0)&amp;"("&amp;Table3[[#This Row],[Short]]&amp;")")</f>
        <v/>
      </c>
      <c r="J1007" s="7">
        <f>VLOOKUP(Table3[[#This Row],[Agen id]],Agen!A:C,3,0)</f>
        <v/>
      </c>
      <c r="K1007" s="37">
        <f>TRIM(LEFT(Table3[[#This Row],[Group]],2))</f>
        <v/>
      </c>
      <c r="L1007" s="3" t="inlineStr">
        <is>
          <t>NON SALES</t>
        </is>
      </c>
    </row>
    <row r="1008">
      <c r="A1008" s="5" t="inlineStr">
        <is>
          <t>OP06828</t>
        </is>
      </c>
      <c r="B1008" s="6" t="inlineStr">
        <is>
          <t>RAHAYU CELL</t>
        </is>
      </c>
      <c r="C1008" s="7" t="inlineStr">
        <is>
          <t>AK - Agen Khusus</t>
        </is>
      </c>
      <c r="D1008" s="1" t="inlineStr">
        <is>
          <t>OP06781</t>
        </is>
      </c>
      <c r="E1008" s="8" t="n">
        <v>45049.80625</v>
      </c>
      <c r="F1008" s="7" t="inlineStr">
        <is>
          <t>DOWNLINE</t>
        </is>
      </c>
      <c r="G1008" s="18" t="inlineStr">
        <is>
          <t>OP06781</t>
        </is>
      </c>
      <c r="H1008" s="19">
        <f>UPPER(Table3[[#This Row],[Agen id]]&amp;"-"&amp;VLOOKUP(Table3[[#This Row],[Agen id]],A:B,2,0)&amp;"("&amp;Table3[[#This Row],[Short]]&amp;")")</f>
        <v/>
      </c>
      <c r="J1008" s="7">
        <f>VLOOKUP(Table3[[#This Row],[Agen id]],Agen!A:C,3,0)</f>
        <v/>
      </c>
      <c r="K1008" s="37">
        <f>TRIM(LEFT(Table3[[#This Row],[Group]],2))</f>
        <v/>
      </c>
      <c r="L1008" s="3" t="inlineStr">
        <is>
          <t>NON SALES</t>
        </is>
      </c>
    </row>
    <row r="1009">
      <c r="A1009" s="5" t="inlineStr">
        <is>
          <t>OP06831</t>
        </is>
      </c>
      <c r="B1009" s="6" t="inlineStr">
        <is>
          <t>RIANDITA CELL</t>
        </is>
      </c>
      <c r="C1009" s="7" t="inlineStr">
        <is>
          <t>AK - Agen Khusus</t>
        </is>
      </c>
      <c r="D1009" s="1" t="inlineStr">
        <is>
          <t>OP06781</t>
        </is>
      </c>
      <c r="E1009" s="8" t="n">
        <v>45049.86666666667</v>
      </c>
      <c r="F1009" s="7" t="inlineStr">
        <is>
          <t>DOWNLINE</t>
        </is>
      </c>
      <c r="G1009" s="18" t="inlineStr">
        <is>
          <t>OP06781</t>
        </is>
      </c>
      <c r="H1009" s="19">
        <f>UPPER(Table3[[#This Row],[Agen id]]&amp;"-"&amp;VLOOKUP(Table3[[#This Row],[Agen id]],A:B,2,0)&amp;"("&amp;Table3[[#This Row],[Short]]&amp;")")</f>
        <v/>
      </c>
      <c r="J1009" s="7">
        <f>VLOOKUP(Table3[[#This Row],[Agen id]],Agen!A:C,3,0)</f>
        <v/>
      </c>
      <c r="K1009" s="37">
        <f>TRIM(LEFT(Table3[[#This Row],[Group]],2))</f>
        <v/>
      </c>
      <c r="L1009" s="3" t="inlineStr">
        <is>
          <t>NON SALES</t>
        </is>
      </c>
    </row>
    <row r="1010">
      <c r="A1010" s="5" t="inlineStr">
        <is>
          <t>OP06832</t>
        </is>
      </c>
      <c r="B1010" s="6" t="inlineStr">
        <is>
          <t>RISKA CELL</t>
        </is>
      </c>
      <c r="C1010" s="7" t="inlineStr">
        <is>
          <t>AV - Agen Verified</t>
        </is>
      </c>
      <c r="D1010" s="1" t="inlineStr">
        <is>
          <t>OP00002</t>
        </is>
      </c>
      <c r="E1010" s="8" t="n">
        <v>45049.86805555555</v>
      </c>
      <c r="F1010" s="7" t="inlineStr">
        <is>
          <t>AGEN</t>
        </is>
      </c>
      <c r="G1010" s="18" t="inlineStr">
        <is>
          <t>OP06832</t>
        </is>
      </c>
      <c r="H1010" s="19">
        <f>UPPER(Table3[[#This Row],[Agen id]]&amp;"-"&amp;VLOOKUP(Table3[[#This Row],[Agen id]],A:B,2,0)&amp;"("&amp;Table3[[#This Row],[Short]]&amp;")")</f>
        <v/>
      </c>
      <c r="J1010" s="7">
        <f>VLOOKUP(Table3[[#This Row],[Agen id]],Agen!A:C,3,0)</f>
        <v/>
      </c>
      <c r="K1010" s="37">
        <f>TRIM(LEFT(Table3[[#This Row],[Group]],2))</f>
        <v/>
      </c>
      <c r="L1010" s="3" t="inlineStr">
        <is>
          <t>NON SALES</t>
        </is>
      </c>
    </row>
    <row r="1011">
      <c r="A1011" s="5" t="inlineStr">
        <is>
          <t>OP06840</t>
        </is>
      </c>
      <c r="B1011" s="6" t="inlineStr">
        <is>
          <t>fatmawati</t>
        </is>
      </c>
      <c r="C1011" s="7" t="inlineStr">
        <is>
          <t>AV - Agen Verified</t>
        </is>
      </c>
      <c r="D1011" s="1" t="inlineStr">
        <is>
          <t>OP00002</t>
        </is>
      </c>
      <c r="E1011" s="8" t="n">
        <v>45050.42847222222</v>
      </c>
      <c r="F1011" s="7" t="inlineStr">
        <is>
          <t>DOWNLINE</t>
        </is>
      </c>
      <c r="G1011" s="18" t="inlineStr">
        <is>
          <t>OP03179</t>
        </is>
      </c>
      <c r="H1011" s="19">
        <f>UPPER(Table3[[#This Row],[Agen id]]&amp;"-"&amp;VLOOKUP(Table3[[#This Row],[Agen id]],A:B,2,0)&amp;"("&amp;Table3[[#This Row],[Short]]&amp;")")</f>
        <v/>
      </c>
      <c r="J1011" s="7">
        <f>VLOOKUP(Table3[[#This Row],[Agen id]],Agen!A:C,3,0)</f>
        <v/>
      </c>
      <c r="K1011" s="37">
        <f>TRIM(LEFT(Table3[[#This Row],[Group]],2))</f>
        <v/>
      </c>
      <c r="L1011" s="3" t="inlineStr">
        <is>
          <t>NON SALES</t>
        </is>
      </c>
    </row>
    <row r="1012">
      <c r="A1012" s="5" t="inlineStr">
        <is>
          <t>OP06842</t>
        </is>
      </c>
      <c r="B1012" s="6" t="inlineStr">
        <is>
          <t>Lili Solifah</t>
        </is>
      </c>
      <c r="C1012" s="7" t="inlineStr">
        <is>
          <t>A - Agen</t>
        </is>
      </c>
      <c r="D1012" s="1" t="inlineStr">
        <is>
          <t>OP02558</t>
        </is>
      </c>
      <c r="E1012" s="8" t="n">
        <v>45050.55208333334</v>
      </c>
      <c r="F1012" s="7" t="inlineStr">
        <is>
          <t>DOWNLINE</t>
        </is>
      </c>
      <c r="G1012" s="18" t="inlineStr">
        <is>
          <t>OP02558</t>
        </is>
      </c>
      <c r="H1012" s="19">
        <f>UPPER(Table3[[#This Row],[Agen id]]&amp;"-"&amp;VLOOKUP(Table3[[#This Row],[Agen id]],A:B,2,0)&amp;"("&amp;Table3[[#This Row],[Short]]&amp;")")</f>
        <v/>
      </c>
      <c r="J1012" s="7">
        <f>VLOOKUP(Table3[[#This Row],[Agen id]],Agen!A:C,3,0)</f>
        <v/>
      </c>
      <c r="K1012" s="37">
        <f>TRIM(LEFT(Table3[[#This Row],[Group]],2))</f>
        <v/>
      </c>
      <c r="L1012" s="3" t="inlineStr">
        <is>
          <t>NON SALES</t>
        </is>
      </c>
    </row>
    <row r="1013">
      <c r="A1013" s="5" t="inlineStr">
        <is>
          <t>OP06854</t>
        </is>
      </c>
      <c r="B1013" s="6" t="inlineStr">
        <is>
          <t>Gabriel Esmulnaldo</t>
        </is>
      </c>
      <c r="C1013" s="7" t="inlineStr">
        <is>
          <t>A - Agen</t>
        </is>
      </c>
      <c r="D1013" s="1" t="inlineStr">
        <is>
          <t>OP00002</t>
        </is>
      </c>
      <c r="E1013" s="8" t="n">
        <v>45050.96597222222</v>
      </c>
      <c r="F1013" s="7" t="inlineStr">
        <is>
          <t>AGEN</t>
        </is>
      </c>
      <c r="G1013" s="18" t="inlineStr">
        <is>
          <t>OP06854</t>
        </is>
      </c>
      <c r="H1013" s="19">
        <f>UPPER(Table3[[#This Row],[Agen id]]&amp;"-"&amp;VLOOKUP(Table3[[#This Row],[Agen id]],A:B,2,0)&amp;"("&amp;Table3[[#This Row],[Short]]&amp;")")</f>
        <v/>
      </c>
      <c r="J1013" s="7">
        <f>VLOOKUP(Table3[[#This Row],[Agen id]],Agen!A:C,3,0)</f>
        <v/>
      </c>
      <c r="K1013" s="37">
        <f>TRIM(LEFT(Table3[[#This Row],[Group]],2))</f>
        <v/>
      </c>
      <c r="L1013" s="3" t="inlineStr">
        <is>
          <t>NON SALES</t>
        </is>
      </c>
    </row>
    <row r="1014">
      <c r="A1014" s="5" t="inlineStr">
        <is>
          <t>OP06858</t>
        </is>
      </c>
      <c r="B1014" s="6" t="inlineStr">
        <is>
          <t>Ririn cell</t>
        </is>
      </c>
      <c r="C1014" s="7" t="inlineStr">
        <is>
          <t>A - Agen</t>
        </is>
      </c>
      <c r="D1014" s="1" t="inlineStr">
        <is>
          <t>OP00003</t>
        </is>
      </c>
      <c r="E1014" s="8" t="n">
        <v>45051.07430555556</v>
      </c>
      <c r="F1014" s="7" t="inlineStr">
        <is>
          <t>AGEN</t>
        </is>
      </c>
      <c r="G1014" s="18" t="inlineStr">
        <is>
          <t>OP06858</t>
        </is>
      </c>
      <c r="H1014" s="19">
        <f>UPPER(Table3[[#This Row],[Agen id]]&amp;"-"&amp;VLOOKUP(Table3[[#This Row],[Agen id]],A:B,2,0)&amp;"("&amp;Table3[[#This Row],[Short]]&amp;")")</f>
        <v/>
      </c>
      <c r="J1014" s="7">
        <f>VLOOKUP(Table3[[#This Row],[Agen id]],Agen!A:C,3,0)</f>
        <v/>
      </c>
      <c r="K1014" s="37">
        <f>TRIM(LEFT(Table3[[#This Row],[Group]],2))</f>
        <v/>
      </c>
      <c r="L1014" s="3" t="inlineStr">
        <is>
          <t>NON SALES</t>
        </is>
      </c>
    </row>
    <row r="1015">
      <c r="A1015" s="5" t="inlineStr">
        <is>
          <t>OP06860</t>
        </is>
      </c>
      <c r="B1015" s="6" t="inlineStr">
        <is>
          <t>Windi</t>
        </is>
      </c>
      <c r="C1015" s="7" t="inlineStr">
        <is>
          <t>A - Agen</t>
        </is>
      </c>
      <c r="D1015" s="1" t="inlineStr">
        <is>
          <t>OP00002</t>
        </is>
      </c>
      <c r="E1015" s="8" t="n">
        <v>45051.27986111111</v>
      </c>
      <c r="F1015" s="7" t="inlineStr">
        <is>
          <t>AGEN</t>
        </is>
      </c>
      <c r="G1015" s="18" t="inlineStr">
        <is>
          <t>OP06860</t>
        </is>
      </c>
      <c r="H1015" s="19">
        <f>UPPER(Table3[[#This Row],[Agen id]]&amp;"-"&amp;VLOOKUP(Table3[[#This Row],[Agen id]],A:B,2,0)&amp;"("&amp;Table3[[#This Row],[Short]]&amp;")")</f>
        <v/>
      </c>
      <c r="J1015" s="7">
        <f>VLOOKUP(Table3[[#This Row],[Agen id]],Agen!A:C,3,0)</f>
        <v/>
      </c>
      <c r="K1015" s="37">
        <f>TRIM(LEFT(Table3[[#This Row],[Group]],2))</f>
        <v/>
      </c>
      <c r="L1015" s="3" t="inlineStr">
        <is>
          <t>NON SALES</t>
        </is>
      </c>
    </row>
    <row r="1016">
      <c r="A1016" s="5" t="inlineStr">
        <is>
          <t>OP06862</t>
        </is>
      </c>
      <c r="B1016" s="6" t="inlineStr">
        <is>
          <t>Deazka</t>
        </is>
      </c>
      <c r="C1016" s="7" t="inlineStr">
        <is>
          <t>AV - Agen Verified</t>
        </is>
      </c>
      <c r="D1016" s="1" t="inlineStr">
        <is>
          <t>OP00002</t>
        </is>
      </c>
      <c r="E1016" s="8" t="n">
        <v>45051.34097222222</v>
      </c>
      <c r="F1016" s="7" t="inlineStr">
        <is>
          <t>AGEN</t>
        </is>
      </c>
      <c r="G1016" s="18" t="inlineStr">
        <is>
          <t>OP06862</t>
        </is>
      </c>
      <c r="H1016" s="19">
        <f>UPPER(Table3[[#This Row],[Agen id]]&amp;"-"&amp;VLOOKUP(Table3[[#This Row],[Agen id]],A:B,2,0)&amp;"("&amp;Table3[[#This Row],[Short]]&amp;")")</f>
        <v/>
      </c>
      <c r="J1016" s="7">
        <f>VLOOKUP(Table3[[#This Row],[Agen id]],Agen!A:C,3,0)</f>
        <v/>
      </c>
      <c r="K1016" s="37">
        <f>TRIM(LEFT(Table3[[#This Row],[Group]],2))</f>
        <v/>
      </c>
      <c r="L1016" s="3" t="inlineStr">
        <is>
          <t>NON SALES</t>
        </is>
      </c>
    </row>
    <row r="1017">
      <c r="A1017" s="5" t="inlineStr">
        <is>
          <t>OP06864</t>
        </is>
      </c>
      <c r="B1017" s="6" t="inlineStr">
        <is>
          <t>AGRACALL</t>
        </is>
      </c>
      <c r="C1017" s="7" t="inlineStr">
        <is>
          <t>A - Agen</t>
        </is>
      </c>
      <c r="D1017" s="1" t="inlineStr">
        <is>
          <t>OP00002</t>
        </is>
      </c>
      <c r="E1017" s="8" t="n">
        <v>45051.39097222222</v>
      </c>
      <c r="F1017" s="7" t="inlineStr">
        <is>
          <t>AGEN</t>
        </is>
      </c>
      <c r="G1017" s="18" t="inlineStr">
        <is>
          <t>OP06864</t>
        </is>
      </c>
      <c r="H1017" s="19">
        <f>UPPER(Table3[[#This Row],[Agen id]]&amp;"-"&amp;VLOOKUP(Table3[[#This Row],[Agen id]],A:B,2,0)&amp;"("&amp;Table3[[#This Row],[Short]]&amp;")")</f>
        <v/>
      </c>
      <c r="J1017" s="7">
        <f>VLOOKUP(Table3[[#This Row],[Agen id]],Agen!A:C,3,0)</f>
        <v/>
      </c>
      <c r="K1017" s="37">
        <f>TRIM(LEFT(Table3[[#This Row],[Group]],2))</f>
        <v/>
      </c>
      <c r="L1017" s="3" t="inlineStr">
        <is>
          <t>NON SALES</t>
        </is>
      </c>
    </row>
    <row r="1018">
      <c r="A1018" s="5" t="inlineStr">
        <is>
          <t>OP06874</t>
        </is>
      </c>
      <c r="B1018" s="6" t="inlineStr">
        <is>
          <t>Andi</t>
        </is>
      </c>
      <c r="C1018" s="7" t="inlineStr">
        <is>
          <t>A - Agen</t>
        </is>
      </c>
      <c r="D1018" s="1" t="inlineStr">
        <is>
          <t>OP00002</t>
        </is>
      </c>
      <c r="E1018" s="8" t="n">
        <v>45051.79583333333</v>
      </c>
      <c r="F1018" s="7" t="inlineStr">
        <is>
          <t>AGEN</t>
        </is>
      </c>
      <c r="G1018" s="18" t="inlineStr">
        <is>
          <t>OP06874</t>
        </is>
      </c>
      <c r="H1018" s="19">
        <f>UPPER(Table3[[#This Row],[Agen id]]&amp;"-"&amp;VLOOKUP(Table3[[#This Row],[Agen id]],A:B,2,0)&amp;"("&amp;Table3[[#This Row],[Short]]&amp;")")</f>
        <v/>
      </c>
      <c r="J1018" s="7">
        <f>VLOOKUP(Table3[[#This Row],[Agen id]],Agen!A:C,3,0)</f>
        <v/>
      </c>
      <c r="K1018" s="37">
        <f>TRIM(LEFT(Table3[[#This Row],[Group]],2))</f>
        <v/>
      </c>
      <c r="L1018" s="3" t="inlineStr">
        <is>
          <t>NON SALES</t>
        </is>
      </c>
    </row>
    <row r="1019">
      <c r="A1019" s="5" t="inlineStr">
        <is>
          <t>OP06892</t>
        </is>
      </c>
      <c r="B1019" s="6" t="inlineStr">
        <is>
          <t>Paulus Andri Astanto</t>
        </is>
      </c>
      <c r="C1019" s="7" t="inlineStr">
        <is>
          <t>AV - Agen Verified</t>
        </is>
      </c>
      <c r="D1019" s="1" t="inlineStr">
        <is>
          <t>OP00002</t>
        </is>
      </c>
      <c r="E1019" s="8" t="n">
        <v>45052.74930555555</v>
      </c>
      <c r="F1019" s="7" t="inlineStr">
        <is>
          <t>AGEN</t>
        </is>
      </c>
      <c r="G1019" s="18" t="inlineStr">
        <is>
          <t>OP06892</t>
        </is>
      </c>
      <c r="H1019" s="19">
        <f>UPPER(Table3[[#This Row],[Agen id]]&amp;"-"&amp;VLOOKUP(Table3[[#This Row],[Agen id]],A:B,2,0)&amp;"("&amp;Table3[[#This Row],[Short]]&amp;")")</f>
        <v/>
      </c>
      <c r="J1019" s="7">
        <f>VLOOKUP(Table3[[#This Row],[Agen id]],Agen!A:C,3,0)</f>
        <v/>
      </c>
      <c r="K1019" s="37">
        <f>TRIM(LEFT(Table3[[#This Row],[Group]],2))</f>
        <v/>
      </c>
      <c r="L1019" s="3" t="inlineStr">
        <is>
          <t>NON SALES</t>
        </is>
      </c>
    </row>
    <row r="1020">
      <c r="A1020" s="5" t="inlineStr">
        <is>
          <t>OP06907</t>
        </is>
      </c>
      <c r="B1020" s="6" t="inlineStr">
        <is>
          <t>TIAN CELL</t>
        </is>
      </c>
      <c r="C1020" s="7" t="inlineStr">
        <is>
          <t>AK - Agen Khusus</t>
        </is>
      </c>
      <c r="D1020" s="1" t="inlineStr">
        <is>
          <t>OP06781</t>
        </is>
      </c>
      <c r="E1020" s="8" t="n">
        <v>45053.73472222222</v>
      </c>
      <c r="F1020" s="7" t="inlineStr">
        <is>
          <t>DOWNLINE</t>
        </is>
      </c>
      <c r="G1020" s="18" t="inlineStr">
        <is>
          <t>OP06781</t>
        </is>
      </c>
      <c r="H1020" s="19">
        <f>UPPER(Table3[[#This Row],[Agen id]]&amp;"-"&amp;VLOOKUP(Table3[[#This Row],[Agen id]],A:B,2,0)&amp;"("&amp;Table3[[#This Row],[Short]]&amp;")")</f>
        <v/>
      </c>
      <c r="J1020" s="7">
        <f>VLOOKUP(Table3[[#This Row],[Agen id]],Agen!A:C,3,0)</f>
        <v/>
      </c>
      <c r="K1020" s="37">
        <f>TRIM(LEFT(Table3[[#This Row],[Group]],2))</f>
        <v/>
      </c>
      <c r="L1020" s="3" t="inlineStr">
        <is>
          <t>NON SALES</t>
        </is>
      </c>
    </row>
    <row r="1021">
      <c r="A1021" s="5" t="inlineStr">
        <is>
          <t>OP06909</t>
        </is>
      </c>
      <c r="B1021" s="6" t="inlineStr">
        <is>
          <t>YANTI CELL</t>
        </is>
      </c>
      <c r="C1021" s="7" t="inlineStr">
        <is>
          <t>AK - Agen Khusus</t>
        </is>
      </c>
      <c r="D1021" s="1" t="inlineStr">
        <is>
          <t>OP06781</t>
        </is>
      </c>
      <c r="E1021" s="8" t="n">
        <v>45053.73819444444</v>
      </c>
      <c r="F1021" s="7" t="inlineStr">
        <is>
          <t>DOWNLINE</t>
        </is>
      </c>
      <c r="G1021" s="18" t="inlineStr">
        <is>
          <t>OP06781</t>
        </is>
      </c>
      <c r="H1021" s="19">
        <f>UPPER(Table3[[#This Row],[Agen id]]&amp;"-"&amp;VLOOKUP(Table3[[#This Row],[Agen id]],A:B,2,0)&amp;"("&amp;Table3[[#This Row],[Short]]&amp;")")</f>
        <v/>
      </c>
      <c r="J1021" s="7">
        <f>VLOOKUP(Table3[[#This Row],[Agen id]],Agen!A:C,3,0)</f>
        <v/>
      </c>
      <c r="K1021" s="37">
        <f>TRIM(LEFT(Table3[[#This Row],[Group]],2))</f>
        <v/>
      </c>
      <c r="L1021" s="3" t="inlineStr">
        <is>
          <t>NON SALES</t>
        </is>
      </c>
    </row>
    <row r="1022">
      <c r="A1022" s="5" t="inlineStr">
        <is>
          <t>OP06910</t>
        </is>
      </c>
      <c r="B1022" s="6" t="inlineStr">
        <is>
          <t>ADILA CELL</t>
        </is>
      </c>
      <c r="C1022" s="7" t="inlineStr">
        <is>
          <t>AK - Agen Khusus</t>
        </is>
      </c>
      <c r="D1022" s="1" t="inlineStr">
        <is>
          <t>OP06781</t>
        </is>
      </c>
      <c r="E1022" s="8" t="n">
        <v>45053.73958333334</v>
      </c>
      <c r="F1022" s="7" t="inlineStr">
        <is>
          <t>DOWNLINE</t>
        </is>
      </c>
      <c r="G1022" s="18" t="inlineStr">
        <is>
          <t>OP06781</t>
        </is>
      </c>
      <c r="H1022" s="19">
        <f>UPPER(Table3[[#This Row],[Agen id]]&amp;"-"&amp;VLOOKUP(Table3[[#This Row],[Agen id]],A:B,2,0)&amp;"("&amp;Table3[[#This Row],[Short]]&amp;")")</f>
        <v/>
      </c>
      <c r="J1022" s="7">
        <f>VLOOKUP(Table3[[#This Row],[Agen id]],Agen!A:C,3,0)</f>
        <v/>
      </c>
      <c r="K1022" s="37">
        <f>TRIM(LEFT(Table3[[#This Row],[Group]],2))</f>
        <v/>
      </c>
      <c r="L1022" s="3" t="inlineStr">
        <is>
          <t>NON SALES</t>
        </is>
      </c>
    </row>
    <row r="1023">
      <c r="A1023" s="5" t="inlineStr">
        <is>
          <t>OP06911</t>
        </is>
      </c>
      <c r="B1023" s="6" t="inlineStr">
        <is>
          <t>AINUN CELL</t>
        </is>
      </c>
      <c r="C1023" s="7" t="inlineStr">
        <is>
          <t>AK - Agen Khusus</t>
        </is>
      </c>
      <c r="D1023" s="1" t="inlineStr">
        <is>
          <t>OP06781</t>
        </is>
      </c>
      <c r="E1023" s="8" t="n">
        <v>45053.74027777778</v>
      </c>
      <c r="F1023" s="7" t="inlineStr">
        <is>
          <t>DOWNLINE</t>
        </is>
      </c>
      <c r="G1023" s="18" t="inlineStr">
        <is>
          <t>OP06781</t>
        </is>
      </c>
      <c r="H1023" s="19">
        <f>UPPER(Table3[[#This Row],[Agen id]]&amp;"-"&amp;VLOOKUP(Table3[[#This Row],[Agen id]],A:B,2,0)&amp;"("&amp;Table3[[#This Row],[Short]]&amp;")")</f>
        <v/>
      </c>
      <c r="J1023" s="7">
        <f>VLOOKUP(Table3[[#This Row],[Agen id]],Agen!A:C,3,0)</f>
        <v/>
      </c>
      <c r="K1023" s="37">
        <f>TRIM(LEFT(Table3[[#This Row],[Group]],2))</f>
        <v/>
      </c>
      <c r="L1023" s="3" t="inlineStr">
        <is>
          <t>NON SALES</t>
        </is>
      </c>
    </row>
    <row r="1024">
      <c r="A1024" s="5" t="inlineStr">
        <is>
          <t>OP06912</t>
        </is>
      </c>
      <c r="B1024" s="6" t="inlineStr">
        <is>
          <t>ALVIN CELL</t>
        </is>
      </c>
      <c r="C1024" s="7" t="inlineStr">
        <is>
          <t>AK - Agen Khusus</t>
        </is>
      </c>
      <c r="D1024" s="1" t="inlineStr">
        <is>
          <t>OP06781</t>
        </is>
      </c>
      <c r="E1024" s="8" t="n">
        <v>45053.74097222222</v>
      </c>
      <c r="F1024" s="7" t="inlineStr">
        <is>
          <t>DOWNLINE</t>
        </is>
      </c>
      <c r="G1024" s="18" t="inlineStr">
        <is>
          <t>OP06781</t>
        </is>
      </c>
      <c r="H1024" s="19">
        <f>UPPER(Table3[[#This Row],[Agen id]]&amp;"-"&amp;VLOOKUP(Table3[[#This Row],[Agen id]],A:B,2,0)&amp;"("&amp;Table3[[#This Row],[Short]]&amp;")")</f>
        <v/>
      </c>
      <c r="J1024" s="7">
        <f>VLOOKUP(Table3[[#This Row],[Agen id]],Agen!A:C,3,0)</f>
        <v/>
      </c>
      <c r="K1024" s="37">
        <f>TRIM(LEFT(Table3[[#This Row],[Group]],2))</f>
        <v/>
      </c>
      <c r="L1024" s="3" t="inlineStr">
        <is>
          <t>NON SALES</t>
        </is>
      </c>
    </row>
    <row r="1025">
      <c r="A1025" s="5" t="inlineStr">
        <is>
          <t>OP06913</t>
        </is>
      </c>
      <c r="B1025" s="6" t="inlineStr">
        <is>
          <t>CIWONG CELL</t>
        </is>
      </c>
      <c r="C1025" s="7" t="inlineStr">
        <is>
          <t>AK - Agen Khusus</t>
        </is>
      </c>
      <c r="D1025" s="1" t="inlineStr">
        <is>
          <t>OP06781</t>
        </is>
      </c>
      <c r="E1025" s="8" t="n">
        <v>45053.74166666667</v>
      </c>
      <c r="F1025" s="7" t="inlineStr">
        <is>
          <t>DOWNLINE</t>
        </is>
      </c>
      <c r="G1025" s="18" t="inlineStr">
        <is>
          <t>OP06781</t>
        </is>
      </c>
      <c r="H1025" s="19">
        <f>UPPER(Table3[[#This Row],[Agen id]]&amp;"-"&amp;VLOOKUP(Table3[[#This Row],[Agen id]],A:B,2,0)&amp;"("&amp;Table3[[#This Row],[Short]]&amp;")")</f>
        <v/>
      </c>
      <c r="J1025" s="7">
        <f>VLOOKUP(Table3[[#This Row],[Agen id]],Agen!A:C,3,0)</f>
        <v/>
      </c>
      <c r="K1025" s="37">
        <f>TRIM(LEFT(Table3[[#This Row],[Group]],2))</f>
        <v/>
      </c>
      <c r="L1025" s="3" t="inlineStr">
        <is>
          <t>NON SALES</t>
        </is>
      </c>
    </row>
    <row r="1026">
      <c r="A1026" s="5" t="inlineStr">
        <is>
          <t>OP06914</t>
        </is>
      </c>
      <c r="B1026" s="6" t="inlineStr">
        <is>
          <t>MAYA CELL</t>
        </is>
      </c>
      <c r="C1026" s="7" t="inlineStr">
        <is>
          <t>AK - Agen Khusus</t>
        </is>
      </c>
      <c r="D1026" s="1" t="inlineStr">
        <is>
          <t>OP06781</t>
        </is>
      </c>
      <c r="E1026" s="8" t="n">
        <v>45053.74236111111</v>
      </c>
      <c r="F1026" s="7" t="inlineStr">
        <is>
          <t>DOWNLINE</t>
        </is>
      </c>
      <c r="G1026" s="18" t="inlineStr">
        <is>
          <t>OP06781</t>
        </is>
      </c>
      <c r="H1026" s="19">
        <f>UPPER(Table3[[#This Row],[Agen id]]&amp;"-"&amp;VLOOKUP(Table3[[#This Row],[Agen id]],A:B,2,0)&amp;"("&amp;Table3[[#This Row],[Short]]&amp;")")</f>
        <v/>
      </c>
      <c r="J1026" s="7">
        <f>VLOOKUP(Table3[[#This Row],[Agen id]],Agen!A:C,3,0)</f>
        <v/>
      </c>
      <c r="K1026" s="37">
        <f>TRIM(LEFT(Table3[[#This Row],[Group]],2))</f>
        <v/>
      </c>
      <c r="L1026" s="3" t="inlineStr">
        <is>
          <t>NON SALES</t>
        </is>
      </c>
    </row>
    <row r="1027">
      <c r="A1027" s="5" t="inlineStr">
        <is>
          <t>OP06915</t>
        </is>
      </c>
      <c r="B1027" s="6" t="inlineStr">
        <is>
          <t>ELAH CELL</t>
        </is>
      </c>
      <c r="C1027" s="7" t="inlineStr">
        <is>
          <t>AK - Agen Khusus</t>
        </is>
      </c>
      <c r="D1027" s="1" t="inlineStr">
        <is>
          <t>OP00002</t>
        </is>
      </c>
      <c r="E1027" s="8" t="n">
        <v>45053.74236111111</v>
      </c>
      <c r="F1027" s="7" t="inlineStr">
        <is>
          <t>AGEN</t>
        </is>
      </c>
      <c r="G1027" s="18" t="inlineStr">
        <is>
          <t>OP06915</t>
        </is>
      </c>
      <c r="H1027" s="19">
        <f>UPPER(Table3[[#This Row],[Agen id]]&amp;"-"&amp;VLOOKUP(Table3[[#This Row],[Agen id]],A:B,2,0)&amp;"("&amp;Table3[[#This Row],[Short]]&amp;")")</f>
        <v/>
      </c>
      <c r="J1027" s="7">
        <f>VLOOKUP(Table3[[#This Row],[Agen id]],Agen!A:C,3,0)</f>
        <v/>
      </c>
      <c r="K1027" s="37">
        <f>TRIM(LEFT(Table3[[#This Row],[Group]],2))</f>
        <v/>
      </c>
      <c r="L1027" s="3" t="inlineStr">
        <is>
          <t>NON SALES</t>
        </is>
      </c>
    </row>
    <row r="1028">
      <c r="A1028" s="5" t="inlineStr">
        <is>
          <t>OP06916</t>
        </is>
      </c>
      <c r="B1028" s="6" t="inlineStr">
        <is>
          <t>MANDIRI CELL</t>
        </is>
      </c>
      <c r="C1028" s="7" t="inlineStr">
        <is>
          <t>AK - Agen Khusus</t>
        </is>
      </c>
      <c r="D1028" s="1" t="inlineStr">
        <is>
          <t>OP06781</t>
        </is>
      </c>
      <c r="E1028" s="8" t="n">
        <v>45053.74375</v>
      </c>
      <c r="F1028" s="7" t="inlineStr">
        <is>
          <t>DOWNLINE</t>
        </is>
      </c>
      <c r="G1028" s="18" t="inlineStr">
        <is>
          <t>OP06781</t>
        </is>
      </c>
      <c r="H1028" s="19">
        <f>UPPER(Table3[[#This Row],[Agen id]]&amp;"-"&amp;VLOOKUP(Table3[[#This Row],[Agen id]],A:B,2,0)&amp;"("&amp;Table3[[#This Row],[Short]]&amp;")")</f>
        <v/>
      </c>
      <c r="J1028" s="7">
        <f>VLOOKUP(Table3[[#This Row],[Agen id]],Agen!A:C,3,0)</f>
        <v/>
      </c>
      <c r="K1028" s="37">
        <f>TRIM(LEFT(Table3[[#This Row],[Group]],2))</f>
        <v/>
      </c>
      <c r="L1028" s="3" t="inlineStr">
        <is>
          <t>NON SALES</t>
        </is>
      </c>
    </row>
    <row r="1029">
      <c r="A1029" s="5" t="inlineStr">
        <is>
          <t>OP06931</t>
        </is>
      </c>
      <c r="B1029" s="6" t="inlineStr">
        <is>
          <t>OKDIL SURDING VILIANTO</t>
        </is>
      </c>
      <c r="C1029" s="7" t="inlineStr">
        <is>
          <t>AV - Agen Verified</t>
        </is>
      </c>
      <c r="D1029" s="1" t="inlineStr">
        <is>
          <t>OP00002</t>
        </is>
      </c>
      <c r="E1029" s="8" t="n">
        <v>45054.50277777778</v>
      </c>
      <c r="F1029" s="7" t="inlineStr">
        <is>
          <t>AGEN</t>
        </is>
      </c>
      <c r="G1029" s="18" t="inlineStr">
        <is>
          <t>OP06931</t>
        </is>
      </c>
      <c r="H1029" s="19">
        <f>UPPER(Table3[[#This Row],[Agen id]]&amp;"-"&amp;VLOOKUP(Table3[[#This Row],[Agen id]],A:B,2,0)&amp;"("&amp;Table3[[#This Row],[Short]]&amp;")")</f>
        <v/>
      </c>
      <c r="J1029" s="7">
        <f>VLOOKUP(Table3[[#This Row],[Agen id]],Agen!A:C,3,0)</f>
        <v/>
      </c>
      <c r="K1029" s="37">
        <f>TRIM(LEFT(Table3[[#This Row],[Group]],2))</f>
        <v/>
      </c>
      <c r="L1029" s="3" t="inlineStr">
        <is>
          <t>NON SALES</t>
        </is>
      </c>
    </row>
    <row r="1030">
      <c r="A1030" s="5" t="inlineStr">
        <is>
          <t>OP06938</t>
        </is>
      </c>
      <c r="B1030" s="6" t="inlineStr">
        <is>
          <t>NAZ CELL</t>
        </is>
      </c>
      <c r="C1030" s="7" t="inlineStr">
        <is>
          <t>AK - Agen Khusus</t>
        </is>
      </c>
      <c r="D1030" s="1" t="inlineStr">
        <is>
          <t>OP06781</t>
        </is>
      </c>
      <c r="E1030" s="8" t="n">
        <v>45054.70069444444</v>
      </c>
      <c r="F1030" s="7" t="inlineStr">
        <is>
          <t>DOWNLINE</t>
        </is>
      </c>
      <c r="G1030" s="18" t="inlineStr">
        <is>
          <t>OP06781</t>
        </is>
      </c>
      <c r="H1030" s="19">
        <f>UPPER(Table3[[#This Row],[Agen id]]&amp;"-"&amp;VLOOKUP(Table3[[#This Row],[Agen id]],A:B,2,0)&amp;"("&amp;Table3[[#This Row],[Short]]&amp;")")</f>
        <v/>
      </c>
      <c r="J1030" s="7">
        <f>VLOOKUP(Table3[[#This Row],[Agen id]],Agen!A:C,3,0)</f>
        <v/>
      </c>
      <c r="K1030" s="37">
        <f>TRIM(LEFT(Table3[[#This Row],[Group]],2))</f>
        <v/>
      </c>
      <c r="L1030" s="3" t="inlineStr">
        <is>
          <t>NON SALES</t>
        </is>
      </c>
    </row>
    <row r="1031">
      <c r="A1031" s="5" t="inlineStr">
        <is>
          <t>OP06956</t>
        </is>
      </c>
      <c r="B1031" s="6" t="inlineStr">
        <is>
          <t>ZULFAN - SOFYAN CELL</t>
        </is>
      </c>
      <c r="C1031" s="7" t="inlineStr">
        <is>
          <t>A - Agen</t>
        </is>
      </c>
      <c r="D1031" s="1" t="inlineStr">
        <is>
          <t>OP06781</t>
        </is>
      </c>
      <c r="E1031" s="8" t="n">
        <v>45055.74791666667</v>
      </c>
      <c r="F1031" s="7" t="inlineStr">
        <is>
          <t>DOWNLINE</t>
        </is>
      </c>
      <c r="G1031" s="18" t="inlineStr">
        <is>
          <t>OP06781</t>
        </is>
      </c>
      <c r="H1031" s="19">
        <f>UPPER(Table3[[#This Row],[Agen id]]&amp;"-"&amp;VLOOKUP(Table3[[#This Row],[Agen id]],A:B,2,0)&amp;"("&amp;Table3[[#This Row],[Short]]&amp;")")</f>
        <v/>
      </c>
      <c r="J1031" s="7">
        <f>VLOOKUP(Table3[[#This Row],[Agen id]],Agen!A:C,3,0)</f>
        <v/>
      </c>
      <c r="K1031" s="37">
        <f>TRIM(LEFT(Table3[[#This Row],[Group]],2))</f>
        <v/>
      </c>
      <c r="L1031" s="3" t="inlineStr">
        <is>
          <t>NON SALES</t>
        </is>
      </c>
    </row>
    <row r="1032">
      <c r="A1032" s="5" t="inlineStr">
        <is>
          <t>OP06957</t>
        </is>
      </c>
      <c r="B1032" s="6" t="inlineStr">
        <is>
          <t>Yurismile</t>
        </is>
      </c>
      <c r="C1032" s="7" t="inlineStr">
        <is>
          <t>AV - Agen Verified</t>
        </is>
      </c>
      <c r="D1032" s="1" t="inlineStr">
        <is>
          <t>OP00002</t>
        </is>
      </c>
      <c r="E1032" s="8" t="n">
        <v>45056.26527777778</v>
      </c>
      <c r="F1032" s="7" t="inlineStr">
        <is>
          <t>AGEN</t>
        </is>
      </c>
      <c r="G1032" s="18" t="inlineStr">
        <is>
          <t>OP06957</t>
        </is>
      </c>
      <c r="H1032" s="19">
        <f>UPPER(Table3[[#This Row],[Agen id]]&amp;"-"&amp;VLOOKUP(Table3[[#This Row],[Agen id]],A:B,2,0)&amp;"("&amp;Table3[[#This Row],[Short]]&amp;")")</f>
        <v/>
      </c>
      <c r="J1032" s="7">
        <f>VLOOKUP(Table3[[#This Row],[Agen id]],Agen!A:C,3,0)</f>
        <v/>
      </c>
      <c r="K1032" s="37">
        <f>TRIM(LEFT(Table3[[#This Row],[Group]],2))</f>
        <v/>
      </c>
      <c r="L1032" s="3" t="inlineStr">
        <is>
          <t>NON SALES</t>
        </is>
      </c>
    </row>
    <row r="1033">
      <c r="A1033" s="5" t="inlineStr">
        <is>
          <t>OP06958</t>
        </is>
      </c>
      <c r="B1033" s="6" t="inlineStr">
        <is>
          <t>Ahmad Masrobi</t>
        </is>
      </c>
      <c r="C1033" s="7" t="inlineStr">
        <is>
          <t>A - Agen</t>
        </is>
      </c>
      <c r="D1033" s="1" t="inlineStr">
        <is>
          <t>OP00002</t>
        </is>
      </c>
      <c r="E1033" s="8" t="n">
        <v>45056.36805555555</v>
      </c>
      <c r="F1033" s="7" t="inlineStr">
        <is>
          <t>AGEN</t>
        </is>
      </c>
      <c r="G1033" s="18" t="inlineStr">
        <is>
          <t>OP06958</t>
        </is>
      </c>
      <c r="H1033" s="19">
        <f>UPPER(Table3[[#This Row],[Agen id]]&amp;"-"&amp;VLOOKUP(Table3[[#This Row],[Agen id]],A:B,2,0)&amp;"("&amp;Table3[[#This Row],[Short]]&amp;")")</f>
        <v/>
      </c>
      <c r="J1033" s="7">
        <f>VLOOKUP(Table3[[#This Row],[Agen id]],Agen!A:C,3,0)</f>
        <v/>
      </c>
      <c r="K1033" s="37">
        <f>TRIM(LEFT(Table3[[#This Row],[Group]],2))</f>
        <v/>
      </c>
      <c r="L1033" s="3" t="inlineStr">
        <is>
          <t>NON SALES</t>
        </is>
      </c>
    </row>
    <row r="1034">
      <c r="A1034" s="5" t="inlineStr">
        <is>
          <t>OP06972</t>
        </is>
      </c>
      <c r="B1034" s="6" t="inlineStr">
        <is>
          <t>Barokah Cell</t>
        </is>
      </c>
      <c r="C1034" s="7" t="inlineStr">
        <is>
          <t>AV - Agen Verified</t>
        </is>
      </c>
      <c r="D1034" s="1" t="inlineStr">
        <is>
          <t>OP00002</t>
        </is>
      </c>
      <c r="E1034" s="8" t="n">
        <v>45056.9625</v>
      </c>
      <c r="F1034" s="7" t="inlineStr">
        <is>
          <t>AGEN</t>
        </is>
      </c>
      <c r="G1034" s="18" t="inlineStr">
        <is>
          <t>OP06972</t>
        </is>
      </c>
      <c r="H1034" s="19">
        <f>UPPER(Table3[[#This Row],[Agen id]]&amp;"-"&amp;VLOOKUP(Table3[[#This Row],[Agen id]],A:B,2,0)&amp;"("&amp;Table3[[#This Row],[Short]]&amp;")")</f>
        <v/>
      </c>
      <c r="J1034" s="7">
        <f>VLOOKUP(Table3[[#This Row],[Agen id]],Agen!A:C,3,0)</f>
        <v/>
      </c>
      <c r="K1034" s="37">
        <f>TRIM(LEFT(Table3[[#This Row],[Group]],2))</f>
        <v/>
      </c>
      <c r="L1034" s="3" t="inlineStr">
        <is>
          <t>NON SALES</t>
        </is>
      </c>
    </row>
    <row r="1035">
      <c r="A1035" s="5" t="inlineStr">
        <is>
          <t>OP06973</t>
        </is>
      </c>
      <c r="B1035" s="6" t="inlineStr">
        <is>
          <t>Riska Badar</t>
        </is>
      </c>
      <c r="C1035" s="7" t="inlineStr">
        <is>
          <t>AV - Agen Verified</t>
        </is>
      </c>
      <c r="D1035" s="1" t="inlineStr">
        <is>
          <t>OP00002</t>
        </is>
      </c>
      <c r="E1035" s="8" t="n">
        <v>45056.96527777778</v>
      </c>
      <c r="F1035" s="7" t="inlineStr">
        <is>
          <t>AGEN</t>
        </is>
      </c>
      <c r="G1035" s="18" t="inlineStr">
        <is>
          <t>OP06973</t>
        </is>
      </c>
      <c r="H1035" s="19">
        <f>UPPER(Table3[[#This Row],[Agen id]]&amp;"-"&amp;VLOOKUP(Table3[[#This Row],[Agen id]],A:B,2,0)&amp;"("&amp;Table3[[#This Row],[Short]]&amp;")")</f>
        <v/>
      </c>
      <c r="J1035" s="7">
        <f>VLOOKUP(Table3[[#This Row],[Agen id]],Agen!A:C,3,0)</f>
        <v/>
      </c>
      <c r="K1035" s="37">
        <f>TRIM(LEFT(Table3[[#This Row],[Group]],2))</f>
        <v/>
      </c>
      <c r="L1035" s="3" t="inlineStr">
        <is>
          <t>NON SALES</t>
        </is>
      </c>
    </row>
    <row r="1036">
      <c r="A1036" s="5" t="inlineStr">
        <is>
          <t>OP06984</t>
        </is>
      </c>
      <c r="B1036" s="6" t="inlineStr">
        <is>
          <t>ALVIAN CELL</t>
        </is>
      </c>
      <c r="C1036" s="7" t="inlineStr">
        <is>
          <t>A - Agen</t>
        </is>
      </c>
      <c r="D1036" s="1" t="inlineStr">
        <is>
          <t>OP00002</t>
        </is>
      </c>
      <c r="E1036" s="8" t="n">
        <v>45057.70277777778</v>
      </c>
      <c r="F1036" s="7" t="inlineStr">
        <is>
          <t>AGEN</t>
        </is>
      </c>
      <c r="G1036" s="18" t="inlineStr">
        <is>
          <t>OP06984</t>
        </is>
      </c>
      <c r="H1036" s="19">
        <f>UPPER(Table3[[#This Row],[Agen id]]&amp;"-"&amp;VLOOKUP(Table3[[#This Row],[Agen id]],A:B,2,0)&amp;"("&amp;Table3[[#This Row],[Short]]&amp;")")</f>
        <v/>
      </c>
      <c r="J1036" s="7">
        <f>VLOOKUP(Table3[[#This Row],[Agen id]],Agen!A:C,3,0)</f>
        <v/>
      </c>
      <c r="K1036" s="37">
        <f>TRIM(LEFT(Table3[[#This Row],[Group]],2))</f>
        <v/>
      </c>
      <c r="L1036" s="3" t="inlineStr">
        <is>
          <t>NON SALES</t>
        </is>
      </c>
    </row>
    <row r="1037">
      <c r="A1037" s="5" t="inlineStr">
        <is>
          <t>OP06988</t>
        </is>
      </c>
      <c r="B1037" s="6" t="inlineStr">
        <is>
          <t>AGUS CELL</t>
        </is>
      </c>
      <c r="C1037" s="7" t="inlineStr">
        <is>
          <t>AK - Agen Khusus</t>
        </is>
      </c>
      <c r="D1037" s="1" t="inlineStr">
        <is>
          <t>OP06781</t>
        </is>
      </c>
      <c r="E1037" s="8" t="n">
        <v>45057.82638888889</v>
      </c>
      <c r="F1037" s="7" t="inlineStr">
        <is>
          <t>DOWNLINE</t>
        </is>
      </c>
      <c r="G1037" s="18" t="inlineStr">
        <is>
          <t>OP06781</t>
        </is>
      </c>
      <c r="H1037" s="19">
        <f>UPPER(Table3[[#This Row],[Agen id]]&amp;"-"&amp;VLOOKUP(Table3[[#This Row],[Agen id]],A:B,2,0)&amp;"("&amp;Table3[[#This Row],[Short]]&amp;")")</f>
        <v/>
      </c>
      <c r="J1037" s="7">
        <f>VLOOKUP(Table3[[#This Row],[Agen id]],Agen!A:C,3,0)</f>
        <v/>
      </c>
      <c r="K1037" s="37">
        <f>TRIM(LEFT(Table3[[#This Row],[Group]],2))</f>
        <v/>
      </c>
      <c r="L1037" s="3" t="inlineStr">
        <is>
          <t>NON SALES</t>
        </is>
      </c>
    </row>
    <row r="1038">
      <c r="A1038" s="5" t="inlineStr">
        <is>
          <t>OP06991</t>
        </is>
      </c>
      <c r="B1038" s="6" t="inlineStr">
        <is>
          <t>FashaJaxa Cell</t>
        </is>
      </c>
      <c r="C1038" s="7" t="inlineStr">
        <is>
          <t>AV - Agen Verified</t>
        </is>
      </c>
      <c r="D1038" s="1" t="inlineStr">
        <is>
          <t>OP00002</t>
        </is>
      </c>
      <c r="E1038" s="8" t="n">
        <v>45057.84444444445</v>
      </c>
      <c r="F1038" s="7" t="inlineStr">
        <is>
          <t>AGEN</t>
        </is>
      </c>
      <c r="G1038" s="18" t="inlineStr">
        <is>
          <t>OP06991</t>
        </is>
      </c>
      <c r="H1038" s="19">
        <f>UPPER(Table3[[#This Row],[Agen id]]&amp;"-"&amp;VLOOKUP(Table3[[#This Row],[Agen id]],A:B,2,0)&amp;"("&amp;Table3[[#This Row],[Short]]&amp;")")</f>
        <v/>
      </c>
      <c r="J1038" s="7">
        <f>VLOOKUP(Table3[[#This Row],[Agen id]],Agen!A:C,3,0)</f>
        <v/>
      </c>
      <c r="K1038" s="37">
        <f>TRIM(LEFT(Table3[[#This Row],[Group]],2))</f>
        <v/>
      </c>
      <c r="L1038" s="3" t="inlineStr">
        <is>
          <t>NON SALES</t>
        </is>
      </c>
    </row>
    <row r="1039">
      <c r="A1039" s="5" t="inlineStr">
        <is>
          <t>OP07001</t>
        </is>
      </c>
      <c r="B1039" s="6" t="inlineStr">
        <is>
          <t>elis anjani</t>
        </is>
      </c>
      <c r="C1039" s="7" t="inlineStr">
        <is>
          <t>A - Agen</t>
        </is>
      </c>
      <c r="D1039" s="1" t="inlineStr">
        <is>
          <t>OP00002</t>
        </is>
      </c>
      <c r="E1039" s="8" t="n">
        <v>45058.44444444445</v>
      </c>
      <c r="F1039" s="7" t="inlineStr">
        <is>
          <t>AGEN</t>
        </is>
      </c>
      <c r="G1039" s="18" t="inlineStr">
        <is>
          <t>OP07001</t>
        </is>
      </c>
      <c r="H1039" s="19">
        <f>UPPER(Table3[[#This Row],[Agen id]]&amp;"-"&amp;VLOOKUP(Table3[[#This Row],[Agen id]],A:B,2,0)&amp;"("&amp;Table3[[#This Row],[Short]]&amp;")")</f>
        <v/>
      </c>
      <c r="J1039" s="7">
        <f>VLOOKUP(Table3[[#This Row],[Agen id]],Agen!A:C,3,0)</f>
        <v/>
      </c>
      <c r="K1039" s="37">
        <f>TRIM(LEFT(Table3[[#This Row],[Group]],2))</f>
        <v/>
      </c>
      <c r="L1039" s="3" t="inlineStr">
        <is>
          <t>NON SALES</t>
        </is>
      </c>
    </row>
    <row r="1040">
      <c r="A1040" s="5" t="inlineStr">
        <is>
          <t>OP07011</t>
        </is>
      </c>
      <c r="B1040" s="6" t="inlineStr">
        <is>
          <t>Andre Bagus Prasetyo</t>
        </is>
      </c>
      <c r="C1040" s="7" t="inlineStr">
        <is>
          <t>A - Agen</t>
        </is>
      </c>
      <c r="D1040" s="1" t="inlineStr">
        <is>
          <t>OP00002</t>
        </is>
      </c>
      <c r="E1040" s="8" t="n">
        <v>45058.57013888889</v>
      </c>
      <c r="F1040" s="7" t="inlineStr">
        <is>
          <t>AGEN</t>
        </is>
      </c>
      <c r="G1040" s="18" t="inlineStr">
        <is>
          <t>OP07011</t>
        </is>
      </c>
      <c r="H1040" s="19">
        <f>UPPER(Table3[[#This Row],[Agen id]]&amp;"-"&amp;VLOOKUP(Table3[[#This Row],[Agen id]],A:B,2,0)&amp;"("&amp;Table3[[#This Row],[Short]]&amp;")")</f>
        <v/>
      </c>
      <c r="J1040" s="7">
        <f>VLOOKUP(Table3[[#This Row],[Agen id]],Agen!A:C,3,0)</f>
        <v/>
      </c>
      <c r="K1040" s="37">
        <f>TRIM(LEFT(Table3[[#This Row],[Group]],2))</f>
        <v/>
      </c>
      <c r="L1040" s="3" t="inlineStr">
        <is>
          <t>NON SALES</t>
        </is>
      </c>
    </row>
    <row r="1041">
      <c r="A1041" s="5" t="inlineStr">
        <is>
          <t>OP07012</t>
        </is>
      </c>
      <c r="B1041" s="6" t="inlineStr">
        <is>
          <t>SANIH - CELL</t>
        </is>
      </c>
      <c r="C1041" s="7" t="inlineStr">
        <is>
          <t>A - Agen</t>
        </is>
      </c>
      <c r="D1041" s="1" t="inlineStr">
        <is>
          <t>OP00002</t>
        </is>
      </c>
      <c r="E1041" s="8" t="n">
        <v>45058.57013888889</v>
      </c>
      <c r="F1041" s="7" t="inlineStr">
        <is>
          <t>AGEN</t>
        </is>
      </c>
      <c r="G1041" s="18" t="inlineStr">
        <is>
          <t>OP07012</t>
        </is>
      </c>
      <c r="H1041" s="19">
        <f>UPPER(Table3[[#This Row],[Agen id]]&amp;"-"&amp;VLOOKUP(Table3[[#This Row],[Agen id]],A:B,2,0)&amp;"("&amp;Table3[[#This Row],[Short]]&amp;")")</f>
        <v/>
      </c>
      <c r="J1041" s="7">
        <f>VLOOKUP(Table3[[#This Row],[Agen id]],Agen!A:C,3,0)</f>
        <v/>
      </c>
      <c r="K1041" s="37">
        <f>TRIM(LEFT(Table3[[#This Row],[Group]],2))</f>
        <v/>
      </c>
      <c r="L1041" s="3" t="inlineStr">
        <is>
          <t>NON SALES</t>
        </is>
      </c>
    </row>
    <row r="1042">
      <c r="A1042" s="5" t="inlineStr">
        <is>
          <t>OP07015</t>
        </is>
      </c>
      <c r="B1042" s="6" t="inlineStr">
        <is>
          <t>Tiwi</t>
        </is>
      </c>
      <c r="C1042" s="7" t="inlineStr">
        <is>
          <t>A - Agen</t>
        </is>
      </c>
      <c r="D1042" s="1" t="inlineStr">
        <is>
          <t>OP00002</t>
        </is>
      </c>
      <c r="E1042" s="8" t="n">
        <v>45058.60486111111</v>
      </c>
      <c r="F1042" s="7" t="inlineStr">
        <is>
          <t>AGEN</t>
        </is>
      </c>
      <c r="G1042" s="18" t="inlineStr">
        <is>
          <t>OP07015</t>
        </is>
      </c>
      <c r="H1042" s="19">
        <f>UPPER(Table3[[#This Row],[Agen id]]&amp;"-"&amp;VLOOKUP(Table3[[#This Row],[Agen id]],A:B,2,0)&amp;"("&amp;Table3[[#This Row],[Short]]&amp;")")</f>
        <v/>
      </c>
      <c r="J1042" s="7">
        <f>VLOOKUP(Table3[[#This Row],[Agen id]],Agen!A:C,3,0)</f>
        <v/>
      </c>
      <c r="K1042" s="37">
        <f>TRIM(LEFT(Table3[[#This Row],[Group]],2))</f>
        <v/>
      </c>
      <c r="L1042" s="3" t="inlineStr">
        <is>
          <t>NON SALES</t>
        </is>
      </c>
    </row>
    <row r="1043">
      <c r="A1043" s="5" t="inlineStr">
        <is>
          <t>OP07026</t>
        </is>
      </c>
      <c r="B1043" s="6" t="inlineStr">
        <is>
          <t>Sultan</t>
        </is>
      </c>
      <c r="C1043" s="7" t="inlineStr">
        <is>
          <t>A - Agen</t>
        </is>
      </c>
      <c r="D1043" s="1" t="inlineStr">
        <is>
          <t>OP00002</t>
        </is>
      </c>
      <c r="E1043" s="8" t="n">
        <v>45058.77361111111</v>
      </c>
      <c r="F1043" s="7" t="inlineStr">
        <is>
          <t>AGEN</t>
        </is>
      </c>
      <c r="G1043" s="18" t="inlineStr">
        <is>
          <t>OP07026</t>
        </is>
      </c>
      <c r="H1043" s="19">
        <f>UPPER(Table3[[#This Row],[Agen id]]&amp;"-"&amp;VLOOKUP(Table3[[#This Row],[Agen id]],A:B,2,0)&amp;"("&amp;Table3[[#This Row],[Short]]&amp;")")</f>
        <v/>
      </c>
      <c r="J1043" s="7">
        <f>VLOOKUP(Table3[[#This Row],[Agen id]],Agen!A:C,3,0)</f>
        <v/>
      </c>
      <c r="K1043" s="37">
        <f>TRIM(LEFT(Table3[[#This Row],[Group]],2))</f>
        <v/>
      </c>
      <c r="L1043" s="3" t="inlineStr">
        <is>
          <t>NON SALES</t>
        </is>
      </c>
    </row>
    <row r="1044">
      <c r="A1044" s="5" t="inlineStr">
        <is>
          <t>OP07028</t>
        </is>
      </c>
      <c r="B1044" s="6" t="inlineStr">
        <is>
          <t>Iwan Cell</t>
        </is>
      </c>
      <c r="C1044" s="7" t="inlineStr">
        <is>
          <t>A - Agen</t>
        </is>
      </c>
      <c r="D1044" s="1" t="inlineStr">
        <is>
          <t>OP00002</t>
        </is>
      </c>
      <c r="E1044" s="8" t="n">
        <v>45058.92916666667</v>
      </c>
      <c r="F1044" s="7" t="inlineStr">
        <is>
          <t>AGEN</t>
        </is>
      </c>
      <c r="G1044" s="18" t="inlineStr">
        <is>
          <t>OP07028</t>
        </is>
      </c>
      <c r="H1044" s="19">
        <f>UPPER(Table3[[#This Row],[Agen id]]&amp;"-"&amp;VLOOKUP(Table3[[#This Row],[Agen id]],A:B,2,0)&amp;"("&amp;Table3[[#This Row],[Short]]&amp;")")</f>
        <v/>
      </c>
      <c r="J1044" s="7">
        <f>VLOOKUP(Table3[[#This Row],[Agen id]],Agen!A:C,3,0)</f>
        <v/>
      </c>
      <c r="K1044" s="37">
        <f>TRIM(LEFT(Table3[[#This Row],[Group]],2))</f>
        <v/>
      </c>
      <c r="L1044" s="3" t="inlineStr">
        <is>
          <t>NON SALES</t>
        </is>
      </c>
    </row>
    <row r="1045">
      <c r="A1045" s="5" t="inlineStr">
        <is>
          <t>OP07037</t>
        </is>
      </c>
      <c r="B1045" s="6" t="inlineStr">
        <is>
          <t>Hurotul aini</t>
        </is>
      </c>
      <c r="C1045" s="7" t="inlineStr">
        <is>
          <t>A - Agen</t>
        </is>
      </c>
      <c r="D1045" s="1" t="inlineStr">
        <is>
          <t>OP00002</t>
        </is>
      </c>
      <c r="E1045" s="8" t="n">
        <v>45059.36180555556</v>
      </c>
      <c r="F1045" s="7" t="inlineStr">
        <is>
          <t>AGEN</t>
        </is>
      </c>
      <c r="G1045" s="18" t="inlineStr">
        <is>
          <t>OP07037</t>
        </is>
      </c>
      <c r="H1045" s="19">
        <f>UPPER(Table3[[#This Row],[Agen id]]&amp;"-"&amp;VLOOKUP(Table3[[#This Row],[Agen id]],A:B,2,0)&amp;"("&amp;Table3[[#This Row],[Short]]&amp;")")</f>
        <v/>
      </c>
      <c r="J1045" s="7">
        <f>VLOOKUP(Table3[[#This Row],[Agen id]],Agen!A:C,3,0)</f>
        <v/>
      </c>
      <c r="K1045" s="37">
        <f>TRIM(LEFT(Table3[[#This Row],[Group]],2))</f>
        <v/>
      </c>
      <c r="L1045" s="3" t="inlineStr">
        <is>
          <t>NON SALES</t>
        </is>
      </c>
    </row>
    <row r="1046">
      <c r="A1046" s="5" t="inlineStr">
        <is>
          <t>OP07048</t>
        </is>
      </c>
      <c r="B1046" s="6" t="inlineStr">
        <is>
          <t>ADHY CELL</t>
        </is>
      </c>
      <c r="C1046" s="7" t="inlineStr">
        <is>
          <t>A - Agen</t>
        </is>
      </c>
      <c r="D1046" s="1" t="inlineStr">
        <is>
          <t>OP07028</t>
        </is>
      </c>
      <c r="E1046" s="8" t="n">
        <v>45059.67083333333</v>
      </c>
      <c r="F1046" s="7" t="inlineStr">
        <is>
          <t>DOWNLINE</t>
        </is>
      </c>
      <c r="G1046" s="18" t="inlineStr">
        <is>
          <t>OP07028</t>
        </is>
      </c>
      <c r="H1046" s="19">
        <f>UPPER(Table3[[#This Row],[Agen id]]&amp;"-"&amp;VLOOKUP(Table3[[#This Row],[Agen id]],A:B,2,0)&amp;"("&amp;Table3[[#This Row],[Short]]&amp;")")</f>
        <v/>
      </c>
      <c r="J1046" s="7">
        <f>VLOOKUP(Table3[[#This Row],[Agen id]],Agen!A:C,3,0)</f>
        <v/>
      </c>
      <c r="K1046" s="37">
        <f>TRIM(LEFT(Table3[[#This Row],[Group]],2))</f>
        <v/>
      </c>
      <c r="L1046" s="3" t="inlineStr">
        <is>
          <t>NON SALES</t>
        </is>
      </c>
    </row>
    <row r="1047">
      <c r="A1047" s="5" t="inlineStr">
        <is>
          <t>OP07058</t>
        </is>
      </c>
      <c r="B1047" s="6" t="inlineStr">
        <is>
          <t>MINCUS CELL</t>
        </is>
      </c>
      <c r="C1047" s="7" t="inlineStr">
        <is>
          <t>A - Agen</t>
        </is>
      </c>
      <c r="D1047" s="1" t="inlineStr">
        <is>
          <t>OP00002</t>
        </is>
      </c>
      <c r="E1047" s="8" t="n">
        <v>45060.11875</v>
      </c>
      <c r="F1047" s="7" t="inlineStr">
        <is>
          <t>AGEN</t>
        </is>
      </c>
      <c r="G1047" s="18" t="inlineStr">
        <is>
          <t>OP07058</t>
        </is>
      </c>
      <c r="H1047" s="19">
        <f>UPPER(Table3[[#This Row],[Agen id]]&amp;"-"&amp;VLOOKUP(Table3[[#This Row],[Agen id]],A:B,2,0)&amp;"("&amp;Table3[[#This Row],[Short]]&amp;")")</f>
        <v/>
      </c>
      <c r="J1047" s="7">
        <f>VLOOKUP(Table3[[#This Row],[Agen id]],Agen!A:C,3,0)</f>
        <v/>
      </c>
      <c r="K1047" s="37">
        <f>TRIM(LEFT(Table3[[#This Row],[Group]],2))</f>
        <v/>
      </c>
      <c r="L1047" s="3" t="inlineStr">
        <is>
          <t>NON SALES</t>
        </is>
      </c>
    </row>
    <row r="1048">
      <c r="A1048" s="5" t="inlineStr">
        <is>
          <t>OP07070</t>
        </is>
      </c>
      <c r="B1048" s="6" t="inlineStr">
        <is>
          <t>LULU - CELL</t>
        </is>
      </c>
      <c r="C1048" s="7" t="inlineStr">
        <is>
          <t>A - Agen</t>
        </is>
      </c>
      <c r="D1048" s="1" t="inlineStr">
        <is>
          <t>OP00002</t>
        </is>
      </c>
      <c r="E1048" s="8" t="n">
        <v>45060.82430555556</v>
      </c>
      <c r="F1048" s="7" t="inlineStr">
        <is>
          <t>AGEN</t>
        </is>
      </c>
      <c r="G1048" s="18" t="inlineStr">
        <is>
          <t>OP07070</t>
        </is>
      </c>
      <c r="H1048" s="19">
        <f>UPPER(Table3[[#This Row],[Agen id]]&amp;"-"&amp;VLOOKUP(Table3[[#This Row],[Agen id]],A:B,2,0)&amp;"("&amp;Table3[[#This Row],[Short]]&amp;")")</f>
        <v/>
      </c>
      <c r="J1048" s="7">
        <f>VLOOKUP(Table3[[#This Row],[Agen id]],Agen!A:C,3,0)</f>
        <v/>
      </c>
      <c r="K1048" s="37">
        <f>TRIM(LEFT(Table3[[#This Row],[Group]],2))</f>
        <v/>
      </c>
      <c r="L1048" s="3" t="inlineStr">
        <is>
          <t>NON SALES</t>
        </is>
      </c>
    </row>
    <row r="1049">
      <c r="A1049" s="5" t="inlineStr">
        <is>
          <t>OP07075</t>
        </is>
      </c>
      <c r="B1049" s="6" t="inlineStr">
        <is>
          <t>PT OKI VARITA DIGITAL</t>
        </is>
      </c>
      <c r="C1049" s="7" t="inlineStr">
        <is>
          <t>AV - Agen Verified</t>
        </is>
      </c>
      <c r="D1049" s="1" t="inlineStr">
        <is>
          <t>OP00002</t>
        </is>
      </c>
      <c r="E1049" s="8" t="n">
        <v>45061.09722222222</v>
      </c>
      <c r="F1049" s="7" t="inlineStr">
        <is>
          <t>AGEN</t>
        </is>
      </c>
      <c r="G1049" s="18" t="inlineStr">
        <is>
          <t>OP07075</t>
        </is>
      </c>
      <c r="H1049" s="19">
        <f>UPPER(Table3[[#This Row],[Agen id]]&amp;"-"&amp;VLOOKUP(Table3[[#This Row],[Agen id]],A:B,2,0)&amp;"("&amp;Table3[[#This Row],[Short]]&amp;")")</f>
        <v/>
      </c>
      <c r="J1049" s="7">
        <f>VLOOKUP(Table3[[#This Row],[Agen id]],Agen!A:C,3,0)</f>
        <v/>
      </c>
      <c r="K1049" s="37">
        <f>TRIM(LEFT(Table3[[#This Row],[Group]],2))</f>
        <v/>
      </c>
      <c r="L1049" s="3" t="inlineStr">
        <is>
          <t>NON SALES</t>
        </is>
      </c>
    </row>
    <row r="1050">
      <c r="A1050" s="5" t="inlineStr">
        <is>
          <t>OP07079</t>
        </is>
      </c>
      <c r="B1050" s="6" t="inlineStr">
        <is>
          <t>Mulyadi</t>
        </is>
      </c>
      <c r="C1050" s="7" t="inlineStr">
        <is>
          <t>AT1 - Agen Tangerang</t>
        </is>
      </c>
      <c r="D1050" s="1" t="inlineStr">
        <is>
          <t>OP00002</t>
        </is>
      </c>
      <c r="E1050" s="8" t="n">
        <v>45061.31666666667</v>
      </c>
      <c r="F1050" s="7" t="inlineStr">
        <is>
          <t>AGEN</t>
        </is>
      </c>
      <c r="G1050" s="18" t="inlineStr">
        <is>
          <t>OP07079</t>
        </is>
      </c>
      <c r="H1050" s="19">
        <f>UPPER(Table3[[#This Row],[Agen id]]&amp;"-"&amp;VLOOKUP(Table3[[#This Row],[Agen id]],A:B,2,0)&amp;"("&amp;Table3[[#This Row],[Short]]&amp;")")</f>
        <v/>
      </c>
      <c r="J1050" s="7">
        <f>VLOOKUP(Table3[[#This Row],[Agen id]],Agen!A:C,3,0)</f>
        <v/>
      </c>
      <c r="K1050" s="37">
        <f>TRIM(LEFT(Table3[[#This Row],[Group]],2))</f>
        <v/>
      </c>
      <c r="L1050" s="3" t="inlineStr">
        <is>
          <t>NON SALES</t>
        </is>
      </c>
    </row>
    <row r="1051">
      <c r="A1051" s="5" t="inlineStr">
        <is>
          <t>OP07081</t>
        </is>
      </c>
      <c r="B1051" s="6" t="inlineStr">
        <is>
          <t>Wiwitwijayanti</t>
        </is>
      </c>
      <c r="C1051" s="7" t="inlineStr">
        <is>
          <t>A - Agen</t>
        </is>
      </c>
      <c r="D1051" s="1" t="inlineStr">
        <is>
          <t>OP03000</t>
        </is>
      </c>
      <c r="E1051" s="8" t="n">
        <v>45061.51875</v>
      </c>
      <c r="F1051" s="7" t="inlineStr">
        <is>
          <t>DOWNLINE</t>
        </is>
      </c>
      <c r="G1051" s="18" t="inlineStr">
        <is>
          <t>OP00996</t>
        </is>
      </c>
      <c r="H1051" s="19">
        <f>UPPER(Table3[[#This Row],[Agen id]]&amp;"-"&amp;VLOOKUP(Table3[[#This Row],[Agen id]],A:B,2,0)&amp;"("&amp;Table3[[#This Row],[Short]]&amp;")")</f>
        <v/>
      </c>
      <c r="J1051" s="7">
        <f>VLOOKUP(Table3[[#This Row],[Agen id]],Agen!A:C,3,0)</f>
        <v/>
      </c>
      <c r="K1051" s="37">
        <f>TRIM(LEFT(Table3[[#This Row],[Group]],2))</f>
        <v/>
      </c>
      <c r="L1051" s="3" t="inlineStr">
        <is>
          <t>NON SALES</t>
        </is>
      </c>
    </row>
    <row r="1052">
      <c r="A1052" s="5" t="inlineStr">
        <is>
          <t>OP07082</t>
        </is>
      </c>
      <c r="B1052" s="6" t="inlineStr">
        <is>
          <t>WAHWAR CELL</t>
        </is>
      </c>
      <c r="C1052" s="7" t="inlineStr">
        <is>
          <t>AK - Agen Khusus</t>
        </is>
      </c>
      <c r="D1052" s="1" t="inlineStr">
        <is>
          <t>OP06781</t>
        </is>
      </c>
      <c r="E1052" s="8" t="n">
        <v>45061.70972222222</v>
      </c>
      <c r="F1052" s="7" t="inlineStr">
        <is>
          <t>DOWNLINE</t>
        </is>
      </c>
      <c r="G1052" s="18" t="inlineStr">
        <is>
          <t>OP06781</t>
        </is>
      </c>
      <c r="H1052" s="19">
        <f>UPPER(Table3[[#This Row],[Agen id]]&amp;"-"&amp;VLOOKUP(Table3[[#This Row],[Agen id]],A:B,2,0)&amp;"("&amp;Table3[[#This Row],[Short]]&amp;")")</f>
        <v/>
      </c>
      <c r="J1052" s="7">
        <f>VLOOKUP(Table3[[#This Row],[Agen id]],Agen!A:C,3,0)</f>
        <v/>
      </c>
      <c r="K1052" s="37">
        <f>TRIM(LEFT(Table3[[#This Row],[Group]],2))</f>
        <v/>
      </c>
      <c r="L1052" s="3" t="inlineStr">
        <is>
          <t>NON SALES</t>
        </is>
      </c>
    </row>
    <row r="1053">
      <c r="A1053" s="5" t="inlineStr">
        <is>
          <t>OP07087</t>
        </is>
      </c>
      <c r="B1053" s="6" t="inlineStr">
        <is>
          <t>Toko Zain</t>
        </is>
      </c>
      <c r="C1053" s="7" t="inlineStr">
        <is>
          <t>AV - Agen Verified</t>
        </is>
      </c>
      <c r="D1053" s="1" t="inlineStr">
        <is>
          <t>OP00761</t>
        </is>
      </c>
      <c r="E1053" s="8" t="n">
        <v>45061.81319444445</v>
      </c>
      <c r="F1053" s="7" t="inlineStr">
        <is>
          <t>DOWNLINE</t>
        </is>
      </c>
      <c r="G1053" s="18" t="inlineStr">
        <is>
          <t>OP00761</t>
        </is>
      </c>
      <c r="H1053" s="19">
        <f>UPPER(Table3[[#This Row],[Agen id]]&amp;"-"&amp;VLOOKUP(Table3[[#This Row],[Agen id]],A:B,2,0)&amp;"("&amp;Table3[[#This Row],[Short]]&amp;")")</f>
        <v/>
      </c>
      <c r="J1053" s="7">
        <f>VLOOKUP(Table3[[#This Row],[Agen id]],Agen!A:C,3,0)</f>
        <v/>
      </c>
      <c r="K1053" s="37">
        <f>TRIM(LEFT(Table3[[#This Row],[Group]],2))</f>
        <v/>
      </c>
      <c r="L1053" s="3" t="inlineStr">
        <is>
          <t>NON SALES</t>
        </is>
      </c>
    </row>
    <row r="1054">
      <c r="A1054" s="5" t="inlineStr">
        <is>
          <t>OP07100</t>
        </is>
      </c>
      <c r="B1054" s="6" t="inlineStr">
        <is>
          <t>Fadli</t>
        </is>
      </c>
      <c r="C1054" s="7" t="inlineStr">
        <is>
          <t>A - Agen</t>
        </is>
      </c>
      <c r="D1054" s="1" t="inlineStr">
        <is>
          <t>OP00996</t>
        </is>
      </c>
      <c r="E1054" s="8" t="n">
        <v>45062.77708333333</v>
      </c>
      <c r="F1054" s="7" t="inlineStr">
        <is>
          <t>DOWNLINE</t>
        </is>
      </c>
      <c r="G1054" s="18" t="inlineStr">
        <is>
          <t>OP00996</t>
        </is>
      </c>
      <c r="H1054" s="19">
        <f>UPPER(Table3[[#This Row],[Agen id]]&amp;"-"&amp;VLOOKUP(Table3[[#This Row],[Agen id]],A:B,2,0)&amp;"("&amp;Table3[[#This Row],[Short]]&amp;")")</f>
        <v/>
      </c>
      <c r="J1054" s="7">
        <f>VLOOKUP(Table3[[#This Row],[Agen id]],Agen!A:C,3,0)</f>
        <v/>
      </c>
      <c r="K1054" s="37">
        <f>TRIM(LEFT(Table3[[#This Row],[Group]],2))</f>
        <v/>
      </c>
      <c r="L1054" s="3" t="inlineStr">
        <is>
          <t>NON SALES</t>
        </is>
      </c>
    </row>
    <row r="1055">
      <c r="A1055" s="5" t="inlineStr">
        <is>
          <t>OP07110</t>
        </is>
      </c>
      <c r="B1055" s="6" t="inlineStr">
        <is>
          <t>MAMAH CELL</t>
        </is>
      </c>
      <c r="C1055" s="7" t="inlineStr">
        <is>
          <t>AV - Agen Verified</t>
        </is>
      </c>
      <c r="D1055" s="1" t="inlineStr">
        <is>
          <t>OP06781</t>
        </is>
      </c>
      <c r="E1055" s="8" t="n">
        <v>45063.37291666667</v>
      </c>
      <c r="F1055" s="7" t="inlineStr">
        <is>
          <t>DOWNLINE</t>
        </is>
      </c>
      <c r="G1055" s="18" t="inlineStr">
        <is>
          <t>OP06781</t>
        </is>
      </c>
      <c r="H1055" s="19">
        <f>UPPER(Table3[[#This Row],[Agen id]]&amp;"-"&amp;VLOOKUP(Table3[[#This Row],[Agen id]],A:B,2,0)&amp;"("&amp;Table3[[#This Row],[Short]]&amp;")")</f>
        <v/>
      </c>
      <c r="J1055" s="7">
        <f>VLOOKUP(Table3[[#This Row],[Agen id]],Agen!A:C,3,0)</f>
        <v/>
      </c>
      <c r="K1055" s="37">
        <f>TRIM(LEFT(Table3[[#This Row],[Group]],2))</f>
        <v/>
      </c>
      <c r="L1055" s="3" t="inlineStr">
        <is>
          <t>NON SALES</t>
        </is>
      </c>
    </row>
    <row r="1056">
      <c r="A1056" s="5" t="inlineStr">
        <is>
          <t>OP07120</t>
        </is>
      </c>
      <c r="B1056" s="6" t="inlineStr">
        <is>
          <t>adan cell</t>
        </is>
      </c>
      <c r="C1056" s="7" t="inlineStr">
        <is>
          <t>A - Agen</t>
        </is>
      </c>
      <c r="D1056" s="1" t="inlineStr">
        <is>
          <t>OP00002</t>
        </is>
      </c>
      <c r="E1056" s="8" t="n">
        <v>45063.77361111111</v>
      </c>
      <c r="F1056" s="7" t="inlineStr">
        <is>
          <t>AGEN</t>
        </is>
      </c>
      <c r="G1056" s="18" t="inlineStr">
        <is>
          <t>OP07120</t>
        </is>
      </c>
      <c r="H1056" s="19">
        <f>UPPER(Table3[[#This Row],[Agen id]]&amp;"-"&amp;VLOOKUP(Table3[[#This Row],[Agen id]],A:B,2,0)&amp;"("&amp;Table3[[#This Row],[Short]]&amp;")")</f>
        <v/>
      </c>
      <c r="J1056" s="7">
        <f>VLOOKUP(Table3[[#This Row],[Agen id]],Agen!A:C,3,0)</f>
        <v/>
      </c>
      <c r="K1056" s="37">
        <f>TRIM(LEFT(Table3[[#This Row],[Group]],2))</f>
        <v/>
      </c>
      <c r="L1056" s="3" t="inlineStr">
        <is>
          <t>NON SALES</t>
        </is>
      </c>
    </row>
    <row r="1057">
      <c r="A1057" s="5" t="inlineStr">
        <is>
          <t>OP07121</t>
        </is>
      </c>
      <c r="B1057" s="6" t="inlineStr">
        <is>
          <t>Marsilan</t>
        </is>
      </c>
      <c r="C1057" s="7" t="inlineStr">
        <is>
          <t>A - Agen</t>
        </is>
      </c>
      <c r="D1057" s="1" t="inlineStr">
        <is>
          <t>OP00002</t>
        </is>
      </c>
      <c r="E1057" s="8" t="n">
        <v>45063.78333333333</v>
      </c>
      <c r="F1057" s="7" t="inlineStr">
        <is>
          <t>AGEN</t>
        </is>
      </c>
      <c r="G1057" s="18" t="inlineStr">
        <is>
          <t>OP07121</t>
        </is>
      </c>
      <c r="H1057" s="19">
        <f>UPPER(Table3[[#This Row],[Agen id]]&amp;"-"&amp;VLOOKUP(Table3[[#This Row],[Agen id]],A:B,2,0)&amp;"("&amp;Table3[[#This Row],[Short]]&amp;")")</f>
        <v/>
      </c>
      <c r="J1057" s="7">
        <f>VLOOKUP(Table3[[#This Row],[Agen id]],Agen!A:C,3,0)</f>
        <v/>
      </c>
      <c r="K1057" s="37">
        <f>TRIM(LEFT(Table3[[#This Row],[Group]],2))</f>
        <v/>
      </c>
      <c r="L1057" s="3" t="inlineStr">
        <is>
          <t>NON SALES</t>
        </is>
      </c>
    </row>
    <row r="1058">
      <c r="A1058" s="5" t="inlineStr">
        <is>
          <t>OP07130</t>
        </is>
      </c>
      <c r="B1058" s="6" t="inlineStr">
        <is>
          <t>DONZ - CELL</t>
        </is>
      </c>
      <c r="C1058" s="7" t="inlineStr">
        <is>
          <t>A - Agen</t>
        </is>
      </c>
      <c r="D1058" s="1" t="inlineStr">
        <is>
          <t>OP00002</t>
        </is>
      </c>
      <c r="E1058" s="8" t="n">
        <v>45064.56388888889</v>
      </c>
      <c r="F1058" s="7" t="inlineStr">
        <is>
          <t>AGEN</t>
        </is>
      </c>
      <c r="G1058" s="18" t="inlineStr">
        <is>
          <t>OP07130</t>
        </is>
      </c>
      <c r="H1058" s="19">
        <f>UPPER(Table3[[#This Row],[Agen id]]&amp;"-"&amp;VLOOKUP(Table3[[#This Row],[Agen id]],A:B,2,0)&amp;"("&amp;Table3[[#This Row],[Short]]&amp;")")</f>
        <v/>
      </c>
      <c r="J1058" s="7">
        <f>VLOOKUP(Table3[[#This Row],[Agen id]],Agen!A:C,3,0)</f>
        <v/>
      </c>
      <c r="K1058" s="37">
        <f>TRIM(LEFT(Table3[[#This Row],[Group]],2))</f>
        <v/>
      </c>
      <c r="L1058" s="3" t="inlineStr">
        <is>
          <t>NON SALES</t>
        </is>
      </c>
    </row>
    <row r="1059">
      <c r="A1059" s="5" t="inlineStr">
        <is>
          <t>OP07132</t>
        </is>
      </c>
      <c r="B1059" s="6" t="inlineStr">
        <is>
          <t>Mutiara Trisna</t>
        </is>
      </c>
      <c r="C1059" s="7" t="inlineStr">
        <is>
          <t>A - Agen</t>
        </is>
      </c>
      <c r="D1059" s="1" t="inlineStr">
        <is>
          <t>OP00002</t>
        </is>
      </c>
      <c r="E1059" s="8" t="n">
        <v>45064.66597222222</v>
      </c>
      <c r="F1059" s="7" t="inlineStr">
        <is>
          <t>AGEN</t>
        </is>
      </c>
      <c r="G1059" s="18" t="inlineStr">
        <is>
          <t>OP07132</t>
        </is>
      </c>
      <c r="H1059" s="19">
        <f>UPPER(Table3[[#This Row],[Agen id]]&amp;"-"&amp;VLOOKUP(Table3[[#This Row],[Agen id]],A:B,2,0)&amp;"("&amp;Table3[[#This Row],[Short]]&amp;")")</f>
        <v/>
      </c>
      <c r="J1059" s="7">
        <f>VLOOKUP(Table3[[#This Row],[Agen id]],Agen!A:C,3,0)</f>
        <v/>
      </c>
      <c r="K1059" s="37">
        <f>TRIM(LEFT(Table3[[#This Row],[Group]],2))</f>
        <v/>
      </c>
      <c r="L1059" s="3" t="inlineStr">
        <is>
          <t>NON SALES</t>
        </is>
      </c>
    </row>
    <row r="1060">
      <c r="A1060" s="5" t="inlineStr">
        <is>
          <t>OP07134</t>
        </is>
      </c>
      <c r="B1060" s="6" t="inlineStr">
        <is>
          <t>Jaya p</t>
        </is>
      </c>
      <c r="C1060" s="7" t="inlineStr">
        <is>
          <t>A - Agen</t>
        </is>
      </c>
      <c r="D1060" s="1" t="inlineStr">
        <is>
          <t>OP00002</t>
        </is>
      </c>
      <c r="E1060" s="8" t="n">
        <v>45064.77708333333</v>
      </c>
      <c r="F1060" s="7" t="inlineStr">
        <is>
          <t>AGEN</t>
        </is>
      </c>
      <c r="G1060" s="18" t="inlineStr">
        <is>
          <t>OP07134</t>
        </is>
      </c>
      <c r="H1060" s="19">
        <f>UPPER(Table3[[#This Row],[Agen id]]&amp;"-"&amp;VLOOKUP(Table3[[#This Row],[Agen id]],A:B,2,0)&amp;"("&amp;Table3[[#This Row],[Short]]&amp;")")</f>
        <v/>
      </c>
      <c r="J1060" s="7">
        <f>VLOOKUP(Table3[[#This Row],[Agen id]],Agen!A:C,3,0)</f>
        <v/>
      </c>
      <c r="K1060" s="37">
        <f>TRIM(LEFT(Table3[[#This Row],[Group]],2))</f>
        <v/>
      </c>
      <c r="L1060" s="3" t="inlineStr">
        <is>
          <t>NON SALES</t>
        </is>
      </c>
    </row>
    <row r="1061">
      <c r="A1061" s="5" t="inlineStr">
        <is>
          <t>OP07139</t>
        </is>
      </c>
      <c r="B1061" s="6" t="inlineStr">
        <is>
          <t>SIFA CELL</t>
        </is>
      </c>
      <c r="C1061" s="7" t="inlineStr">
        <is>
          <t>A - Agen</t>
        </is>
      </c>
      <c r="D1061" s="1" t="inlineStr">
        <is>
          <t>OP07075</t>
        </is>
      </c>
      <c r="E1061" s="8" t="n">
        <v>45065.08055555556</v>
      </c>
      <c r="F1061" s="7" t="inlineStr">
        <is>
          <t>DOWNLINE</t>
        </is>
      </c>
      <c r="G1061" s="18" t="inlineStr">
        <is>
          <t>OP07075</t>
        </is>
      </c>
      <c r="H1061" s="19">
        <f>UPPER(Table3[[#This Row],[Agen id]]&amp;"-"&amp;VLOOKUP(Table3[[#This Row],[Agen id]],A:B,2,0)&amp;"("&amp;Table3[[#This Row],[Short]]&amp;")")</f>
        <v/>
      </c>
      <c r="J1061" s="7">
        <f>VLOOKUP(Table3[[#This Row],[Agen id]],Agen!A:C,3,0)</f>
        <v/>
      </c>
      <c r="K1061" s="37">
        <f>TRIM(LEFT(Table3[[#This Row],[Group]],2))</f>
        <v/>
      </c>
      <c r="L1061" s="3" t="inlineStr">
        <is>
          <t>NON SALES</t>
        </is>
      </c>
    </row>
    <row r="1062">
      <c r="A1062" s="5" t="inlineStr">
        <is>
          <t>OP07143</t>
        </is>
      </c>
      <c r="B1062" s="6" t="inlineStr">
        <is>
          <t>Alunk</t>
        </is>
      </c>
      <c r="C1062" s="7" t="inlineStr">
        <is>
          <t>AV - Agen Verified</t>
        </is>
      </c>
      <c r="D1062" s="1" t="inlineStr">
        <is>
          <t>OP00002</t>
        </is>
      </c>
      <c r="E1062" s="8" t="n">
        <v>45065.55555555555</v>
      </c>
      <c r="F1062" s="7" t="inlineStr">
        <is>
          <t>AGEN</t>
        </is>
      </c>
      <c r="G1062" s="18" t="inlineStr">
        <is>
          <t>OP07143</t>
        </is>
      </c>
      <c r="H1062" s="19">
        <f>UPPER(Table3[[#This Row],[Agen id]]&amp;"-"&amp;VLOOKUP(Table3[[#This Row],[Agen id]],A:B,2,0)&amp;"("&amp;Table3[[#This Row],[Short]]&amp;")")</f>
        <v/>
      </c>
      <c r="J1062" s="7">
        <f>VLOOKUP(Table3[[#This Row],[Agen id]],Agen!A:C,3,0)</f>
        <v/>
      </c>
      <c r="K1062" s="37">
        <f>TRIM(LEFT(Table3[[#This Row],[Group]],2))</f>
        <v/>
      </c>
      <c r="L1062" s="3" t="inlineStr">
        <is>
          <t>NON SALES</t>
        </is>
      </c>
    </row>
    <row r="1063">
      <c r="A1063" s="5" t="inlineStr">
        <is>
          <t>OP07151</t>
        </is>
      </c>
      <c r="B1063" s="6" t="inlineStr">
        <is>
          <t>SALSABILA CELL</t>
        </is>
      </c>
      <c r="C1063" s="7" t="inlineStr">
        <is>
          <t>AV - Agen Verified</t>
        </is>
      </c>
      <c r="D1063" s="1" t="inlineStr">
        <is>
          <t>OP06781</t>
        </is>
      </c>
      <c r="E1063" s="8" t="n">
        <v>45066.73611111111</v>
      </c>
      <c r="F1063" s="7" t="inlineStr">
        <is>
          <t>DOWNLINE</t>
        </is>
      </c>
      <c r="G1063" s="18" t="inlineStr">
        <is>
          <t>OP06781</t>
        </is>
      </c>
      <c r="H1063" s="19">
        <f>UPPER(Table3[[#This Row],[Agen id]]&amp;"-"&amp;VLOOKUP(Table3[[#This Row],[Agen id]],A:B,2,0)&amp;"("&amp;Table3[[#This Row],[Short]]&amp;")")</f>
        <v/>
      </c>
      <c r="J1063" s="7">
        <f>VLOOKUP(Table3[[#This Row],[Agen id]],Agen!A:C,3,0)</f>
        <v/>
      </c>
      <c r="K1063" s="37">
        <f>TRIM(LEFT(Table3[[#This Row],[Group]],2))</f>
        <v/>
      </c>
      <c r="L1063" s="3" t="inlineStr">
        <is>
          <t>NON SALES</t>
        </is>
      </c>
    </row>
    <row r="1064">
      <c r="A1064" s="5" t="inlineStr">
        <is>
          <t>OP07159</t>
        </is>
      </c>
      <c r="B1064" s="6" t="inlineStr">
        <is>
          <t>Rathy Lawang</t>
        </is>
      </c>
      <c r="C1064" s="7" t="inlineStr">
        <is>
          <t>A - Agen</t>
        </is>
      </c>
      <c r="D1064" s="1" t="inlineStr">
        <is>
          <t>OP00002</t>
        </is>
      </c>
      <c r="E1064" s="8" t="n">
        <v>45067.79652777778</v>
      </c>
      <c r="F1064" s="7" t="inlineStr">
        <is>
          <t>AGEN</t>
        </is>
      </c>
      <c r="G1064" s="18" t="inlineStr">
        <is>
          <t>OP07159</t>
        </is>
      </c>
      <c r="H1064" s="19">
        <f>UPPER(Table3[[#This Row],[Agen id]]&amp;"-"&amp;VLOOKUP(Table3[[#This Row],[Agen id]],A:B,2,0)&amp;"("&amp;Table3[[#This Row],[Short]]&amp;")")</f>
        <v/>
      </c>
      <c r="J1064" s="7">
        <f>VLOOKUP(Table3[[#This Row],[Agen id]],Agen!A:C,3,0)</f>
        <v/>
      </c>
      <c r="K1064" s="37">
        <f>TRIM(LEFT(Table3[[#This Row],[Group]],2))</f>
        <v/>
      </c>
      <c r="L1064" s="3" t="inlineStr">
        <is>
          <t>NON SALES</t>
        </is>
      </c>
    </row>
    <row r="1065">
      <c r="A1065" s="5" t="inlineStr">
        <is>
          <t>OP07168</t>
        </is>
      </c>
      <c r="B1065" s="6" t="inlineStr">
        <is>
          <t>Mayumi</t>
        </is>
      </c>
      <c r="C1065" s="7" t="inlineStr">
        <is>
          <t>A - Agen</t>
        </is>
      </c>
      <c r="D1065" s="1" t="inlineStr">
        <is>
          <t>OP00996</t>
        </is>
      </c>
      <c r="E1065" s="8" t="n">
        <v>45068.34583333333</v>
      </c>
      <c r="F1065" s="7" t="inlineStr">
        <is>
          <t>DOWNLINE</t>
        </is>
      </c>
      <c r="G1065" s="18" t="inlineStr">
        <is>
          <t>OP00996</t>
        </is>
      </c>
      <c r="H1065" s="19">
        <f>UPPER(Table3[[#This Row],[Agen id]]&amp;"-"&amp;VLOOKUP(Table3[[#This Row],[Agen id]],A:B,2,0)&amp;"("&amp;Table3[[#This Row],[Short]]&amp;")")</f>
        <v/>
      </c>
      <c r="J1065" s="7">
        <f>VLOOKUP(Table3[[#This Row],[Agen id]],Agen!A:C,3,0)</f>
        <v/>
      </c>
      <c r="K1065" s="37">
        <f>TRIM(LEFT(Table3[[#This Row],[Group]],2))</f>
        <v/>
      </c>
      <c r="L1065" s="3" t="inlineStr">
        <is>
          <t>NON SALES</t>
        </is>
      </c>
    </row>
    <row r="1066">
      <c r="A1066" s="5" t="inlineStr">
        <is>
          <t>OP07174</t>
        </is>
      </c>
      <c r="B1066" s="6" t="inlineStr">
        <is>
          <t>Rangga Andika Pratama</t>
        </is>
      </c>
      <c r="C1066" s="7" t="inlineStr">
        <is>
          <t>A - Agen</t>
        </is>
      </c>
      <c r="D1066" s="1" t="inlineStr">
        <is>
          <t>OP00002</t>
        </is>
      </c>
      <c r="E1066" s="8" t="n">
        <v>45068.99375</v>
      </c>
      <c r="F1066" s="7" t="inlineStr">
        <is>
          <t>AGEN</t>
        </is>
      </c>
      <c r="G1066" s="18" t="inlineStr">
        <is>
          <t>OP07174</t>
        </is>
      </c>
      <c r="H1066" s="19">
        <f>UPPER(Table3[[#This Row],[Agen id]]&amp;"-"&amp;VLOOKUP(Table3[[#This Row],[Agen id]],A:B,2,0)&amp;"("&amp;Table3[[#This Row],[Short]]&amp;")")</f>
        <v/>
      </c>
      <c r="J1066" s="7">
        <f>VLOOKUP(Table3[[#This Row],[Agen id]],Agen!A:C,3,0)</f>
        <v/>
      </c>
      <c r="K1066" s="37">
        <f>TRIM(LEFT(Table3[[#This Row],[Group]],2))</f>
        <v/>
      </c>
      <c r="L1066" s="3" t="inlineStr">
        <is>
          <t>NON SALES</t>
        </is>
      </c>
    </row>
    <row r="1067">
      <c r="A1067" s="5" t="inlineStr">
        <is>
          <t>OP07179</t>
        </is>
      </c>
      <c r="B1067" s="6" t="inlineStr">
        <is>
          <t>MANANGKERAN CELL</t>
        </is>
      </c>
      <c r="C1067" s="7" t="inlineStr">
        <is>
          <t>AV - Agen Verified</t>
        </is>
      </c>
      <c r="D1067" s="1" t="inlineStr">
        <is>
          <t>OP00002</t>
        </is>
      </c>
      <c r="E1067" s="8" t="n">
        <v>45069.5</v>
      </c>
      <c r="F1067" s="7" t="inlineStr">
        <is>
          <t>AGEN</t>
        </is>
      </c>
      <c r="G1067" s="18" t="inlineStr">
        <is>
          <t>OP07179</t>
        </is>
      </c>
      <c r="H1067" s="19">
        <f>UPPER(Table3[[#This Row],[Agen id]]&amp;"-"&amp;VLOOKUP(Table3[[#This Row],[Agen id]],A:B,2,0)&amp;"("&amp;Table3[[#This Row],[Short]]&amp;")")</f>
        <v/>
      </c>
      <c r="J1067" s="7">
        <f>VLOOKUP(Table3[[#This Row],[Agen id]],Agen!A:C,3,0)</f>
        <v/>
      </c>
      <c r="K1067" s="37">
        <f>TRIM(LEFT(Table3[[#This Row],[Group]],2))</f>
        <v/>
      </c>
      <c r="L1067" s="3" t="inlineStr">
        <is>
          <t>NON SALES</t>
        </is>
      </c>
    </row>
    <row r="1068">
      <c r="A1068" s="5" t="inlineStr">
        <is>
          <t>OP07180</t>
        </is>
      </c>
      <c r="B1068" s="6" t="inlineStr">
        <is>
          <t>Bayah</t>
        </is>
      </c>
      <c r="C1068" s="7" t="inlineStr">
        <is>
          <t>AV - Agen Verified</t>
        </is>
      </c>
      <c r="D1068" s="1" t="inlineStr">
        <is>
          <t>OP00003</t>
        </is>
      </c>
      <c r="E1068" s="8" t="n">
        <v>45069.5125</v>
      </c>
      <c r="F1068" s="7" t="inlineStr">
        <is>
          <t>AGEN</t>
        </is>
      </c>
      <c r="G1068" s="18" t="inlineStr">
        <is>
          <t>OP07180</t>
        </is>
      </c>
      <c r="H1068" s="19">
        <f>UPPER(Table3[[#This Row],[Agen id]]&amp;"-"&amp;VLOOKUP(Table3[[#This Row],[Agen id]],A:B,2,0)&amp;"("&amp;Table3[[#This Row],[Short]]&amp;")")</f>
        <v/>
      </c>
      <c r="J1068" s="7">
        <f>VLOOKUP(Table3[[#This Row],[Agen id]],Agen!A:C,3,0)</f>
        <v/>
      </c>
      <c r="K1068" s="37">
        <f>TRIM(LEFT(Table3[[#This Row],[Group]],2))</f>
        <v/>
      </c>
      <c r="L1068" s="3" t="inlineStr">
        <is>
          <t>NON SALES</t>
        </is>
      </c>
    </row>
    <row r="1069">
      <c r="A1069" s="5" t="inlineStr">
        <is>
          <t>OP07185</t>
        </is>
      </c>
      <c r="B1069" s="6" t="inlineStr">
        <is>
          <t>IDA SURYANI SIRAIT</t>
        </is>
      </c>
      <c r="C1069" s="7" t="inlineStr">
        <is>
          <t>AV - Agen Verified</t>
        </is>
      </c>
      <c r="D1069" s="1" t="inlineStr">
        <is>
          <t>OP02685</t>
        </is>
      </c>
      <c r="E1069" s="8" t="n">
        <v>45069.83611111111</v>
      </c>
      <c r="F1069" s="7" t="inlineStr">
        <is>
          <t>DOWNLINE</t>
        </is>
      </c>
      <c r="G1069" s="18" t="inlineStr">
        <is>
          <t>OP02685</t>
        </is>
      </c>
      <c r="H1069" s="19">
        <f>UPPER(Table3[[#This Row],[Agen id]]&amp;"-"&amp;VLOOKUP(Table3[[#This Row],[Agen id]],A:B,2,0)&amp;"("&amp;Table3[[#This Row],[Short]]&amp;")")</f>
        <v/>
      </c>
      <c r="J1069" s="7">
        <f>VLOOKUP(Table3[[#This Row],[Agen id]],Agen!A:C,3,0)</f>
        <v/>
      </c>
      <c r="K1069" s="37">
        <f>TRIM(LEFT(Table3[[#This Row],[Group]],2))</f>
        <v/>
      </c>
      <c r="L1069" s="3" t="inlineStr">
        <is>
          <t>NON SALES</t>
        </is>
      </c>
    </row>
    <row r="1070">
      <c r="A1070" s="5" t="inlineStr">
        <is>
          <t>OP07194</t>
        </is>
      </c>
      <c r="B1070" s="6" t="inlineStr">
        <is>
          <t>Ferry Kellinesia</t>
        </is>
      </c>
      <c r="C1070" s="7" t="inlineStr">
        <is>
          <t>A - Agen</t>
        </is>
      </c>
      <c r="D1070" s="1" t="inlineStr">
        <is>
          <t>OP00003</t>
        </is>
      </c>
      <c r="E1070" s="8" t="n">
        <v>45070.81180555555</v>
      </c>
      <c r="F1070" s="7" t="inlineStr">
        <is>
          <t>AGEN</t>
        </is>
      </c>
      <c r="G1070" s="18" t="inlineStr">
        <is>
          <t>OP07194</t>
        </is>
      </c>
      <c r="H1070" s="19">
        <f>UPPER(Table3[[#This Row],[Agen id]]&amp;"-"&amp;VLOOKUP(Table3[[#This Row],[Agen id]],A:B,2,0)&amp;"("&amp;Table3[[#This Row],[Short]]&amp;")")</f>
        <v/>
      </c>
      <c r="J1070" s="7">
        <f>VLOOKUP(Table3[[#This Row],[Agen id]],Agen!A:C,3,0)</f>
        <v/>
      </c>
      <c r="K1070" s="37">
        <f>TRIM(LEFT(Table3[[#This Row],[Group]],2))</f>
        <v/>
      </c>
      <c r="L1070" s="3" t="inlineStr">
        <is>
          <t>NON SALES</t>
        </is>
      </c>
    </row>
    <row r="1071">
      <c r="A1071" s="5" t="inlineStr">
        <is>
          <t>OP07198</t>
        </is>
      </c>
      <c r="B1071" s="6" t="inlineStr">
        <is>
          <t>SANAE</t>
        </is>
      </c>
      <c r="C1071" s="7" t="inlineStr">
        <is>
          <t>A - Agen</t>
        </is>
      </c>
      <c r="D1071" s="1" t="inlineStr">
        <is>
          <t>OP00002</t>
        </is>
      </c>
      <c r="E1071" s="8" t="n">
        <v>45071.05486111111</v>
      </c>
      <c r="F1071" s="7" t="inlineStr">
        <is>
          <t>AGEN</t>
        </is>
      </c>
      <c r="G1071" s="18" t="inlineStr">
        <is>
          <t>OP07198</t>
        </is>
      </c>
      <c r="H1071" s="19">
        <f>UPPER(Table3[[#This Row],[Agen id]]&amp;"-"&amp;VLOOKUP(Table3[[#This Row],[Agen id]],A:B,2,0)&amp;"("&amp;Table3[[#This Row],[Short]]&amp;")")</f>
        <v/>
      </c>
      <c r="J1071" s="7">
        <f>VLOOKUP(Table3[[#This Row],[Agen id]],Agen!A:C,3,0)</f>
        <v/>
      </c>
      <c r="K1071" s="37">
        <f>TRIM(LEFT(Table3[[#This Row],[Group]],2))</f>
        <v/>
      </c>
      <c r="L1071" s="3" t="inlineStr">
        <is>
          <t>NON SALES</t>
        </is>
      </c>
    </row>
    <row r="1072">
      <c r="A1072" s="5" t="inlineStr">
        <is>
          <t>OP07201</t>
        </is>
      </c>
      <c r="B1072" s="6" t="inlineStr">
        <is>
          <t>gita</t>
        </is>
      </c>
      <c r="C1072" s="7" t="inlineStr">
        <is>
          <t>AV - Agen Verified</t>
        </is>
      </c>
      <c r="D1072" s="1" t="inlineStr">
        <is>
          <t>OP00002</t>
        </is>
      </c>
      <c r="E1072" s="8" t="n">
        <v>45071.31736111111</v>
      </c>
      <c r="F1072" s="7" t="inlineStr">
        <is>
          <t>AGEN</t>
        </is>
      </c>
      <c r="G1072" s="18" t="inlineStr">
        <is>
          <t>OP07201</t>
        </is>
      </c>
      <c r="H1072" s="19">
        <f>UPPER(Table3[[#This Row],[Agen id]]&amp;"-"&amp;VLOOKUP(Table3[[#This Row],[Agen id]],A:B,2,0)&amp;"("&amp;Table3[[#This Row],[Short]]&amp;")")</f>
        <v/>
      </c>
      <c r="J1072" s="7">
        <f>VLOOKUP(Table3[[#This Row],[Agen id]],Agen!A:C,3,0)</f>
        <v/>
      </c>
      <c r="K1072" s="37">
        <f>TRIM(LEFT(Table3[[#This Row],[Group]],2))</f>
        <v/>
      </c>
      <c r="L1072" s="3" t="inlineStr">
        <is>
          <t>NON SALES</t>
        </is>
      </c>
    </row>
    <row r="1073">
      <c r="A1073" s="5" t="inlineStr">
        <is>
          <t>OP07202</t>
        </is>
      </c>
      <c r="B1073" s="6" t="inlineStr">
        <is>
          <t>Hariyanto</t>
        </is>
      </c>
      <c r="C1073" s="7" t="inlineStr">
        <is>
          <t>A - Agen</t>
        </is>
      </c>
      <c r="D1073" s="1" t="inlineStr">
        <is>
          <t>OP00002</t>
        </is>
      </c>
      <c r="E1073" s="8" t="n">
        <v>45071.37777777778</v>
      </c>
      <c r="F1073" s="7" t="inlineStr">
        <is>
          <t>AGEN</t>
        </is>
      </c>
      <c r="G1073" s="18" t="inlineStr">
        <is>
          <t>OP07202</t>
        </is>
      </c>
      <c r="H1073" s="19">
        <f>UPPER(Table3[[#This Row],[Agen id]]&amp;"-"&amp;VLOOKUP(Table3[[#This Row],[Agen id]],A:B,2,0)&amp;"("&amp;Table3[[#This Row],[Short]]&amp;")")</f>
        <v/>
      </c>
      <c r="J1073" s="7">
        <f>VLOOKUP(Table3[[#This Row],[Agen id]],Agen!A:C,3,0)</f>
        <v/>
      </c>
      <c r="K1073" s="37">
        <f>TRIM(LEFT(Table3[[#This Row],[Group]],2))</f>
        <v/>
      </c>
      <c r="L1073" s="3" t="inlineStr">
        <is>
          <t>NON SALES</t>
        </is>
      </c>
    </row>
    <row r="1074">
      <c r="A1074" s="5" t="inlineStr">
        <is>
          <t>OP07204</t>
        </is>
      </c>
      <c r="B1074" s="6" t="inlineStr">
        <is>
          <t>Dek boy cell</t>
        </is>
      </c>
      <c r="C1074" s="7" t="inlineStr">
        <is>
          <t>AV - Agen Verified</t>
        </is>
      </c>
      <c r="D1074" s="1" t="inlineStr">
        <is>
          <t>OP00002</t>
        </is>
      </c>
      <c r="E1074" s="8" t="n">
        <v>45071.52708333333</v>
      </c>
      <c r="F1074" s="7" t="inlineStr">
        <is>
          <t>AGEN</t>
        </is>
      </c>
      <c r="G1074" s="18" t="inlineStr">
        <is>
          <t>OP07204</t>
        </is>
      </c>
      <c r="H1074" s="19">
        <f>UPPER(Table3[[#This Row],[Agen id]]&amp;"-"&amp;VLOOKUP(Table3[[#This Row],[Agen id]],A:B,2,0)&amp;"("&amp;Table3[[#This Row],[Short]]&amp;")")</f>
        <v/>
      </c>
      <c r="J1074" s="7">
        <f>VLOOKUP(Table3[[#This Row],[Agen id]],Agen!A:C,3,0)</f>
        <v/>
      </c>
      <c r="K1074" s="37">
        <f>TRIM(LEFT(Table3[[#This Row],[Group]],2))</f>
        <v/>
      </c>
      <c r="L1074" s="3" t="inlineStr">
        <is>
          <t>NON SALES</t>
        </is>
      </c>
    </row>
    <row r="1075">
      <c r="A1075" s="5" t="inlineStr">
        <is>
          <t>OP07208</t>
        </is>
      </c>
      <c r="B1075" s="6" t="inlineStr">
        <is>
          <t>nuni wida nuraptiantini</t>
        </is>
      </c>
      <c r="C1075" s="7" t="inlineStr">
        <is>
          <t>AV - Agen Verified</t>
        </is>
      </c>
      <c r="D1075" s="1" t="inlineStr">
        <is>
          <t>OP00036</t>
        </is>
      </c>
      <c r="E1075" s="8" t="n">
        <v>45071.66805555556</v>
      </c>
      <c r="F1075" s="7" t="inlineStr">
        <is>
          <t>DOWNLINE</t>
        </is>
      </c>
      <c r="G1075" s="18" t="inlineStr">
        <is>
          <t>OP00036</t>
        </is>
      </c>
      <c r="H1075" s="19">
        <f>UPPER(Table3[[#This Row],[Agen id]]&amp;"-"&amp;VLOOKUP(Table3[[#This Row],[Agen id]],A:B,2,0)&amp;"("&amp;Table3[[#This Row],[Short]]&amp;")")</f>
        <v/>
      </c>
      <c r="J1075" s="7">
        <f>VLOOKUP(Table3[[#This Row],[Agen id]],Agen!A:C,3,0)</f>
        <v/>
      </c>
      <c r="K1075" s="37">
        <f>TRIM(LEFT(Table3[[#This Row],[Group]],2))</f>
        <v/>
      </c>
      <c r="L1075" s="3" t="inlineStr">
        <is>
          <t>NON SALES</t>
        </is>
      </c>
    </row>
    <row r="1076">
      <c r="A1076" s="5" t="inlineStr">
        <is>
          <t>OP07217</t>
        </is>
      </c>
      <c r="B1076" s="6" t="inlineStr">
        <is>
          <t>Deriel cell</t>
        </is>
      </c>
      <c r="C1076" s="7" t="inlineStr">
        <is>
          <t>A - Agen</t>
        </is>
      </c>
      <c r="D1076" s="1" t="inlineStr">
        <is>
          <t>OP00002</t>
        </is>
      </c>
      <c r="E1076" s="8" t="n">
        <v>45072.41597222222</v>
      </c>
      <c r="F1076" s="7" t="inlineStr">
        <is>
          <t>AGEN</t>
        </is>
      </c>
      <c r="G1076" s="18" t="inlineStr">
        <is>
          <t>OP07217</t>
        </is>
      </c>
      <c r="H1076" s="19">
        <f>UPPER(Table3[[#This Row],[Agen id]]&amp;"-"&amp;VLOOKUP(Table3[[#This Row],[Agen id]],A:B,2,0)&amp;"("&amp;Table3[[#This Row],[Short]]&amp;")")</f>
        <v/>
      </c>
      <c r="J1076" s="7">
        <f>VLOOKUP(Table3[[#This Row],[Agen id]],Agen!A:C,3,0)</f>
        <v/>
      </c>
      <c r="K1076" s="37">
        <f>TRIM(LEFT(Table3[[#This Row],[Group]],2))</f>
        <v/>
      </c>
      <c r="L1076" s="3" t="inlineStr">
        <is>
          <t>NON SALES</t>
        </is>
      </c>
    </row>
    <row r="1077">
      <c r="A1077" s="5" t="inlineStr">
        <is>
          <t>OP07219</t>
        </is>
      </c>
      <c r="B1077" s="6" t="inlineStr">
        <is>
          <t>ABK CELL</t>
        </is>
      </c>
      <c r="C1077" s="7" t="inlineStr">
        <is>
          <t>AK - Agen Khusus</t>
        </is>
      </c>
      <c r="D1077" s="1" t="inlineStr">
        <is>
          <t>OP06781</t>
        </is>
      </c>
      <c r="E1077" s="8" t="n">
        <v>45072.46319444444</v>
      </c>
      <c r="F1077" s="7" t="inlineStr">
        <is>
          <t>DOWNLINE</t>
        </is>
      </c>
      <c r="G1077" s="18" t="inlineStr">
        <is>
          <t>OP06781</t>
        </is>
      </c>
      <c r="H1077" s="19">
        <f>UPPER(Table3[[#This Row],[Agen id]]&amp;"-"&amp;VLOOKUP(Table3[[#This Row],[Agen id]],A:B,2,0)&amp;"("&amp;Table3[[#This Row],[Short]]&amp;")")</f>
        <v/>
      </c>
      <c r="J1077" s="7">
        <f>VLOOKUP(Table3[[#This Row],[Agen id]],Agen!A:C,3,0)</f>
        <v/>
      </c>
      <c r="K1077" s="37">
        <f>TRIM(LEFT(Table3[[#This Row],[Group]],2))</f>
        <v/>
      </c>
      <c r="L1077" s="3" t="inlineStr">
        <is>
          <t>NON SALES</t>
        </is>
      </c>
    </row>
    <row r="1078">
      <c r="A1078" s="5" t="inlineStr">
        <is>
          <t>OP07220</t>
        </is>
      </c>
      <c r="B1078" s="6" t="inlineStr">
        <is>
          <t>Afdal</t>
        </is>
      </c>
      <c r="C1078" s="7" t="inlineStr">
        <is>
          <t>A - Agen</t>
        </is>
      </c>
      <c r="D1078" s="1" t="inlineStr">
        <is>
          <t>OP00036</t>
        </is>
      </c>
      <c r="E1078" s="8" t="n">
        <v>45072.47361111111</v>
      </c>
      <c r="F1078" s="7" t="inlineStr">
        <is>
          <t>DOWNLINE</t>
        </is>
      </c>
      <c r="G1078" s="18" t="inlineStr">
        <is>
          <t>OP00036</t>
        </is>
      </c>
      <c r="H1078" s="19">
        <f>UPPER(Table3[[#This Row],[Agen id]]&amp;"-"&amp;VLOOKUP(Table3[[#This Row],[Agen id]],A:B,2,0)&amp;"("&amp;Table3[[#This Row],[Short]]&amp;")")</f>
        <v/>
      </c>
      <c r="J1078" s="7">
        <f>VLOOKUP(Table3[[#This Row],[Agen id]],Agen!A:C,3,0)</f>
        <v/>
      </c>
      <c r="K1078" s="37">
        <f>TRIM(LEFT(Table3[[#This Row],[Group]],2))</f>
        <v/>
      </c>
      <c r="L1078" s="3" t="inlineStr">
        <is>
          <t>NON SALES</t>
        </is>
      </c>
    </row>
    <row r="1079">
      <c r="A1079" s="5" t="inlineStr">
        <is>
          <t>OP07225</t>
        </is>
      </c>
      <c r="B1079" s="6" t="inlineStr">
        <is>
          <t>RAMADANI</t>
        </is>
      </c>
      <c r="C1079" s="7" t="inlineStr">
        <is>
          <t>A - Agen</t>
        </is>
      </c>
      <c r="D1079" s="1" t="inlineStr">
        <is>
          <t>OP00996</t>
        </is>
      </c>
      <c r="E1079" s="8" t="n">
        <v>45072.7125</v>
      </c>
      <c r="F1079" s="7" t="inlineStr">
        <is>
          <t>DOWNLINE</t>
        </is>
      </c>
      <c r="G1079" s="18" t="inlineStr">
        <is>
          <t>OP00996</t>
        </is>
      </c>
      <c r="H1079" s="19">
        <f>UPPER(Table3[[#This Row],[Agen id]]&amp;"-"&amp;VLOOKUP(Table3[[#This Row],[Agen id]],A:B,2,0)&amp;"("&amp;Table3[[#This Row],[Short]]&amp;")")</f>
        <v/>
      </c>
      <c r="J1079" s="7">
        <f>VLOOKUP(Table3[[#This Row],[Agen id]],Agen!A:C,3,0)</f>
        <v/>
      </c>
      <c r="K1079" s="37">
        <f>TRIM(LEFT(Table3[[#This Row],[Group]],2))</f>
        <v/>
      </c>
      <c r="L1079" s="3" t="inlineStr">
        <is>
          <t>NON SALES</t>
        </is>
      </c>
    </row>
    <row r="1080">
      <c r="A1080" s="5" t="inlineStr">
        <is>
          <t>OP07236</t>
        </is>
      </c>
      <c r="B1080" s="6" t="inlineStr">
        <is>
          <t>Nurul Uswatun Khasanah</t>
        </is>
      </c>
      <c r="C1080" s="7" t="inlineStr">
        <is>
          <t>A - Agen</t>
        </is>
      </c>
      <c r="D1080" s="1" t="inlineStr">
        <is>
          <t>OP00002</t>
        </is>
      </c>
      <c r="E1080" s="8" t="n">
        <v>45073.27916666667</v>
      </c>
      <c r="F1080" s="7" t="inlineStr">
        <is>
          <t>AGEN</t>
        </is>
      </c>
      <c r="G1080" s="18" t="inlineStr">
        <is>
          <t>OP07236</t>
        </is>
      </c>
      <c r="H1080" s="19">
        <f>UPPER(Table3[[#This Row],[Agen id]]&amp;"-"&amp;VLOOKUP(Table3[[#This Row],[Agen id]],A:B,2,0)&amp;"("&amp;Table3[[#This Row],[Short]]&amp;")")</f>
        <v/>
      </c>
      <c r="J1080" s="7">
        <f>VLOOKUP(Table3[[#This Row],[Agen id]],Agen!A:C,3,0)</f>
        <v/>
      </c>
      <c r="K1080" s="37">
        <f>TRIM(LEFT(Table3[[#This Row],[Group]],2))</f>
        <v/>
      </c>
      <c r="L1080" s="3" t="inlineStr">
        <is>
          <t>NON SALES</t>
        </is>
      </c>
    </row>
    <row r="1081">
      <c r="A1081" s="5" t="inlineStr">
        <is>
          <t>OP07243</t>
        </is>
      </c>
      <c r="B1081" s="6" t="inlineStr">
        <is>
          <t>Wili</t>
        </is>
      </c>
      <c r="C1081" s="7" t="inlineStr">
        <is>
          <t>A - Agen</t>
        </is>
      </c>
      <c r="D1081" s="1" t="inlineStr">
        <is>
          <t>OP00036</t>
        </is>
      </c>
      <c r="E1081" s="8" t="n">
        <v>45073.51111111111</v>
      </c>
      <c r="F1081" s="7" t="inlineStr">
        <is>
          <t>DOWNLINE</t>
        </is>
      </c>
      <c r="G1081" s="18" t="inlineStr">
        <is>
          <t>OP00036</t>
        </is>
      </c>
      <c r="H1081" s="19">
        <f>UPPER(Table3[[#This Row],[Agen id]]&amp;"-"&amp;VLOOKUP(Table3[[#This Row],[Agen id]],A:B,2,0)&amp;"("&amp;Table3[[#This Row],[Short]]&amp;")")</f>
        <v/>
      </c>
      <c r="J1081" s="7">
        <f>VLOOKUP(Table3[[#This Row],[Agen id]],Agen!A:C,3,0)</f>
        <v/>
      </c>
      <c r="K1081" s="37">
        <f>TRIM(LEFT(Table3[[#This Row],[Group]],2))</f>
        <v/>
      </c>
      <c r="L1081" s="3" t="inlineStr">
        <is>
          <t>NON SALES</t>
        </is>
      </c>
    </row>
    <row r="1082">
      <c r="A1082" s="5" t="inlineStr">
        <is>
          <t>OP07248</t>
        </is>
      </c>
      <c r="B1082" s="6" t="inlineStr">
        <is>
          <t>Oki Dewi Sinta</t>
        </is>
      </c>
      <c r="C1082" s="7" t="inlineStr">
        <is>
          <t>A - Agen</t>
        </is>
      </c>
      <c r="D1082" s="1" t="inlineStr">
        <is>
          <t>OP03783</t>
        </is>
      </c>
      <c r="E1082" s="8" t="n">
        <v>45073.80069444444</v>
      </c>
      <c r="F1082" s="7" t="inlineStr">
        <is>
          <t>DOWNLINE</t>
        </is>
      </c>
      <c r="G1082" s="18" t="inlineStr">
        <is>
          <t>OP03699</t>
        </is>
      </c>
      <c r="H1082" s="19">
        <f>UPPER(Table3[[#This Row],[Agen id]]&amp;"-"&amp;VLOOKUP(Table3[[#This Row],[Agen id]],A:B,2,0)&amp;"("&amp;Table3[[#This Row],[Short]]&amp;")")</f>
        <v/>
      </c>
      <c r="J1082" s="7">
        <f>VLOOKUP(Table3[[#This Row],[Agen id]],Agen!A:C,3,0)</f>
        <v/>
      </c>
      <c r="K1082" s="37">
        <f>TRIM(LEFT(Table3[[#This Row],[Group]],2))</f>
        <v/>
      </c>
      <c r="L1082" s="3" t="inlineStr">
        <is>
          <t>NON SALES</t>
        </is>
      </c>
    </row>
    <row r="1083">
      <c r="A1083" s="5" t="inlineStr">
        <is>
          <t>OP07263</t>
        </is>
      </c>
      <c r="B1083" s="6" t="inlineStr">
        <is>
          <t>Rian</t>
        </is>
      </c>
      <c r="C1083" s="7" t="inlineStr">
        <is>
          <t>A - Agen</t>
        </is>
      </c>
      <c r="D1083" s="1" t="inlineStr">
        <is>
          <t>OP00002</t>
        </is>
      </c>
      <c r="E1083" s="8" t="n">
        <v>45074.57708333333</v>
      </c>
      <c r="F1083" s="7" t="inlineStr">
        <is>
          <t>AGEN</t>
        </is>
      </c>
      <c r="G1083" s="18" t="inlineStr">
        <is>
          <t>OP07263</t>
        </is>
      </c>
      <c r="H1083" s="19">
        <f>UPPER(Table3[[#This Row],[Agen id]]&amp;"-"&amp;VLOOKUP(Table3[[#This Row],[Agen id]],A:B,2,0)&amp;"("&amp;Table3[[#This Row],[Short]]&amp;")")</f>
        <v/>
      </c>
      <c r="J1083" s="7">
        <f>VLOOKUP(Table3[[#This Row],[Agen id]],Agen!A:C,3,0)</f>
        <v/>
      </c>
      <c r="K1083" s="37">
        <f>TRIM(LEFT(Table3[[#This Row],[Group]],2))</f>
        <v/>
      </c>
      <c r="L1083" s="3" t="inlineStr">
        <is>
          <t>NON SALES</t>
        </is>
      </c>
    </row>
    <row r="1084">
      <c r="A1084" s="5" t="inlineStr">
        <is>
          <t>OP07266</t>
        </is>
      </c>
      <c r="B1084" s="6" t="inlineStr">
        <is>
          <t>Yuda aji</t>
        </is>
      </c>
      <c r="C1084" s="7" t="inlineStr">
        <is>
          <t>A - Agen</t>
        </is>
      </c>
      <c r="D1084" s="1" t="inlineStr">
        <is>
          <t>OP00002</t>
        </is>
      </c>
      <c r="E1084" s="8" t="n">
        <v>45074.77430555555</v>
      </c>
      <c r="F1084" s="7" t="inlineStr">
        <is>
          <t>AGEN</t>
        </is>
      </c>
      <c r="G1084" s="18" t="inlineStr">
        <is>
          <t>OP07266</t>
        </is>
      </c>
      <c r="H1084" s="19">
        <f>UPPER(Table3[[#This Row],[Agen id]]&amp;"-"&amp;VLOOKUP(Table3[[#This Row],[Agen id]],A:B,2,0)&amp;"("&amp;Table3[[#This Row],[Short]]&amp;")")</f>
        <v/>
      </c>
      <c r="J1084" s="7">
        <f>VLOOKUP(Table3[[#This Row],[Agen id]],Agen!A:C,3,0)</f>
        <v/>
      </c>
      <c r="K1084" s="37">
        <f>TRIM(LEFT(Table3[[#This Row],[Group]],2))</f>
        <v/>
      </c>
      <c r="L1084" s="3" t="inlineStr">
        <is>
          <t>NON SALES</t>
        </is>
      </c>
    </row>
    <row r="1085">
      <c r="A1085" s="5" t="inlineStr">
        <is>
          <t>OP07267</t>
        </is>
      </c>
      <c r="B1085" s="6" t="inlineStr">
        <is>
          <t>Fauzan cell</t>
        </is>
      </c>
      <c r="C1085" s="7" t="inlineStr">
        <is>
          <t>AV - Agen Verified</t>
        </is>
      </c>
      <c r="D1085" s="1" t="inlineStr">
        <is>
          <t>OP00002</t>
        </is>
      </c>
      <c r="E1085" s="8" t="n">
        <v>45074.79861111111</v>
      </c>
      <c r="F1085" s="7" t="inlineStr">
        <is>
          <t>AGEN</t>
        </is>
      </c>
      <c r="G1085" s="18" t="inlineStr">
        <is>
          <t>OP07267</t>
        </is>
      </c>
      <c r="H1085" s="19">
        <f>UPPER(Table3[[#This Row],[Agen id]]&amp;"-"&amp;VLOOKUP(Table3[[#This Row],[Agen id]],A:B,2,0)&amp;"("&amp;Table3[[#This Row],[Short]]&amp;")")</f>
        <v/>
      </c>
      <c r="J1085" s="7">
        <f>VLOOKUP(Table3[[#This Row],[Agen id]],Agen!A:C,3,0)</f>
        <v/>
      </c>
      <c r="K1085" s="37">
        <f>TRIM(LEFT(Table3[[#This Row],[Group]],2))</f>
        <v/>
      </c>
      <c r="L1085" s="3" t="inlineStr">
        <is>
          <t>NON SALES</t>
        </is>
      </c>
    </row>
    <row r="1086">
      <c r="A1086" s="5" t="inlineStr">
        <is>
          <t>OP07277</t>
        </is>
      </c>
      <c r="B1086" s="6" t="inlineStr">
        <is>
          <t>ADILA SHINTA CELL</t>
        </is>
      </c>
      <c r="C1086" s="7" t="inlineStr">
        <is>
          <t>AK - Agen Khusus</t>
        </is>
      </c>
      <c r="D1086" s="1" t="inlineStr">
        <is>
          <t>OP06781</t>
        </is>
      </c>
      <c r="E1086" s="8" t="n">
        <v>45075.96319444444</v>
      </c>
      <c r="F1086" s="7" t="inlineStr">
        <is>
          <t>DOWNLINE</t>
        </is>
      </c>
      <c r="G1086" s="18" t="inlineStr">
        <is>
          <t>OP06781</t>
        </is>
      </c>
      <c r="H1086" s="19">
        <f>UPPER(Table3[[#This Row],[Agen id]]&amp;"-"&amp;VLOOKUP(Table3[[#This Row],[Agen id]],A:B,2,0)&amp;"("&amp;Table3[[#This Row],[Short]]&amp;")")</f>
        <v/>
      </c>
      <c r="J1086" s="7">
        <f>VLOOKUP(Table3[[#This Row],[Agen id]],Agen!A:C,3,0)</f>
        <v/>
      </c>
      <c r="K1086" s="37">
        <f>TRIM(LEFT(Table3[[#This Row],[Group]],2))</f>
        <v/>
      </c>
      <c r="L1086" s="3" t="inlineStr">
        <is>
          <t>NON SALES</t>
        </is>
      </c>
    </row>
    <row r="1087">
      <c r="A1087" s="5" t="inlineStr">
        <is>
          <t>OP07280</t>
        </is>
      </c>
      <c r="B1087" s="6" t="inlineStr">
        <is>
          <t>kios daffa arka</t>
        </is>
      </c>
      <c r="C1087" s="7" t="inlineStr">
        <is>
          <t>AV - Agen Verified</t>
        </is>
      </c>
      <c r="D1087" s="1" t="inlineStr">
        <is>
          <t>OP00002</t>
        </is>
      </c>
      <c r="E1087" s="8" t="n">
        <v>45076.89027777778</v>
      </c>
      <c r="F1087" s="7" t="inlineStr">
        <is>
          <t>AGEN</t>
        </is>
      </c>
      <c r="G1087" s="18" t="inlineStr">
        <is>
          <t>OP07280</t>
        </is>
      </c>
      <c r="H1087" s="19">
        <f>UPPER(Table3[[#This Row],[Agen id]]&amp;"-"&amp;VLOOKUP(Table3[[#This Row],[Agen id]],A:B,2,0)&amp;"("&amp;Table3[[#This Row],[Short]]&amp;")")</f>
        <v/>
      </c>
      <c r="J1087" s="7">
        <f>VLOOKUP(Table3[[#This Row],[Agen id]],Agen!A:C,3,0)</f>
        <v/>
      </c>
      <c r="K1087" s="37">
        <f>TRIM(LEFT(Table3[[#This Row],[Group]],2))</f>
        <v/>
      </c>
      <c r="L1087" s="3" t="inlineStr">
        <is>
          <t>NON SALES</t>
        </is>
      </c>
    </row>
    <row r="1088">
      <c r="A1088" s="5" t="inlineStr">
        <is>
          <t>OP07282</t>
        </is>
      </c>
      <c r="B1088" s="6" t="inlineStr">
        <is>
          <t>Dian melani</t>
        </is>
      </c>
      <c r="C1088" s="7" t="inlineStr">
        <is>
          <t>A - Agen</t>
        </is>
      </c>
      <c r="D1088" s="1" t="inlineStr">
        <is>
          <t>OP00003</t>
        </is>
      </c>
      <c r="E1088" s="8" t="n">
        <v>45077.20694444444</v>
      </c>
      <c r="F1088" s="7" t="inlineStr">
        <is>
          <t>AGEN</t>
        </is>
      </c>
      <c r="G1088" s="18" t="inlineStr">
        <is>
          <t>OP07282</t>
        </is>
      </c>
      <c r="H1088" s="19">
        <f>UPPER(Table3[[#This Row],[Agen id]]&amp;"-"&amp;VLOOKUP(Table3[[#This Row],[Agen id]],A:B,2,0)&amp;"("&amp;Table3[[#This Row],[Short]]&amp;")")</f>
        <v/>
      </c>
      <c r="J1088" s="7">
        <f>VLOOKUP(Table3[[#This Row],[Agen id]],Agen!A:C,3,0)</f>
        <v/>
      </c>
      <c r="K1088" s="37">
        <f>TRIM(LEFT(Table3[[#This Row],[Group]],2))</f>
        <v/>
      </c>
      <c r="L1088" s="3" t="inlineStr">
        <is>
          <t>NON SALES</t>
        </is>
      </c>
    </row>
    <row r="1089">
      <c r="A1089" s="5" t="inlineStr">
        <is>
          <t>OP07285</t>
        </is>
      </c>
      <c r="B1089" s="6" t="inlineStr">
        <is>
          <t>Herman</t>
        </is>
      </c>
      <c r="C1089" s="7" t="inlineStr">
        <is>
          <t>A - Agen</t>
        </is>
      </c>
      <c r="D1089" s="1" t="inlineStr">
        <is>
          <t>OP00002</t>
        </is>
      </c>
      <c r="E1089" s="8" t="n">
        <v>45077.53958333333</v>
      </c>
      <c r="F1089" s="7" t="inlineStr">
        <is>
          <t>AGEN</t>
        </is>
      </c>
      <c r="G1089" s="18" t="inlineStr">
        <is>
          <t>OP07285</t>
        </is>
      </c>
      <c r="H1089" s="19">
        <f>UPPER(Table3[[#This Row],[Agen id]]&amp;"-"&amp;VLOOKUP(Table3[[#This Row],[Agen id]],A:B,2,0)&amp;"("&amp;Table3[[#This Row],[Short]]&amp;")")</f>
        <v/>
      </c>
      <c r="J1089" s="7">
        <f>VLOOKUP(Table3[[#This Row],[Agen id]],Agen!A:C,3,0)</f>
        <v/>
      </c>
      <c r="K1089" s="37">
        <f>TRIM(LEFT(Table3[[#This Row],[Group]],2))</f>
        <v/>
      </c>
      <c r="L1089" s="3" t="inlineStr">
        <is>
          <t>NON SALES</t>
        </is>
      </c>
    </row>
    <row r="1090">
      <c r="A1090" s="5" t="inlineStr">
        <is>
          <t>OP07289</t>
        </is>
      </c>
      <c r="B1090" s="6" t="inlineStr">
        <is>
          <t>Dede setiawan</t>
        </is>
      </c>
      <c r="C1090" s="7" t="inlineStr">
        <is>
          <t>AV - Agen Verified</t>
        </is>
      </c>
      <c r="D1090" s="1" t="inlineStr">
        <is>
          <t>OP05340</t>
        </is>
      </c>
      <c r="E1090" s="8" t="n">
        <v>45078.56666666667</v>
      </c>
      <c r="F1090" s="7" t="inlineStr">
        <is>
          <t>DOWNLINE</t>
        </is>
      </c>
      <c r="G1090" s="18" t="inlineStr">
        <is>
          <t>OP05340</t>
        </is>
      </c>
      <c r="H1090" s="19">
        <f>UPPER(Table3[[#This Row],[Agen id]]&amp;"-"&amp;VLOOKUP(Table3[[#This Row],[Agen id]],A:B,2,0)&amp;"("&amp;Table3[[#This Row],[Short]]&amp;")")</f>
        <v/>
      </c>
      <c r="J1090" s="7">
        <f>VLOOKUP(Table3[[#This Row],[Agen id]],Agen!A:C,3,0)</f>
        <v/>
      </c>
      <c r="K1090" s="37">
        <f>TRIM(LEFT(Table3[[#This Row],[Group]],2))</f>
        <v/>
      </c>
      <c r="L1090" s="3" t="inlineStr">
        <is>
          <t>NON SALES</t>
        </is>
      </c>
    </row>
    <row r="1091">
      <c r="A1091" s="5" t="inlineStr">
        <is>
          <t>OP07292</t>
        </is>
      </c>
      <c r="B1091" s="6" t="inlineStr">
        <is>
          <t>Siti Homsyah</t>
        </is>
      </c>
      <c r="C1091" s="7" t="inlineStr">
        <is>
          <t>AV - Agen Verified</t>
        </is>
      </c>
      <c r="D1091" s="1" t="inlineStr">
        <is>
          <t>OP00002</t>
        </is>
      </c>
      <c r="E1091" s="8" t="n">
        <v>45079.22777777778</v>
      </c>
      <c r="F1091" s="7" t="inlineStr">
        <is>
          <t>AGEN</t>
        </is>
      </c>
      <c r="G1091" s="18" t="inlineStr">
        <is>
          <t>OP07292</t>
        </is>
      </c>
      <c r="H1091" s="19">
        <f>UPPER(Table3[[#This Row],[Agen id]]&amp;"-"&amp;VLOOKUP(Table3[[#This Row],[Agen id]],A:B,2,0)&amp;"("&amp;Table3[[#This Row],[Short]]&amp;")")</f>
        <v/>
      </c>
      <c r="J1091" s="7">
        <f>VLOOKUP(Table3[[#This Row],[Agen id]],Agen!A:C,3,0)</f>
        <v/>
      </c>
      <c r="K1091" s="37">
        <f>TRIM(LEFT(Table3[[#This Row],[Group]],2))</f>
        <v/>
      </c>
      <c r="L1091" s="3" t="inlineStr">
        <is>
          <t>NON SALES</t>
        </is>
      </c>
    </row>
    <row r="1092">
      <c r="A1092" s="5" t="inlineStr">
        <is>
          <t>OP07297</t>
        </is>
      </c>
      <c r="B1092" s="6" t="inlineStr">
        <is>
          <t>Hurotul aini</t>
        </is>
      </c>
      <c r="C1092" s="7" t="inlineStr">
        <is>
          <t>AV - Agen Verified</t>
        </is>
      </c>
      <c r="D1092" s="1" t="inlineStr">
        <is>
          <t>OP00996</t>
        </is>
      </c>
      <c r="E1092" s="8" t="n">
        <v>45080.35208333333</v>
      </c>
      <c r="F1092" s="7" t="inlineStr">
        <is>
          <t>DOWNLINE</t>
        </is>
      </c>
      <c r="G1092" s="18" t="inlineStr">
        <is>
          <t>OP00996</t>
        </is>
      </c>
      <c r="H1092" s="19">
        <f>UPPER(Table3[[#This Row],[Agen id]]&amp;"-"&amp;VLOOKUP(Table3[[#This Row],[Agen id]],A:B,2,0)&amp;"("&amp;Table3[[#This Row],[Short]]&amp;")")</f>
        <v/>
      </c>
      <c r="J1092" s="7">
        <f>VLOOKUP(Table3[[#This Row],[Agen id]],Agen!A:C,3,0)</f>
        <v/>
      </c>
      <c r="K1092" s="37">
        <f>TRIM(LEFT(Table3[[#This Row],[Group]],2))</f>
        <v/>
      </c>
      <c r="L1092" s="3" t="inlineStr">
        <is>
          <t>NON SALES</t>
        </is>
      </c>
    </row>
    <row r="1093">
      <c r="A1093" s="5" t="inlineStr">
        <is>
          <t>OP07298</t>
        </is>
      </c>
      <c r="B1093" s="6" t="inlineStr">
        <is>
          <t>Elinserlina</t>
        </is>
      </c>
      <c r="C1093" s="7" t="inlineStr">
        <is>
          <t>A - Agen</t>
        </is>
      </c>
      <c r="D1093" s="1" t="inlineStr">
        <is>
          <t>OP00002</t>
        </is>
      </c>
      <c r="E1093" s="8" t="n">
        <v>45080.77361111111</v>
      </c>
      <c r="F1093" s="7" t="inlineStr">
        <is>
          <t>AGEN</t>
        </is>
      </c>
      <c r="G1093" s="18" t="inlineStr">
        <is>
          <t>OP07298</t>
        </is>
      </c>
      <c r="H1093" s="19">
        <f>UPPER(Table3[[#This Row],[Agen id]]&amp;"-"&amp;VLOOKUP(Table3[[#This Row],[Agen id]],A:B,2,0)&amp;"("&amp;Table3[[#This Row],[Short]]&amp;")")</f>
        <v/>
      </c>
      <c r="J1093" s="7">
        <f>VLOOKUP(Table3[[#This Row],[Agen id]],Agen!A:C,3,0)</f>
        <v/>
      </c>
      <c r="K1093" s="37">
        <f>TRIM(LEFT(Table3[[#This Row],[Group]],2))</f>
        <v/>
      </c>
      <c r="L1093" s="3" t="inlineStr">
        <is>
          <t>NON SALES</t>
        </is>
      </c>
    </row>
    <row r="1094">
      <c r="A1094" s="5" t="inlineStr">
        <is>
          <t>OP07300</t>
        </is>
      </c>
      <c r="B1094" s="6" t="inlineStr">
        <is>
          <t>KIOS FIKA</t>
        </is>
      </c>
      <c r="C1094" s="7" t="inlineStr">
        <is>
          <t>A - Agen</t>
        </is>
      </c>
      <c r="D1094" s="1" t="inlineStr">
        <is>
          <t>OP00788</t>
        </is>
      </c>
      <c r="E1094" s="8" t="n">
        <v>45081.25347222222</v>
      </c>
      <c r="F1094" s="7" t="inlineStr">
        <is>
          <t>DOWNLINE</t>
        </is>
      </c>
      <c r="G1094" s="18" t="inlineStr">
        <is>
          <t>OP00431</t>
        </is>
      </c>
      <c r="H1094" s="19">
        <f>UPPER(Table3[[#This Row],[Agen id]]&amp;"-"&amp;VLOOKUP(Table3[[#This Row],[Agen id]],A:B,2,0)&amp;"("&amp;Table3[[#This Row],[Short]]&amp;")")</f>
        <v/>
      </c>
      <c r="J1094" s="7">
        <f>VLOOKUP(Table3[[#This Row],[Agen id]],Agen!A:C,3,0)</f>
        <v/>
      </c>
      <c r="K1094" s="37">
        <f>TRIM(LEFT(Table3[[#This Row],[Group]],2))</f>
        <v/>
      </c>
      <c r="L1094" s="3" t="inlineStr">
        <is>
          <t>NON SALES</t>
        </is>
      </c>
    </row>
    <row r="1095">
      <c r="A1095" s="5" t="inlineStr">
        <is>
          <t>OP07303</t>
        </is>
      </c>
      <c r="B1095" s="6" t="inlineStr">
        <is>
          <t>K2 CELL</t>
        </is>
      </c>
      <c r="C1095" s="7" t="inlineStr">
        <is>
          <t>AV - Agen Verified</t>
        </is>
      </c>
      <c r="D1095" s="1" t="inlineStr">
        <is>
          <t>OP07075</t>
        </is>
      </c>
      <c r="E1095" s="8" t="n">
        <v>45081.77847222222</v>
      </c>
      <c r="F1095" s="7" t="inlineStr">
        <is>
          <t>DOWNLINE</t>
        </is>
      </c>
      <c r="G1095" s="18" t="inlineStr">
        <is>
          <t>OP07075</t>
        </is>
      </c>
      <c r="H1095" s="19">
        <f>UPPER(Table3[[#This Row],[Agen id]]&amp;"-"&amp;VLOOKUP(Table3[[#This Row],[Agen id]],A:B,2,0)&amp;"("&amp;Table3[[#This Row],[Short]]&amp;")")</f>
        <v/>
      </c>
      <c r="J1095" s="7">
        <f>VLOOKUP(Table3[[#This Row],[Agen id]],Agen!A:C,3,0)</f>
        <v/>
      </c>
      <c r="K1095" s="37">
        <f>TRIM(LEFT(Table3[[#This Row],[Group]],2))</f>
        <v/>
      </c>
      <c r="L1095" s="3" t="inlineStr">
        <is>
          <t>NON SALES</t>
        </is>
      </c>
    </row>
    <row r="1096">
      <c r="A1096" s="5" t="inlineStr">
        <is>
          <t>OP07304</t>
        </is>
      </c>
      <c r="B1096" s="6" t="inlineStr">
        <is>
          <t>GILANG CELL</t>
        </is>
      </c>
      <c r="C1096" s="7" t="inlineStr">
        <is>
          <t>A - Agen</t>
        </is>
      </c>
      <c r="D1096" s="1" t="inlineStr">
        <is>
          <t>OP00091</t>
        </is>
      </c>
      <c r="E1096" s="8" t="n">
        <v>45082.25763888889</v>
      </c>
      <c r="F1096" s="7" t="inlineStr">
        <is>
          <t>DOWNLINE</t>
        </is>
      </c>
      <c r="G1096" s="18" t="inlineStr">
        <is>
          <t>OP00091</t>
        </is>
      </c>
      <c r="H1096" s="19">
        <f>UPPER(Table3[[#This Row],[Agen id]]&amp;"-"&amp;VLOOKUP(Table3[[#This Row],[Agen id]],A:B,2,0)&amp;"("&amp;Table3[[#This Row],[Short]]&amp;")")</f>
        <v/>
      </c>
      <c r="J1096" s="7">
        <f>VLOOKUP(Table3[[#This Row],[Agen id]],Agen!A:C,3,0)</f>
        <v/>
      </c>
      <c r="K1096" s="37">
        <f>TRIM(LEFT(Table3[[#This Row],[Group]],2))</f>
        <v/>
      </c>
      <c r="L1096" s="3" t="inlineStr">
        <is>
          <t>NON SALES</t>
        </is>
      </c>
    </row>
    <row r="1097">
      <c r="A1097" s="5" t="inlineStr">
        <is>
          <t>OP07312</t>
        </is>
      </c>
      <c r="B1097" s="6" t="inlineStr">
        <is>
          <t>Nurkholis</t>
        </is>
      </c>
      <c r="C1097" s="7" t="inlineStr">
        <is>
          <t>AV - Agen Verified</t>
        </is>
      </c>
      <c r="D1097" s="1" t="inlineStr">
        <is>
          <t>OP00002</t>
        </is>
      </c>
      <c r="E1097" s="8" t="n">
        <v>45083.50694444445</v>
      </c>
      <c r="F1097" s="7" t="inlineStr">
        <is>
          <t>AGEN</t>
        </is>
      </c>
      <c r="G1097" s="18" t="inlineStr">
        <is>
          <t>OP07312</t>
        </is>
      </c>
      <c r="H1097" s="19">
        <f>UPPER(Table3[[#This Row],[Agen id]]&amp;"-"&amp;VLOOKUP(Table3[[#This Row],[Agen id]],A:B,2,0)&amp;"("&amp;Table3[[#This Row],[Short]]&amp;")")</f>
        <v/>
      </c>
      <c r="J1097" s="7">
        <f>VLOOKUP(Table3[[#This Row],[Agen id]],Agen!A:C,3,0)</f>
        <v/>
      </c>
      <c r="K1097" s="37">
        <f>TRIM(LEFT(Table3[[#This Row],[Group]],2))</f>
        <v/>
      </c>
      <c r="L1097" s="3" t="inlineStr">
        <is>
          <t>NON SALES</t>
        </is>
      </c>
    </row>
    <row r="1098">
      <c r="A1098" s="5" t="inlineStr">
        <is>
          <t>OP07339</t>
        </is>
      </c>
      <c r="B1098" s="6" t="inlineStr">
        <is>
          <t>Andongsari CLL</t>
        </is>
      </c>
      <c r="C1098" s="7" t="inlineStr">
        <is>
          <t>A - Agen</t>
        </is>
      </c>
      <c r="D1098" s="1" t="inlineStr">
        <is>
          <t>OP00002</t>
        </is>
      </c>
      <c r="E1098" s="8" t="n">
        <v>45084.92083333333</v>
      </c>
      <c r="F1098" s="7" t="inlineStr">
        <is>
          <t>AGEN</t>
        </is>
      </c>
      <c r="G1098" s="18" t="inlineStr">
        <is>
          <t>OP07339</t>
        </is>
      </c>
      <c r="H1098" s="19">
        <f>UPPER(Table3[[#This Row],[Agen id]]&amp;"-"&amp;VLOOKUP(Table3[[#This Row],[Agen id]],A:B,2,0)&amp;"("&amp;Table3[[#This Row],[Short]]&amp;")")</f>
        <v/>
      </c>
      <c r="J1098" s="7">
        <f>VLOOKUP(Table3[[#This Row],[Agen id]],Agen!A:C,3,0)</f>
        <v/>
      </c>
      <c r="K1098" s="37">
        <f>TRIM(LEFT(Table3[[#This Row],[Group]],2))</f>
        <v/>
      </c>
      <c r="L1098" s="3" t="inlineStr">
        <is>
          <t>NON SALES</t>
        </is>
      </c>
    </row>
    <row r="1099">
      <c r="A1099" s="5" t="inlineStr">
        <is>
          <t>OP07342</t>
        </is>
      </c>
      <c r="B1099" s="6" t="inlineStr">
        <is>
          <t>Indra Cell</t>
        </is>
      </c>
      <c r="C1099" s="7" t="inlineStr">
        <is>
          <t>A - Agen</t>
        </is>
      </c>
      <c r="D1099" s="1" t="inlineStr">
        <is>
          <t>OP04644</t>
        </is>
      </c>
      <c r="E1099" s="8" t="n">
        <v>45086.51388888889</v>
      </c>
      <c r="F1099" s="7" t="inlineStr">
        <is>
          <t>DOWNLINE</t>
        </is>
      </c>
      <c r="G1099" s="18" t="inlineStr">
        <is>
          <t>OP04644</t>
        </is>
      </c>
      <c r="H1099" s="19">
        <f>UPPER(Table3[[#This Row],[Agen id]]&amp;"-"&amp;VLOOKUP(Table3[[#This Row],[Agen id]],A:B,2,0)&amp;"("&amp;Table3[[#This Row],[Short]]&amp;")")</f>
        <v/>
      </c>
      <c r="J1099" s="7">
        <f>VLOOKUP(Table3[[#This Row],[Agen id]],Agen!A:C,3,0)</f>
        <v/>
      </c>
      <c r="K1099" s="37">
        <f>TRIM(LEFT(Table3[[#This Row],[Group]],2))</f>
        <v/>
      </c>
      <c r="L1099" s="3" t="inlineStr">
        <is>
          <t>NON SALES</t>
        </is>
      </c>
    </row>
    <row r="1100">
      <c r="A1100" s="5" t="inlineStr">
        <is>
          <t>OP07344</t>
        </is>
      </c>
      <c r="B1100" s="6" t="inlineStr">
        <is>
          <t>Heri armadani</t>
        </is>
      </c>
      <c r="C1100" s="7" t="inlineStr">
        <is>
          <t>A - Agen</t>
        </is>
      </c>
      <c r="D1100" s="1" t="inlineStr">
        <is>
          <t>OP00238</t>
        </is>
      </c>
      <c r="E1100" s="8" t="n">
        <v>45086.90902777778</v>
      </c>
      <c r="F1100" s="7" t="inlineStr">
        <is>
          <t>DOWNLINE</t>
        </is>
      </c>
      <c r="G1100" s="18" t="inlineStr">
        <is>
          <t>OP00238</t>
        </is>
      </c>
      <c r="H1100" s="19">
        <f>UPPER(Table3[[#This Row],[Agen id]]&amp;"-"&amp;VLOOKUP(Table3[[#This Row],[Agen id]],A:B,2,0)&amp;"("&amp;Table3[[#This Row],[Short]]&amp;")")</f>
        <v/>
      </c>
      <c r="J1100" s="7">
        <f>VLOOKUP(Table3[[#This Row],[Agen id]],Agen!A:C,3,0)</f>
        <v/>
      </c>
      <c r="K1100" s="37">
        <f>TRIM(LEFT(Table3[[#This Row],[Group]],2))</f>
        <v/>
      </c>
      <c r="L1100" s="3" t="inlineStr">
        <is>
          <t>NON SALES</t>
        </is>
      </c>
    </row>
    <row r="1101">
      <c r="A1101" s="5" t="inlineStr">
        <is>
          <t>OP07347</t>
        </is>
      </c>
      <c r="B1101" s="6" t="inlineStr">
        <is>
          <t>Anas cell</t>
        </is>
      </c>
      <c r="C1101" s="7" t="inlineStr">
        <is>
          <t>A - Agen</t>
        </is>
      </c>
      <c r="D1101" s="1" t="inlineStr">
        <is>
          <t>OP00003</t>
        </is>
      </c>
      <c r="E1101" s="8" t="n">
        <v>45087.87777777778</v>
      </c>
      <c r="F1101" s="7" t="inlineStr">
        <is>
          <t>AGEN</t>
        </is>
      </c>
      <c r="G1101" s="18" t="inlineStr">
        <is>
          <t>OP07347</t>
        </is>
      </c>
      <c r="H1101" s="19">
        <f>UPPER(Table3[[#This Row],[Agen id]]&amp;"-"&amp;VLOOKUP(Table3[[#This Row],[Agen id]],A:B,2,0)&amp;"("&amp;Table3[[#This Row],[Short]]&amp;")")</f>
        <v/>
      </c>
      <c r="J1101" s="7">
        <f>VLOOKUP(Table3[[#This Row],[Agen id]],Agen!A:C,3,0)</f>
        <v/>
      </c>
      <c r="K1101" s="37">
        <f>TRIM(LEFT(Table3[[#This Row],[Group]],2))</f>
        <v/>
      </c>
      <c r="L1101" s="3" t="inlineStr">
        <is>
          <t>NON SALES</t>
        </is>
      </c>
    </row>
    <row r="1102">
      <c r="A1102" s="5" t="inlineStr">
        <is>
          <t>OP07348</t>
        </is>
      </c>
      <c r="B1102" s="6" t="inlineStr">
        <is>
          <t>Gustiawati herlinda</t>
        </is>
      </c>
      <c r="C1102" s="7" t="inlineStr">
        <is>
          <t>A - Agen</t>
        </is>
      </c>
      <c r="D1102" s="1" t="inlineStr">
        <is>
          <t>OP00002</t>
        </is>
      </c>
      <c r="E1102" s="8" t="n">
        <v>45087.96875</v>
      </c>
      <c r="F1102" s="7" t="inlineStr">
        <is>
          <t>AGEN</t>
        </is>
      </c>
      <c r="G1102" s="18" t="inlineStr">
        <is>
          <t>OP07348</t>
        </is>
      </c>
      <c r="H1102" s="19">
        <f>UPPER(Table3[[#This Row],[Agen id]]&amp;"-"&amp;VLOOKUP(Table3[[#This Row],[Agen id]],A:B,2,0)&amp;"("&amp;Table3[[#This Row],[Short]]&amp;")")</f>
        <v/>
      </c>
      <c r="J1102" s="7">
        <f>VLOOKUP(Table3[[#This Row],[Agen id]],Agen!A:C,3,0)</f>
        <v/>
      </c>
      <c r="K1102" s="37">
        <f>TRIM(LEFT(Table3[[#This Row],[Group]],2))</f>
        <v/>
      </c>
      <c r="L1102" s="3" t="inlineStr">
        <is>
          <t>NON SALES</t>
        </is>
      </c>
    </row>
    <row r="1103">
      <c r="A1103" s="5" t="inlineStr">
        <is>
          <t>OP07351</t>
        </is>
      </c>
      <c r="B1103" s="6" t="inlineStr">
        <is>
          <t>VS Cell Viola_Syauqi</t>
        </is>
      </c>
      <c r="C1103" s="7" t="inlineStr">
        <is>
          <t>A - Agen</t>
        </is>
      </c>
      <c r="D1103" s="1" t="inlineStr">
        <is>
          <t>OP00002</t>
        </is>
      </c>
      <c r="E1103" s="8" t="n">
        <v>45088.74722222222</v>
      </c>
      <c r="F1103" s="7" t="inlineStr">
        <is>
          <t>AGEN</t>
        </is>
      </c>
      <c r="G1103" s="18" t="inlineStr">
        <is>
          <t>OP07351</t>
        </is>
      </c>
      <c r="H1103" s="19">
        <f>UPPER(Table3[[#This Row],[Agen id]]&amp;"-"&amp;VLOOKUP(Table3[[#This Row],[Agen id]],A:B,2,0)&amp;"("&amp;Table3[[#This Row],[Short]]&amp;")")</f>
        <v/>
      </c>
      <c r="J1103" s="7">
        <f>VLOOKUP(Table3[[#This Row],[Agen id]],Agen!A:C,3,0)</f>
        <v/>
      </c>
      <c r="K1103" s="37">
        <f>TRIM(LEFT(Table3[[#This Row],[Group]],2))</f>
        <v/>
      </c>
      <c r="L1103" s="3" t="inlineStr">
        <is>
          <t>NON SALES</t>
        </is>
      </c>
    </row>
    <row r="1104">
      <c r="A1104" s="5" t="inlineStr">
        <is>
          <t>OP07352</t>
        </is>
      </c>
      <c r="B1104" s="6" t="inlineStr">
        <is>
          <t>Yayan Ardi Priawan</t>
        </is>
      </c>
      <c r="C1104" s="7" t="inlineStr">
        <is>
          <t>A - Agen</t>
        </is>
      </c>
      <c r="D1104" s="1" t="inlineStr">
        <is>
          <t>OP00003</t>
        </is>
      </c>
      <c r="E1104" s="8" t="n">
        <v>45088.99097222222</v>
      </c>
      <c r="F1104" s="7" t="inlineStr">
        <is>
          <t>AGEN</t>
        </is>
      </c>
      <c r="G1104" s="18" t="inlineStr">
        <is>
          <t>OP07352</t>
        </is>
      </c>
      <c r="H1104" s="19">
        <f>UPPER(Table3[[#This Row],[Agen id]]&amp;"-"&amp;VLOOKUP(Table3[[#This Row],[Agen id]],A:B,2,0)&amp;"("&amp;Table3[[#This Row],[Short]]&amp;")")</f>
        <v/>
      </c>
      <c r="J1104" s="7">
        <f>VLOOKUP(Table3[[#This Row],[Agen id]],Agen!A:C,3,0)</f>
        <v/>
      </c>
      <c r="K1104" s="37">
        <f>TRIM(LEFT(Table3[[#This Row],[Group]],2))</f>
        <v/>
      </c>
      <c r="L1104" s="3" t="inlineStr">
        <is>
          <t>NON SALES</t>
        </is>
      </c>
    </row>
    <row r="1105">
      <c r="A1105" s="5" t="inlineStr">
        <is>
          <t>OP07355</t>
        </is>
      </c>
      <c r="B1105" s="6" t="inlineStr">
        <is>
          <t>Tari</t>
        </is>
      </c>
      <c r="C1105" s="7" t="inlineStr">
        <is>
          <t>A - Agen</t>
        </is>
      </c>
      <c r="D1105" s="1" t="inlineStr">
        <is>
          <t>OP00002</t>
        </is>
      </c>
      <c r="E1105" s="8" t="n">
        <v>45089.4</v>
      </c>
      <c r="F1105" s="7" t="inlineStr">
        <is>
          <t>AGEN</t>
        </is>
      </c>
      <c r="G1105" s="18" t="inlineStr">
        <is>
          <t>OP07355</t>
        </is>
      </c>
      <c r="H1105" s="19">
        <f>UPPER(Table3[[#This Row],[Agen id]]&amp;"-"&amp;VLOOKUP(Table3[[#This Row],[Agen id]],A:B,2,0)&amp;"("&amp;Table3[[#This Row],[Short]]&amp;")")</f>
        <v/>
      </c>
      <c r="J1105" s="7">
        <f>VLOOKUP(Table3[[#This Row],[Agen id]],Agen!A:C,3,0)</f>
        <v/>
      </c>
      <c r="K1105" s="37">
        <f>TRIM(LEFT(Table3[[#This Row],[Group]],2))</f>
        <v/>
      </c>
      <c r="L1105" s="3" t="inlineStr">
        <is>
          <t>NON SALES</t>
        </is>
      </c>
    </row>
    <row r="1106">
      <c r="A1106" s="5" t="inlineStr">
        <is>
          <t>OP07357</t>
        </is>
      </c>
      <c r="B1106" s="6" t="inlineStr">
        <is>
          <t>Aris Nurmiyanto</t>
        </is>
      </c>
      <c r="C1106" s="7" t="inlineStr">
        <is>
          <t>MK - Marketing</t>
        </is>
      </c>
      <c r="D1106" s="1" t="inlineStr">
        <is>
          <t>OP00002</t>
        </is>
      </c>
      <c r="E1106" s="8" t="n">
        <v>45090.50972222222</v>
      </c>
      <c r="F1106" s="7" t="inlineStr">
        <is>
          <t>AGEN</t>
        </is>
      </c>
      <c r="G1106" s="18" t="inlineStr">
        <is>
          <t>OP07357</t>
        </is>
      </c>
      <c r="H1106" s="19">
        <f>UPPER(Table3[[#This Row],[Agen id]]&amp;"-"&amp;VLOOKUP(Table3[[#This Row],[Agen id]],A:B,2,0)&amp;"("&amp;Table3[[#This Row],[Short]]&amp;")")</f>
        <v/>
      </c>
      <c r="J1106" s="7">
        <f>VLOOKUP(Table3[[#This Row],[Agen id]],Agen!A:C,3,0)</f>
        <v/>
      </c>
      <c r="K1106" s="37">
        <f>TRIM(LEFT(Table3[[#This Row],[Group]],2))</f>
        <v/>
      </c>
      <c r="L1106" s="3" t="inlineStr">
        <is>
          <t>NON SALES</t>
        </is>
      </c>
    </row>
    <row r="1107">
      <c r="A1107" s="5" t="inlineStr">
        <is>
          <t>OP07359</t>
        </is>
      </c>
      <c r="B1107" s="6" t="inlineStr">
        <is>
          <t>VS Cell Viola_Syauqi</t>
        </is>
      </c>
      <c r="C1107" s="7" t="inlineStr">
        <is>
          <t>A - Agen</t>
        </is>
      </c>
      <c r="D1107" s="1" t="inlineStr">
        <is>
          <t>OP00002</t>
        </is>
      </c>
      <c r="E1107" s="8" t="n">
        <v>45091.43888888889</v>
      </c>
      <c r="F1107" s="7" t="inlineStr">
        <is>
          <t>AGEN</t>
        </is>
      </c>
      <c r="G1107" s="18" t="inlineStr">
        <is>
          <t>OP07359</t>
        </is>
      </c>
      <c r="H1107" s="19">
        <f>UPPER(Table3[[#This Row],[Agen id]]&amp;"-"&amp;VLOOKUP(Table3[[#This Row],[Agen id]],A:B,2,0)&amp;"("&amp;Table3[[#This Row],[Short]]&amp;")")</f>
        <v/>
      </c>
      <c r="J1107" s="7">
        <f>VLOOKUP(Table3[[#This Row],[Agen id]],Agen!A:C,3,0)</f>
        <v/>
      </c>
      <c r="K1107" s="37">
        <f>TRIM(LEFT(Table3[[#This Row],[Group]],2))</f>
        <v/>
      </c>
      <c r="L1107" s="3" t="inlineStr">
        <is>
          <t>NON SALES</t>
        </is>
      </c>
    </row>
    <row r="1108">
      <c r="A1108" s="5" t="inlineStr">
        <is>
          <t>OP07360</t>
        </is>
      </c>
      <c r="B1108" s="6" t="inlineStr">
        <is>
          <t>Pasha</t>
        </is>
      </c>
      <c r="C1108" s="7" t="inlineStr">
        <is>
          <t>AV - Agen Verified</t>
        </is>
      </c>
      <c r="D1108" s="1" t="inlineStr">
        <is>
          <t>OP00002</t>
        </is>
      </c>
      <c r="E1108" s="8" t="n">
        <v>45091.62708333333</v>
      </c>
      <c r="F1108" s="7" t="inlineStr">
        <is>
          <t>AGEN</t>
        </is>
      </c>
      <c r="G1108" s="7" t="inlineStr">
        <is>
          <t>OP07360</t>
        </is>
      </c>
      <c r="H1108" s="19">
        <f>UPPER(Table3[[#This Row],[Agen id]]&amp;"-"&amp;VLOOKUP(Table3[[#This Row],[Agen id]],A:B,2,0)&amp;"("&amp;Table3[[#This Row],[Short]]&amp;")")</f>
        <v/>
      </c>
      <c r="J1108" s="7">
        <f>VLOOKUP(Table3[[#This Row],[Agen id]],Agen!A:C,3,0)</f>
        <v/>
      </c>
      <c r="K1108" s="37">
        <f>TRIM(LEFT(Table3[[#This Row],[Group]],2))</f>
        <v/>
      </c>
      <c r="L1108" s="3" t="inlineStr">
        <is>
          <t>NON SALES</t>
        </is>
      </c>
    </row>
    <row r="1109">
      <c r="A1109" s="5" t="inlineStr">
        <is>
          <t>OP07366</t>
        </is>
      </c>
      <c r="B1109" s="6" t="inlineStr">
        <is>
          <t>Wulandari</t>
        </is>
      </c>
      <c r="C1109" s="7" t="inlineStr">
        <is>
          <t>A - Agen</t>
        </is>
      </c>
      <c r="D1109" s="1" t="inlineStr">
        <is>
          <t>OP00002</t>
        </is>
      </c>
      <c r="E1109" s="8" t="n">
        <v>45092.45555555556</v>
      </c>
      <c r="F1109" s="7" t="inlineStr">
        <is>
          <t>AGEN</t>
        </is>
      </c>
      <c r="G1109" s="18" t="inlineStr">
        <is>
          <t>OP07366</t>
        </is>
      </c>
      <c r="H1109" s="19">
        <f>UPPER(Table3[[#This Row],[Agen id]]&amp;"-"&amp;VLOOKUP(Table3[[#This Row],[Agen id]],A:B,2,0)&amp;"("&amp;Table3[[#This Row],[Short]]&amp;")")</f>
        <v/>
      </c>
      <c r="J1109" s="7">
        <f>VLOOKUP(Table3[[#This Row],[Agen id]],Agen!A:C,3,0)</f>
        <v/>
      </c>
      <c r="K1109" s="37">
        <f>TRIM(LEFT(Table3[[#This Row],[Group]],2))</f>
        <v/>
      </c>
      <c r="L1109" s="3" t="inlineStr">
        <is>
          <t>NON SALES</t>
        </is>
      </c>
    </row>
    <row r="1110">
      <c r="A1110" s="5" t="inlineStr">
        <is>
          <t>OP07367</t>
        </is>
      </c>
      <c r="B1110" s="6" t="inlineStr">
        <is>
          <t>Sales A</t>
        </is>
      </c>
      <c r="C1110" s="7" t="inlineStr">
        <is>
          <t>AV - Agen Verified</t>
        </is>
      </c>
      <c r="D1110" s="1" t="inlineStr">
        <is>
          <t>OP00004</t>
        </is>
      </c>
      <c r="E1110" s="8" t="n">
        <v>45092.53055555555</v>
      </c>
      <c r="F1110" s="7" t="inlineStr">
        <is>
          <t>SALES</t>
        </is>
      </c>
      <c r="G1110" s="18" t="inlineStr">
        <is>
          <t>OP07367</t>
        </is>
      </c>
      <c r="H1110" s="19">
        <f>UPPER(Table3[[#This Row],[Agen id]]&amp;"-"&amp;VLOOKUP(Table3[[#This Row],[Agen id]],A:B,2,0)&amp;"("&amp;Table3[[#This Row],[Short]]&amp;")")</f>
        <v/>
      </c>
      <c r="J1110" s="7">
        <f>VLOOKUP(Table3[[#This Row],[Agen id]],Agen!A:C,3,0)</f>
        <v/>
      </c>
      <c r="K1110" s="37">
        <f>TRIM(LEFT(Table3[[#This Row],[Group]],2))</f>
        <v/>
      </c>
      <c r="L1110" s="3" t="inlineStr">
        <is>
          <t>NON SALES</t>
        </is>
      </c>
    </row>
    <row r="1111">
      <c r="A1111" s="5" t="inlineStr">
        <is>
          <t>OP07369</t>
        </is>
      </c>
      <c r="B1111" s="6" t="inlineStr">
        <is>
          <t>Meca</t>
        </is>
      </c>
      <c r="C1111" s="7" t="inlineStr">
        <is>
          <t>A - Agen</t>
        </is>
      </c>
      <c r="D1111" s="1" t="inlineStr">
        <is>
          <t>OP00002</t>
        </is>
      </c>
      <c r="E1111" s="8" t="n">
        <v>45092.81319444445</v>
      </c>
      <c r="F1111" s="7" t="inlineStr">
        <is>
          <t>AGEN</t>
        </is>
      </c>
      <c r="G1111" s="18" t="inlineStr">
        <is>
          <t>OP07369</t>
        </is>
      </c>
      <c r="H1111" s="19">
        <f>UPPER(Table3[[#This Row],[Agen id]]&amp;"-"&amp;VLOOKUP(Table3[[#This Row],[Agen id]],A:B,2,0)&amp;"("&amp;Table3[[#This Row],[Short]]&amp;")")</f>
        <v/>
      </c>
      <c r="J1111" s="7">
        <f>VLOOKUP(Table3[[#This Row],[Agen id]],Agen!A:C,3,0)</f>
        <v/>
      </c>
      <c r="K1111" s="37">
        <f>TRIM(LEFT(Table3[[#This Row],[Group]],2))</f>
        <v/>
      </c>
      <c r="L1111" s="3" t="inlineStr">
        <is>
          <t>NON SALES</t>
        </is>
      </c>
    </row>
    <row r="1112">
      <c r="A1112" s="5" t="inlineStr">
        <is>
          <t>OP07374</t>
        </is>
      </c>
      <c r="B1112" s="6" t="inlineStr">
        <is>
          <t>Desi rihi tuniama</t>
        </is>
      </c>
      <c r="C1112" s="7" t="inlineStr">
        <is>
          <t>AV - Agen Verified</t>
        </is>
      </c>
      <c r="D1112" s="1" t="inlineStr">
        <is>
          <t>OP00002</t>
        </is>
      </c>
      <c r="E1112" s="8" t="n">
        <v>45093.43888888889</v>
      </c>
      <c r="F1112" s="7" t="inlineStr">
        <is>
          <t>AGEN</t>
        </is>
      </c>
      <c r="G1112" s="18" t="inlineStr">
        <is>
          <t>OP07374</t>
        </is>
      </c>
      <c r="H1112" s="19">
        <f>UPPER(Table3[[#This Row],[Agen id]]&amp;"-"&amp;VLOOKUP(Table3[[#This Row],[Agen id]],A:B,2,0)&amp;"("&amp;Table3[[#This Row],[Short]]&amp;")")</f>
        <v/>
      </c>
      <c r="J1112" s="7">
        <f>VLOOKUP(Table3[[#This Row],[Agen id]],Agen!A:C,3,0)</f>
        <v/>
      </c>
      <c r="K1112" s="37">
        <f>TRIM(LEFT(Table3[[#This Row],[Group]],2))</f>
        <v/>
      </c>
      <c r="L1112" s="3" t="inlineStr">
        <is>
          <t>NON SALES</t>
        </is>
      </c>
    </row>
    <row r="1113">
      <c r="A1113" s="5" t="inlineStr">
        <is>
          <t>OP07375</t>
        </is>
      </c>
      <c r="B1113" s="6" t="inlineStr">
        <is>
          <t>Riris</t>
        </is>
      </c>
      <c r="C1113" s="7" t="inlineStr">
        <is>
          <t>A - Agen</t>
        </is>
      </c>
      <c r="D1113" s="1" t="inlineStr">
        <is>
          <t>OP00615</t>
        </is>
      </c>
      <c r="E1113" s="8" t="n">
        <v>45093.46736111111</v>
      </c>
      <c r="F1113" s="7" t="inlineStr">
        <is>
          <t>DOWNLINE</t>
        </is>
      </c>
      <c r="G1113" s="18" t="inlineStr">
        <is>
          <t>OP00049</t>
        </is>
      </c>
      <c r="H1113" s="19">
        <f>UPPER(Table3[[#This Row],[Agen id]]&amp;"-"&amp;VLOOKUP(Table3[[#This Row],[Agen id]],A:B,2,0)&amp;"("&amp;Table3[[#This Row],[Short]]&amp;")")</f>
        <v/>
      </c>
      <c r="J1113" s="7">
        <f>VLOOKUP(Table3[[#This Row],[Agen id]],Agen!A:C,3,0)</f>
        <v/>
      </c>
      <c r="K1113" s="37">
        <f>TRIM(LEFT(Table3[[#This Row],[Group]],2))</f>
        <v/>
      </c>
      <c r="L1113" s="3" t="inlineStr">
        <is>
          <t>NON SALES</t>
        </is>
      </c>
    </row>
    <row r="1114">
      <c r="A1114" s="5" t="inlineStr">
        <is>
          <t>OP07380</t>
        </is>
      </c>
      <c r="B1114" s="6" t="inlineStr">
        <is>
          <t>Sendi sauqi ridwan</t>
        </is>
      </c>
      <c r="C1114" s="7" t="inlineStr">
        <is>
          <t>A - Agen</t>
        </is>
      </c>
      <c r="D1114" s="1" t="inlineStr">
        <is>
          <t>OP00002</t>
        </is>
      </c>
      <c r="E1114" s="8" t="n">
        <v>45093.69791666666</v>
      </c>
      <c r="F1114" s="7" t="inlineStr">
        <is>
          <t>AGEN</t>
        </is>
      </c>
      <c r="G1114" s="18" t="inlineStr">
        <is>
          <t>OP07380</t>
        </is>
      </c>
      <c r="H1114" s="19">
        <f>UPPER(Table3[[#This Row],[Agen id]]&amp;"-"&amp;VLOOKUP(Table3[[#This Row],[Agen id]],A:B,2,0)&amp;"("&amp;Table3[[#This Row],[Short]]&amp;")")</f>
        <v/>
      </c>
      <c r="J1114" s="7">
        <f>VLOOKUP(Table3[[#This Row],[Agen id]],Agen!A:C,3,0)</f>
        <v/>
      </c>
      <c r="K1114" s="37">
        <f>TRIM(LEFT(Table3[[#This Row],[Group]],2))</f>
        <v/>
      </c>
      <c r="L1114" s="3" t="inlineStr">
        <is>
          <t>NON SALES</t>
        </is>
      </c>
    </row>
    <row r="1115">
      <c r="A1115" s="5" t="inlineStr">
        <is>
          <t>OP07385</t>
        </is>
      </c>
      <c r="B1115" s="6" t="inlineStr">
        <is>
          <t>Daniel</t>
        </is>
      </c>
      <c r="C1115" s="7" t="inlineStr">
        <is>
          <t>A - Agen</t>
        </is>
      </c>
      <c r="D1115" s="1" t="inlineStr">
        <is>
          <t>OP00002</t>
        </is>
      </c>
      <c r="E1115" s="8" t="n">
        <v>45093.88541666666</v>
      </c>
      <c r="F1115" s="7" t="inlineStr">
        <is>
          <t>AGEN</t>
        </is>
      </c>
      <c r="G1115" s="18" t="inlineStr">
        <is>
          <t>OP07385</t>
        </is>
      </c>
      <c r="H1115" s="19">
        <f>UPPER(Table3[[#This Row],[Agen id]]&amp;"-"&amp;VLOOKUP(Table3[[#This Row],[Agen id]],A:B,2,0)&amp;"("&amp;Table3[[#This Row],[Short]]&amp;")")</f>
        <v/>
      </c>
      <c r="J1115" s="7">
        <f>VLOOKUP(Table3[[#This Row],[Agen id]],Agen!A:C,3,0)</f>
        <v/>
      </c>
      <c r="K1115" s="37">
        <f>TRIM(LEFT(Table3[[#This Row],[Group]],2))</f>
        <v/>
      </c>
      <c r="L1115" s="3" t="inlineStr">
        <is>
          <t>NON SALES</t>
        </is>
      </c>
    </row>
    <row r="1116">
      <c r="A1116" s="5" t="inlineStr">
        <is>
          <t>OP07393</t>
        </is>
      </c>
      <c r="B1116" s="6" t="inlineStr">
        <is>
          <t>UNGEE CELL</t>
        </is>
      </c>
      <c r="C1116" s="7" t="inlineStr">
        <is>
          <t>A - Agen</t>
        </is>
      </c>
      <c r="D1116" s="1" t="inlineStr">
        <is>
          <t>OP00002</t>
        </is>
      </c>
      <c r="E1116" s="8" t="n">
        <v>45094.71666666667</v>
      </c>
      <c r="F1116" s="7" t="inlineStr">
        <is>
          <t>AGEN</t>
        </is>
      </c>
      <c r="G1116" s="18" t="inlineStr">
        <is>
          <t>OP07393</t>
        </is>
      </c>
      <c r="H1116" s="19">
        <f>UPPER(Table3[[#This Row],[Agen id]]&amp;"-"&amp;VLOOKUP(Table3[[#This Row],[Agen id]],A:B,2,0)&amp;"("&amp;Table3[[#This Row],[Short]]&amp;")")</f>
        <v/>
      </c>
      <c r="J1116" s="7">
        <f>VLOOKUP(Table3[[#This Row],[Agen id]],Agen!A:C,3,0)</f>
        <v/>
      </c>
      <c r="K1116" s="37">
        <f>TRIM(LEFT(Table3[[#This Row],[Group]],2))</f>
        <v/>
      </c>
      <c r="L1116" s="3" t="inlineStr">
        <is>
          <t>NON SALES</t>
        </is>
      </c>
    </row>
    <row r="1117">
      <c r="A1117" s="5" t="inlineStr">
        <is>
          <t>OP07397</t>
        </is>
      </c>
      <c r="B1117" s="6" t="inlineStr">
        <is>
          <t>M.Hafifudin</t>
        </is>
      </c>
      <c r="C1117" s="7" t="inlineStr">
        <is>
          <t>A - Agen</t>
        </is>
      </c>
      <c r="D1117" s="1" t="inlineStr">
        <is>
          <t>OP00002</t>
        </is>
      </c>
      <c r="E1117" s="8" t="n">
        <v>45095.375</v>
      </c>
      <c r="F1117" s="7" t="inlineStr">
        <is>
          <t>AGEN</t>
        </is>
      </c>
      <c r="G1117" s="18" t="inlineStr">
        <is>
          <t>OP07397</t>
        </is>
      </c>
      <c r="H1117" s="19">
        <f>UPPER(Table3[[#This Row],[Agen id]]&amp;"-"&amp;VLOOKUP(Table3[[#This Row],[Agen id]],A:B,2,0)&amp;"("&amp;Table3[[#This Row],[Short]]&amp;")")</f>
        <v/>
      </c>
      <c r="J1117" s="7">
        <f>VLOOKUP(Table3[[#This Row],[Agen id]],Agen!A:C,3,0)</f>
        <v/>
      </c>
      <c r="K1117" s="37">
        <f>TRIM(LEFT(Table3[[#This Row],[Group]],2))</f>
        <v/>
      </c>
      <c r="L1117" s="3" t="inlineStr">
        <is>
          <t>NON SALES</t>
        </is>
      </c>
    </row>
    <row r="1118">
      <c r="A1118" s="5" t="inlineStr">
        <is>
          <t>OP07413</t>
        </is>
      </c>
      <c r="B1118" s="6" t="inlineStr">
        <is>
          <t>syakila cell</t>
        </is>
      </c>
      <c r="C1118" s="7" t="inlineStr">
        <is>
          <t>AV - Agen Verified</t>
        </is>
      </c>
      <c r="D1118" s="1" t="inlineStr">
        <is>
          <t>OP06496</t>
        </is>
      </c>
      <c r="E1118" s="8" t="n">
        <v>45096.40625</v>
      </c>
      <c r="F1118" s="7" t="inlineStr">
        <is>
          <t>DOWNLINE</t>
        </is>
      </c>
      <c r="G1118" s="18" t="inlineStr">
        <is>
          <t>OP00996</t>
        </is>
      </c>
      <c r="H1118" s="19">
        <f>UPPER(Table3[[#This Row],[Agen id]]&amp;"-"&amp;VLOOKUP(Table3[[#This Row],[Agen id]],A:B,2,0)&amp;"("&amp;Table3[[#This Row],[Short]]&amp;")")</f>
        <v/>
      </c>
      <c r="J1118" s="7">
        <f>VLOOKUP(Table3[[#This Row],[Agen id]],Agen!A:C,3,0)</f>
        <v/>
      </c>
      <c r="K1118" s="37">
        <f>TRIM(LEFT(Table3[[#This Row],[Group]],2))</f>
        <v/>
      </c>
      <c r="L1118" s="3" t="inlineStr">
        <is>
          <t>NON SALES</t>
        </is>
      </c>
    </row>
    <row r="1119">
      <c r="A1119" s="5" t="inlineStr">
        <is>
          <t>OP07417</t>
        </is>
      </c>
      <c r="B1119" s="6" t="inlineStr">
        <is>
          <t>Hatha</t>
        </is>
      </c>
      <c r="C1119" s="7" t="inlineStr">
        <is>
          <t>AB1 - Agen Kab Bogor</t>
        </is>
      </c>
      <c r="D1119" s="1" t="inlineStr">
        <is>
          <t>OP07367</t>
        </is>
      </c>
      <c r="E1119" s="8" t="n">
        <v>45096.85208333333</v>
      </c>
      <c r="F1119" s="7" t="inlineStr">
        <is>
          <t>AGEN</t>
        </is>
      </c>
      <c r="G1119" s="18" t="inlineStr">
        <is>
          <t>OP07417</t>
        </is>
      </c>
      <c r="H1119" s="19">
        <f>UPPER(Table3[[#This Row],[Agen id]]&amp;"-"&amp;VLOOKUP(Table3[[#This Row],[Agen id]],A:B,2,0)&amp;"("&amp;Table3[[#This Row],[Short]]&amp;")")</f>
        <v/>
      </c>
      <c r="J1119" s="7">
        <f>VLOOKUP(Table3[[#This Row],[Agen id]],Agen!A:C,3,0)</f>
        <v/>
      </c>
      <c r="K1119" s="37">
        <f>TRIM(LEFT(Table3[[#This Row],[Group]],2))</f>
        <v/>
      </c>
      <c r="L1119" s="3" t="inlineStr">
        <is>
          <t>ARIS</t>
        </is>
      </c>
    </row>
    <row r="1120">
      <c r="A1120" s="5" t="inlineStr">
        <is>
          <t>OP07418</t>
        </is>
      </c>
      <c r="B1120" s="6" t="inlineStr">
        <is>
          <t>Yan</t>
        </is>
      </c>
      <c r="C1120" s="7" t="inlineStr">
        <is>
          <t>AB1 - Agen Kab Bogor</t>
        </is>
      </c>
      <c r="D1120" s="1" t="inlineStr">
        <is>
          <t>OP07367</t>
        </is>
      </c>
      <c r="E1120" s="8" t="n">
        <v>45097.38958333333</v>
      </c>
      <c r="F1120" s="7" t="inlineStr">
        <is>
          <t>AGEN</t>
        </is>
      </c>
      <c r="G1120" s="18" t="inlineStr">
        <is>
          <t>OP07418</t>
        </is>
      </c>
      <c r="H1120" s="19">
        <f>UPPER(Table3[[#This Row],[Agen id]]&amp;"-"&amp;VLOOKUP(Table3[[#This Row],[Agen id]],A:B,2,0)&amp;"("&amp;Table3[[#This Row],[Short]]&amp;")")</f>
        <v/>
      </c>
      <c r="J1120" s="7">
        <f>VLOOKUP(Table3[[#This Row],[Agen id]],Agen!A:C,3,0)</f>
        <v/>
      </c>
      <c r="K1120" s="37">
        <f>TRIM(LEFT(Table3[[#This Row],[Group]],2))</f>
        <v/>
      </c>
      <c r="L1120" s="3" t="inlineStr">
        <is>
          <t>ARIS</t>
        </is>
      </c>
    </row>
    <row r="1121">
      <c r="A1121" s="5" t="inlineStr">
        <is>
          <t>OP07419</t>
        </is>
      </c>
      <c r="B1121" s="6" t="inlineStr">
        <is>
          <t>Moh. Husnan</t>
        </is>
      </c>
      <c r="C1121" s="7" t="inlineStr">
        <is>
          <t>A - Agen</t>
        </is>
      </c>
      <c r="D1121" s="1" t="inlineStr">
        <is>
          <t>OP04445</t>
        </is>
      </c>
      <c r="E1121" s="8" t="n">
        <v>45097.39444444444</v>
      </c>
      <c r="F1121" s="7" t="inlineStr">
        <is>
          <t>DOWNLINE</t>
        </is>
      </c>
      <c r="G1121" s="18" t="inlineStr">
        <is>
          <t>OP04445</t>
        </is>
      </c>
      <c r="H1121" s="19">
        <f>UPPER(Table3[[#This Row],[Agen id]]&amp;"-"&amp;VLOOKUP(Table3[[#This Row],[Agen id]],A:B,2,0)&amp;"("&amp;Table3[[#This Row],[Short]]&amp;")")</f>
        <v/>
      </c>
      <c r="J1121" s="7">
        <f>VLOOKUP(Table3[[#This Row],[Agen id]],Agen!A:C,3,0)</f>
        <v/>
      </c>
      <c r="K1121" s="37">
        <f>TRIM(LEFT(Table3[[#This Row],[Group]],2))</f>
        <v/>
      </c>
      <c r="L1121" s="3" t="inlineStr">
        <is>
          <t>NON SALES</t>
        </is>
      </c>
    </row>
    <row r="1122">
      <c r="A1122" s="5" t="inlineStr">
        <is>
          <t>OP07421</t>
        </is>
      </c>
      <c r="B1122" s="6" t="inlineStr">
        <is>
          <t>Hadi prastia</t>
        </is>
      </c>
      <c r="C1122" s="7" t="inlineStr">
        <is>
          <t>AB1 - Agen Kab Bogor</t>
        </is>
      </c>
      <c r="D1122" s="1" t="inlineStr">
        <is>
          <t>OP07367</t>
        </is>
      </c>
      <c r="E1122" s="8" t="n">
        <v>45097.48055555556</v>
      </c>
      <c r="F1122" s="7" t="inlineStr">
        <is>
          <t>AGEN</t>
        </is>
      </c>
      <c r="G1122" s="18" t="inlineStr">
        <is>
          <t>OP07421</t>
        </is>
      </c>
      <c r="H1122" s="19">
        <f>UPPER(Table3[[#This Row],[Agen id]]&amp;"-"&amp;VLOOKUP(Table3[[#This Row],[Agen id]],A:B,2,0)&amp;"("&amp;Table3[[#This Row],[Short]]&amp;")")</f>
        <v/>
      </c>
      <c r="J1122" s="7">
        <f>VLOOKUP(Table3[[#This Row],[Agen id]],Agen!A:C,3,0)</f>
        <v/>
      </c>
      <c r="K1122" s="37">
        <f>TRIM(LEFT(Table3[[#This Row],[Group]],2))</f>
        <v/>
      </c>
      <c r="L1122" s="3" t="inlineStr">
        <is>
          <t>ARIS</t>
        </is>
      </c>
    </row>
    <row r="1123">
      <c r="A1123" s="5" t="inlineStr">
        <is>
          <t>OP07424</t>
        </is>
      </c>
      <c r="B1123" s="6" t="inlineStr">
        <is>
          <t>Bagus</t>
        </is>
      </c>
      <c r="C1123" s="7" t="inlineStr">
        <is>
          <t>AB1 - Agen Kab Bogor</t>
        </is>
      </c>
      <c r="D1123" s="1" t="inlineStr">
        <is>
          <t>OP07367</t>
        </is>
      </c>
      <c r="E1123" s="8" t="n">
        <v>45097.58125</v>
      </c>
      <c r="F1123" s="7" t="inlineStr">
        <is>
          <t>AGEN</t>
        </is>
      </c>
      <c r="G1123" s="18" t="inlineStr">
        <is>
          <t>OP07424</t>
        </is>
      </c>
      <c r="H1123" s="19">
        <f>UPPER(Table3[[#This Row],[Agen id]]&amp;"-"&amp;VLOOKUP(Table3[[#This Row],[Agen id]],A:B,2,0)&amp;"("&amp;Table3[[#This Row],[Short]]&amp;")")</f>
        <v/>
      </c>
      <c r="J1123" s="7">
        <f>VLOOKUP(Table3[[#This Row],[Agen id]],Agen!A:C,3,0)</f>
        <v/>
      </c>
      <c r="K1123" s="37">
        <f>TRIM(LEFT(Table3[[#This Row],[Group]],2))</f>
        <v/>
      </c>
      <c r="L1123" s="3" t="inlineStr">
        <is>
          <t>ARIS</t>
        </is>
      </c>
    </row>
    <row r="1124">
      <c r="A1124" s="5" t="inlineStr">
        <is>
          <t>OP07425</t>
        </is>
      </c>
      <c r="B1124" s="6" t="inlineStr">
        <is>
          <t>Fatur rahman</t>
        </is>
      </c>
      <c r="C1124" s="7" t="inlineStr">
        <is>
          <t>A - Agen</t>
        </is>
      </c>
      <c r="D1124" s="1" t="inlineStr">
        <is>
          <t>OP00002</t>
        </is>
      </c>
      <c r="E1124" s="8" t="n">
        <v>45097.69652777778</v>
      </c>
      <c r="F1124" s="7" t="inlineStr">
        <is>
          <t>AGEN</t>
        </is>
      </c>
      <c r="G1124" s="18" t="inlineStr">
        <is>
          <t>OP07425</t>
        </is>
      </c>
      <c r="H1124" s="19">
        <f>UPPER(Table3[[#This Row],[Agen id]]&amp;"-"&amp;VLOOKUP(Table3[[#This Row],[Agen id]],A:B,2,0)&amp;"("&amp;Table3[[#This Row],[Short]]&amp;")")</f>
        <v/>
      </c>
      <c r="J1124" s="7">
        <f>VLOOKUP(Table3[[#This Row],[Agen id]],Agen!A:C,3,0)</f>
        <v/>
      </c>
      <c r="K1124" s="37">
        <f>TRIM(LEFT(Table3[[#This Row],[Group]],2))</f>
        <v/>
      </c>
      <c r="L1124" s="3" t="inlineStr">
        <is>
          <t>NON SALES</t>
        </is>
      </c>
    </row>
    <row r="1125">
      <c r="A1125" s="5" t="inlineStr">
        <is>
          <t>OP07446</t>
        </is>
      </c>
      <c r="B1125" s="6" t="inlineStr">
        <is>
          <t>Sumarno</t>
        </is>
      </c>
      <c r="C1125" s="7" t="inlineStr">
        <is>
          <t>AB1 - Agen Kab Bogor</t>
        </is>
      </c>
      <c r="D1125" s="1" t="inlineStr">
        <is>
          <t>OP07367</t>
        </is>
      </c>
      <c r="E1125" s="8" t="n">
        <v>45098.54791666667</v>
      </c>
      <c r="F1125" s="7" t="inlineStr">
        <is>
          <t>AGEN</t>
        </is>
      </c>
      <c r="G1125" s="18" t="inlineStr">
        <is>
          <t>OP07446</t>
        </is>
      </c>
      <c r="H1125" s="19">
        <f>UPPER(Table3[[#This Row],[Agen id]]&amp;"-"&amp;VLOOKUP(Table3[[#This Row],[Agen id]],A:B,2,0)&amp;"("&amp;Table3[[#This Row],[Short]]&amp;")")</f>
        <v/>
      </c>
      <c r="J1125" s="7">
        <f>VLOOKUP(Table3[[#This Row],[Agen id]],Agen!A:C,3,0)</f>
        <v/>
      </c>
      <c r="K1125" s="37">
        <f>TRIM(LEFT(Table3[[#This Row],[Group]],2))</f>
        <v/>
      </c>
      <c r="L1125" s="3" t="inlineStr">
        <is>
          <t>ARIS</t>
        </is>
      </c>
    </row>
    <row r="1126">
      <c r="A1126" s="5" t="inlineStr">
        <is>
          <t>OP07447</t>
        </is>
      </c>
      <c r="B1126" s="6" t="inlineStr">
        <is>
          <t>Sofia Yanti</t>
        </is>
      </c>
      <c r="C1126" s="7" t="inlineStr">
        <is>
          <t>AB1 - Agen Kab Bogor</t>
        </is>
      </c>
      <c r="D1126" s="1" t="inlineStr">
        <is>
          <t>OP07367</t>
        </is>
      </c>
      <c r="E1126" s="8" t="n">
        <v>45098.59097222222</v>
      </c>
      <c r="F1126" s="7" t="inlineStr">
        <is>
          <t>AGEN</t>
        </is>
      </c>
      <c r="G1126" s="18" t="inlineStr">
        <is>
          <t>OP07447</t>
        </is>
      </c>
      <c r="H1126" s="19">
        <f>UPPER(Table3[[#This Row],[Agen id]]&amp;"-"&amp;VLOOKUP(Table3[[#This Row],[Agen id]],A:B,2,0)&amp;"("&amp;Table3[[#This Row],[Short]]&amp;")")</f>
        <v/>
      </c>
      <c r="J1126" s="7">
        <f>VLOOKUP(Table3[[#This Row],[Agen id]],Agen!A:C,3,0)</f>
        <v/>
      </c>
      <c r="K1126" s="37">
        <f>TRIM(LEFT(Table3[[#This Row],[Group]],2))</f>
        <v/>
      </c>
      <c r="L1126" s="3" t="inlineStr">
        <is>
          <t>ARIS</t>
        </is>
      </c>
    </row>
    <row r="1127">
      <c r="A1127" s="5" t="inlineStr">
        <is>
          <t>OP07450</t>
        </is>
      </c>
      <c r="B1127" s="6" t="inlineStr">
        <is>
          <t>Sherul cell</t>
        </is>
      </c>
      <c r="C1127" s="7" t="inlineStr">
        <is>
          <t>A - Agen</t>
        </is>
      </c>
      <c r="D1127" s="1" t="inlineStr">
        <is>
          <t>OP00002</t>
        </is>
      </c>
      <c r="E1127" s="8" t="n">
        <v>45098.725</v>
      </c>
      <c r="F1127" s="7" t="inlineStr">
        <is>
          <t>AGEN</t>
        </is>
      </c>
      <c r="G1127" s="18" t="inlineStr">
        <is>
          <t>OP07450</t>
        </is>
      </c>
      <c r="H1127" s="19">
        <f>UPPER(Table3[[#This Row],[Agen id]]&amp;"-"&amp;VLOOKUP(Table3[[#This Row],[Agen id]],A:B,2,0)&amp;"("&amp;Table3[[#This Row],[Short]]&amp;")")</f>
        <v/>
      </c>
      <c r="J1127" s="7">
        <f>VLOOKUP(Table3[[#This Row],[Agen id]],Agen!A:C,3,0)</f>
        <v/>
      </c>
      <c r="K1127" s="37">
        <f>TRIM(LEFT(Table3[[#This Row],[Group]],2))</f>
        <v/>
      </c>
      <c r="L1127" s="3" t="inlineStr">
        <is>
          <t>NON SALES</t>
        </is>
      </c>
    </row>
    <row r="1128">
      <c r="A1128" s="5" t="inlineStr">
        <is>
          <t>OP07454</t>
        </is>
      </c>
      <c r="B1128" s="6" t="inlineStr">
        <is>
          <t>Junaedi</t>
        </is>
      </c>
      <c r="C1128" s="7" t="inlineStr">
        <is>
          <t>AB1 - Agen Kab Bogor</t>
        </is>
      </c>
      <c r="D1128" s="1" t="inlineStr">
        <is>
          <t>OP07367</t>
        </is>
      </c>
      <c r="E1128" s="8" t="n">
        <v>45099.41111111111</v>
      </c>
      <c r="F1128" s="7" t="inlineStr">
        <is>
          <t>AGEN</t>
        </is>
      </c>
      <c r="G1128" s="18" t="inlineStr">
        <is>
          <t>OP07454</t>
        </is>
      </c>
      <c r="H1128" s="19">
        <f>UPPER(Table3[[#This Row],[Agen id]]&amp;"-"&amp;VLOOKUP(Table3[[#This Row],[Agen id]],A:B,2,0)&amp;"("&amp;Table3[[#This Row],[Short]]&amp;")")</f>
        <v/>
      </c>
      <c r="J1128" s="7">
        <f>VLOOKUP(Table3[[#This Row],[Agen id]],Agen!A:C,3,0)</f>
        <v/>
      </c>
      <c r="K1128" s="37">
        <f>TRIM(LEFT(Table3[[#This Row],[Group]],2))</f>
        <v/>
      </c>
      <c r="L1128" s="3" t="inlineStr">
        <is>
          <t>ARIS</t>
        </is>
      </c>
    </row>
    <row r="1129">
      <c r="A1129" s="5" t="inlineStr">
        <is>
          <t>OP07456</t>
        </is>
      </c>
      <c r="B1129" s="6" t="inlineStr">
        <is>
          <t>Dani Cell</t>
        </is>
      </c>
      <c r="C1129" s="7" t="inlineStr">
        <is>
          <t>AB1 - Agen Kab Bogor</t>
        </is>
      </c>
      <c r="D1129" s="1" t="inlineStr">
        <is>
          <t>OP07367</t>
        </is>
      </c>
      <c r="E1129" s="8" t="n">
        <v>45099.46111111111</v>
      </c>
      <c r="F1129" s="7" t="inlineStr">
        <is>
          <t>AGEN</t>
        </is>
      </c>
      <c r="G1129" s="18" t="inlineStr">
        <is>
          <t>OP07456</t>
        </is>
      </c>
      <c r="H1129" s="19">
        <f>UPPER(Table3[[#This Row],[Agen id]]&amp;"-"&amp;VLOOKUP(Table3[[#This Row],[Agen id]],A:B,2,0)&amp;"("&amp;Table3[[#This Row],[Short]]&amp;")")</f>
        <v/>
      </c>
      <c r="J1129" s="7">
        <f>VLOOKUP(Table3[[#This Row],[Agen id]],Agen!A:C,3,0)</f>
        <v/>
      </c>
      <c r="K1129" s="37">
        <f>TRIM(LEFT(Table3[[#This Row],[Group]],2))</f>
        <v/>
      </c>
      <c r="L1129" s="3" t="inlineStr">
        <is>
          <t>ARIS</t>
        </is>
      </c>
    </row>
    <row r="1130">
      <c r="A1130" s="5" t="inlineStr">
        <is>
          <t>OP07459</t>
        </is>
      </c>
      <c r="B1130" s="6" t="inlineStr">
        <is>
          <t>Ragel cell</t>
        </is>
      </c>
      <c r="C1130" s="7" t="inlineStr">
        <is>
          <t>AB1 - Agen Kab Bogor</t>
        </is>
      </c>
      <c r="D1130" s="1" t="inlineStr">
        <is>
          <t>OP00002</t>
        </is>
      </c>
      <c r="E1130" s="8" t="n">
        <v>45099.59513888889</v>
      </c>
      <c r="F1130" s="7" t="inlineStr">
        <is>
          <t>AGEN</t>
        </is>
      </c>
      <c r="G1130" s="18" t="inlineStr">
        <is>
          <t>OP07459</t>
        </is>
      </c>
      <c r="H1130" s="19">
        <f>UPPER(Table3[[#This Row],[Agen id]]&amp;"-"&amp;VLOOKUP(Table3[[#This Row],[Agen id]],A:B,2,0)&amp;"("&amp;Table3[[#This Row],[Short]]&amp;")")</f>
        <v/>
      </c>
      <c r="J1130" s="7">
        <f>VLOOKUP(Table3[[#This Row],[Agen id]],Agen!A:C,3,0)</f>
        <v/>
      </c>
      <c r="K1130" s="37">
        <f>TRIM(LEFT(Table3[[#This Row],[Group]],2))</f>
        <v/>
      </c>
      <c r="L1130" s="3" t="inlineStr">
        <is>
          <t>NON SALES</t>
        </is>
      </c>
    </row>
    <row r="1131">
      <c r="A1131" s="5" t="inlineStr">
        <is>
          <t>OP07461</t>
        </is>
      </c>
      <c r="B1131" s="6" t="inlineStr">
        <is>
          <t>DEA CELL</t>
        </is>
      </c>
      <c r="C1131" s="7" t="inlineStr">
        <is>
          <t>AK - Agen Khusus</t>
        </is>
      </c>
      <c r="D1131" s="1" t="inlineStr">
        <is>
          <t>OP06781</t>
        </is>
      </c>
      <c r="E1131" s="8" t="n">
        <v>45099.74791666667</v>
      </c>
      <c r="F1131" s="7" t="inlineStr">
        <is>
          <t>DOWNLINE</t>
        </is>
      </c>
      <c r="G1131" s="18" t="inlineStr">
        <is>
          <t>OP06781</t>
        </is>
      </c>
      <c r="H1131" s="19">
        <f>UPPER(Table3[[#This Row],[Agen id]]&amp;"-"&amp;VLOOKUP(Table3[[#This Row],[Agen id]],A:B,2,0)&amp;"("&amp;Table3[[#This Row],[Short]]&amp;")")</f>
        <v/>
      </c>
      <c r="J1131" s="7">
        <f>VLOOKUP(Table3[[#This Row],[Agen id]],Agen!A:C,3,0)</f>
        <v/>
      </c>
      <c r="K1131" s="37">
        <f>TRIM(LEFT(Table3[[#This Row],[Group]],2))</f>
        <v/>
      </c>
      <c r="L1131" s="3" t="inlineStr">
        <is>
          <t>NON SALES</t>
        </is>
      </c>
    </row>
    <row r="1132">
      <c r="A1132" s="5" t="inlineStr">
        <is>
          <t>OP07466</t>
        </is>
      </c>
      <c r="B1132" s="6" t="inlineStr">
        <is>
          <t>Sumiati</t>
        </is>
      </c>
      <c r="C1132" s="7" t="inlineStr">
        <is>
          <t>AV - Agen Verified</t>
        </is>
      </c>
      <c r="D1132" s="1" t="inlineStr">
        <is>
          <t>OP00002</t>
        </is>
      </c>
      <c r="E1132" s="8" t="n">
        <v>45099.88472222222</v>
      </c>
      <c r="F1132" s="7" t="inlineStr">
        <is>
          <t>AGEN</t>
        </is>
      </c>
      <c r="G1132" s="18" t="inlineStr">
        <is>
          <t>OP07466</t>
        </is>
      </c>
      <c r="H1132" s="19">
        <f>UPPER(Table3[[#This Row],[Agen id]]&amp;"-"&amp;VLOOKUP(Table3[[#This Row],[Agen id]],A:B,2,0)&amp;"("&amp;Table3[[#This Row],[Short]]&amp;")")</f>
        <v/>
      </c>
      <c r="J1132" s="7">
        <f>VLOOKUP(Table3[[#This Row],[Agen id]],Agen!A:C,3,0)</f>
        <v/>
      </c>
      <c r="K1132" s="37">
        <f>TRIM(LEFT(Table3[[#This Row],[Group]],2))</f>
        <v/>
      </c>
      <c r="L1132" s="3" t="inlineStr">
        <is>
          <t>NON SALES</t>
        </is>
      </c>
    </row>
    <row r="1133">
      <c r="A1133" s="5" t="inlineStr">
        <is>
          <t>OP07470</t>
        </is>
      </c>
      <c r="B1133" s="6" t="inlineStr">
        <is>
          <t>Sulikhah</t>
        </is>
      </c>
      <c r="C1133" s="7" t="inlineStr">
        <is>
          <t>AV - Agen Verified</t>
        </is>
      </c>
      <c r="D1133" s="1" t="inlineStr">
        <is>
          <t>OP00002</t>
        </is>
      </c>
      <c r="E1133" s="8" t="n">
        <v>45100.33958333333</v>
      </c>
      <c r="F1133" s="7" t="inlineStr">
        <is>
          <t>AGEN</t>
        </is>
      </c>
      <c r="G1133" s="18" t="inlineStr">
        <is>
          <t>OP07470</t>
        </is>
      </c>
      <c r="H1133" s="19">
        <f>UPPER(Table3[[#This Row],[Agen id]]&amp;"-"&amp;VLOOKUP(Table3[[#This Row],[Agen id]],A:B,2,0)&amp;"("&amp;Table3[[#This Row],[Short]]&amp;")")</f>
        <v/>
      </c>
      <c r="J1133" s="7">
        <f>VLOOKUP(Table3[[#This Row],[Agen id]],Agen!A:C,3,0)</f>
        <v/>
      </c>
      <c r="K1133" s="37">
        <f>TRIM(LEFT(Table3[[#This Row],[Group]],2))</f>
        <v/>
      </c>
      <c r="L1133" s="3" t="inlineStr">
        <is>
          <t>NON SALES</t>
        </is>
      </c>
    </row>
    <row r="1134">
      <c r="A1134" s="5" t="inlineStr">
        <is>
          <t>OP07471</t>
        </is>
      </c>
      <c r="B1134" s="6" t="inlineStr">
        <is>
          <t>Dito</t>
        </is>
      </c>
      <c r="C1134" s="7" t="inlineStr">
        <is>
          <t>AV - Agen Verified</t>
        </is>
      </c>
      <c r="D1134" s="1" t="inlineStr">
        <is>
          <t>OP00002</t>
        </is>
      </c>
      <c r="E1134" s="8" t="n">
        <v>45100.41736111111</v>
      </c>
      <c r="F1134" s="7" t="inlineStr">
        <is>
          <t>AGEN</t>
        </is>
      </c>
      <c r="G1134" s="18" t="inlineStr">
        <is>
          <t>OP07471</t>
        </is>
      </c>
      <c r="H1134" s="19">
        <f>UPPER(Table3[[#This Row],[Agen id]]&amp;"-"&amp;VLOOKUP(Table3[[#This Row],[Agen id]],A:B,2,0)&amp;"("&amp;Table3[[#This Row],[Short]]&amp;")")</f>
        <v/>
      </c>
      <c r="J1134" s="7">
        <f>VLOOKUP(Table3[[#This Row],[Agen id]],Agen!A:C,3,0)</f>
        <v/>
      </c>
      <c r="K1134" s="37">
        <f>TRIM(LEFT(Table3[[#This Row],[Group]],2))</f>
        <v/>
      </c>
      <c r="L1134" s="3" t="inlineStr">
        <is>
          <t>ARIS</t>
        </is>
      </c>
    </row>
    <row r="1135">
      <c r="A1135" s="5" t="inlineStr">
        <is>
          <t>OP07474</t>
        </is>
      </c>
      <c r="B1135" s="6" t="inlineStr">
        <is>
          <t>Herizal</t>
        </is>
      </c>
      <c r="C1135" s="7" t="inlineStr">
        <is>
          <t>A - Agen</t>
        </is>
      </c>
      <c r="D1135" s="1" t="inlineStr">
        <is>
          <t>OP07100</t>
        </is>
      </c>
      <c r="E1135" s="8" t="n">
        <v>45100.50347222222</v>
      </c>
      <c r="F1135" s="7" t="inlineStr">
        <is>
          <t>DOWNLINE</t>
        </is>
      </c>
      <c r="G1135" s="18" t="inlineStr">
        <is>
          <t>OP00996</t>
        </is>
      </c>
      <c r="H1135" s="19">
        <f>UPPER(Table3[[#This Row],[Agen id]]&amp;"-"&amp;VLOOKUP(Table3[[#This Row],[Agen id]],A:B,2,0)&amp;"("&amp;Table3[[#This Row],[Short]]&amp;")")</f>
        <v/>
      </c>
      <c r="J1135" s="7">
        <f>VLOOKUP(Table3[[#This Row],[Agen id]],Agen!A:C,3,0)</f>
        <v/>
      </c>
      <c r="K1135" s="37">
        <f>TRIM(LEFT(Table3[[#This Row],[Group]],2))</f>
        <v/>
      </c>
      <c r="L1135" s="3" t="inlineStr">
        <is>
          <t>NON SALES</t>
        </is>
      </c>
    </row>
    <row r="1136">
      <c r="A1136" s="5" t="inlineStr">
        <is>
          <t>OP07489</t>
        </is>
      </c>
      <c r="B1136" s="6" t="inlineStr">
        <is>
          <t>24 Cell</t>
        </is>
      </c>
      <c r="C1136" s="7" t="inlineStr">
        <is>
          <t>MK - Marketing</t>
        </is>
      </c>
      <c r="D1136" s="1" t="inlineStr">
        <is>
          <t>OP07367</t>
        </is>
      </c>
      <c r="E1136" s="8" t="n">
        <v>45101.42916666667</v>
      </c>
      <c r="F1136" s="7" t="inlineStr">
        <is>
          <t>AGEN</t>
        </is>
      </c>
      <c r="G1136" s="18" t="inlineStr">
        <is>
          <t>OP07489</t>
        </is>
      </c>
      <c r="H1136" s="19">
        <f>UPPER(Table3[[#This Row],[Agen id]]&amp;"-"&amp;VLOOKUP(Table3[[#This Row],[Agen id]],A:B,2,0)&amp;"("&amp;Table3[[#This Row],[Short]]&amp;")")</f>
        <v/>
      </c>
      <c r="J1136" s="7">
        <f>VLOOKUP(Table3[[#This Row],[Agen id]],Agen!A:C,3,0)</f>
        <v/>
      </c>
      <c r="K1136" s="37">
        <f>TRIM(LEFT(Table3[[#This Row],[Group]],2))</f>
        <v/>
      </c>
      <c r="L1136" s="3" t="inlineStr">
        <is>
          <t>NON SALES</t>
        </is>
      </c>
    </row>
    <row r="1137">
      <c r="A1137" s="5" t="inlineStr">
        <is>
          <t>OP07490</t>
        </is>
      </c>
      <c r="B1137" s="6" t="inlineStr">
        <is>
          <t>24cell salak</t>
        </is>
      </c>
      <c r="C1137" s="7" t="inlineStr">
        <is>
          <t>MK - Marketing</t>
        </is>
      </c>
      <c r="D1137" s="1" t="inlineStr">
        <is>
          <t>OP07489</t>
        </is>
      </c>
      <c r="E1137" s="8" t="n">
        <v>45101.45625</v>
      </c>
      <c r="F1137" s="7" t="inlineStr">
        <is>
          <t>DOWNLINE</t>
        </is>
      </c>
      <c r="G1137" s="18" t="inlineStr">
        <is>
          <t>OP07489</t>
        </is>
      </c>
      <c r="H1137" s="19">
        <f>UPPER(Table3[[#This Row],[Agen id]]&amp;"-"&amp;VLOOKUP(Table3[[#This Row],[Agen id]],A:B,2,0)&amp;"("&amp;Table3[[#This Row],[Short]]&amp;")")</f>
        <v/>
      </c>
      <c r="J1137" s="7">
        <f>VLOOKUP(Table3[[#This Row],[Agen id]],Agen!A:C,3,0)</f>
        <v/>
      </c>
      <c r="K1137" s="37">
        <f>TRIM(LEFT(Table3[[#This Row],[Group]],2))</f>
        <v/>
      </c>
      <c r="L1137" s="3" t="inlineStr">
        <is>
          <t>NON SALES</t>
        </is>
      </c>
    </row>
    <row r="1138">
      <c r="A1138" s="5" t="inlineStr">
        <is>
          <t>OP07491</t>
        </is>
      </c>
      <c r="B1138" s="6" t="inlineStr">
        <is>
          <t>Naya Cell</t>
        </is>
      </c>
      <c r="C1138" s="7" t="inlineStr">
        <is>
          <t>MK - Marketing</t>
        </is>
      </c>
      <c r="D1138" s="1" t="inlineStr">
        <is>
          <t>OP07489</t>
        </is>
      </c>
      <c r="E1138" s="8" t="n">
        <v>45101.47916666666</v>
      </c>
      <c r="F1138" s="7" t="inlineStr">
        <is>
          <t>DOWNLINE</t>
        </is>
      </c>
      <c r="G1138" s="18" t="inlineStr">
        <is>
          <t>OP07489</t>
        </is>
      </c>
      <c r="H1138" s="19">
        <f>UPPER(Table3[[#This Row],[Agen id]]&amp;"-"&amp;VLOOKUP(Table3[[#This Row],[Agen id]],A:B,2,0)&amp;"("&amp;Table3[[#This Row],[Short]]&amp;")")</f>
        <v/>
      </c>
      <c r="J1138" s="7">
        <f>VLOOKUP(Table3[[#This Row],[Agen id]],Agen!A:C,3,0)</f>
        <v/>
      </c>
      <c r="K1138" s="37">
        <f>TRIM(LEFT(Table3[[#This Row],[Group]],2))</f>
        <v/>
      </c>
      <c r="L1138" s="3" t="inlineStr">
        <is>
          <t>NON SALES</t>
        </is>
      </c>
    </row>
    <row r="1139">
      <c r="A1139" s="5" t="inlineStr">
        <is>
          <t>OP07492</t>
        </is>
      </c>
      <c r="B1139" s="6" t="inlineStr">
        <is>
          <t>24 Cell Haji Rean</t>
        </is>
      </c>
      <c r="C1139" s="7" t="inlineStr">
        <is>
          <t>MK - Marketing</t>
        </is>
      </c>
      <c r="D1139" s="1" t="inlineStr">
        <is>
          <t>OP07489</t>
        </is>
      </c>
      <c r="E1139" s="8" t="n">
        <v>45101.49930555555</v>
      </c>
      <c r="F1139" s="7" t="inlineStr">
        <is>
          <t>DOWNLINE</t>
        </is>
      </c>
      <c r="G1139" s="18" t="inlineStr">
        <is>
          <t>OP07489</t>
        </is>
      </c>
      <c r="H1139" s="19">
        <f>UPPER(Table3[[#This Row],[Agen id]]&amp;"-"&amp;VLOOKUP(Table3[[#This Row],[Agen id]],A:B,2,0)&amp;"("&amp;Table3[[#This Row],[Short]]&amp;")")</f>
        <v/>
      </c>
      <c r="J1139" s="7">
        <f>VLOOKUP(Table3[[#This Row],[Agen id]],Agen!A:C,3,0)</f>
        <v/>
      </c>
      <c r="K1139" s="37">
        <f>TRIM(LEFT(Table3[[#This Row],[Group]],2))</f>
        <v/>
      </c>
      <c r="L1139" s="3" t="inlineStr">
        <is>
          <t>NON SALES</t>
        </is>
      </c>
    </row>
    <row r="1140">
      <c r="A1140" s="5" t="inlineStr">
        <is>
          <t>OP07500</t>
        </is>
      </c>
      <c r="B1140" s="6" t="inlineStr">
        <is>
          <t>Afriyana Fataruba</t>
        </is>
      </c>
      <c r="C1140" s="7" t="inlineStr">
        <is>
          <t>A - Agen</t>
        </is>
      </c>
      <c r="D1140" s="1" t="inlineStr">
        <is>
          <t>OP00002</t>
        </is>
      </c>
      <c r="E1140" s="8" t="n">
        <v>45102.37430555555</v>
      </c>
      <c r="F1140" s="7" t="inlineStr">
        <is>
          <t>AGEN</t>
        </is>
      </c>
      <c r="G1140" s="18" t="inlineStr">
        <is>
          <t>OP07500</t>
        </is>
      </c>
      <c r="H1140" s="19">
        <f>UPPER(Table3[[#This Row],[Agen id]]&amp;"-"&amp;VLOOKUP(Table3[[#This Row],[Agen id]],A:B,2,0)&amp;"("&amp;Table3[[#This Row],[Short]]&amp;")")</f>
        <v/>
      </c>
      <c r="J1140" s="7">
        <f>VLOOKUP(Table3[[#This Row],[Agen id]],Agen!A:C,3,0)</f>
        <v/>
      </c>
      <c r="K1140" s="37">
        <f>TRIM(LEFT(Table3[[#This Row],[Group]],2))</f>
        <v/>
      </c>
      <c r="L1140" s="3" t="inlineStr">
        <is>
          <t>NON SALES</t>
        </is>
      </c>
    </row>
    <row r="1141">
      <c r="A1141" s="5" t="inlineStr">
        <is>
          <t>OP07507</t>
        </is>
      </c>
      <c r="B1141" s="6" t="inlineStr">
        <is>
          <t>Jasuncell</t>
        </is>
      </c>
      <c r="C1141" s="7" t="inlineStr">
        <is>
          <t>AB1 - Agen Kab Bogor</t>
        </is>
      </c>
      <c r="D1141" s="1" t="inlineStr">
        <is>
          <t>OP07367</t>
        </is>
      </c>
      <c r="E1141" s="8" t="n">
        <v>45103.69722222222</v>
      </c>
      <c r="F1141" s="7" t="inlineStr">
        <is>
          <t>AGEN</t>
        </is>
      </c>
      <c r="G1141" s="18" t="inlineStr">
        <is>
          <t>OP07507</t>
        </is>
      </c>
      <c r="H1141" s="19">
        <f>UPPER(Table3[[#This Row],[Agen id]]&amp;"-"&amp;VLOOKUP(Table3[[#This Row],[Agen id]],A:B,2,0)&amp;"("&amp;Table3[[#This Row],[Short]]&amp;")")</f>
        <v/>
      </c>
      <c r="J1141" s="7">
        <f>VLOOKUP(Table3[[#This Row],[Agen id]],Agen!A:C,3,0)</f>
        <v/>
      </c>
      <c r="K1141" s="37">
        <f>TRIM(LEFT(Table3[[#This Row],[Group]],2))</f>
        <v/>
      </c>
      <c r="L1141" s="3" t="inlineStr">
        <is>
          <t>ARIS</t>
        </is>
      </c>
    </row>
    <row r="1142">
      <c r="A1142" s="5" t="inlineStr">
        <is>
          <t>OP07514</t>
        </is>
      </c>
      <c r="B1142" s="6" t="inlineStr">
        <is>
          <t>Dhemi</t>
        </is>
      </c>
      <c r="C1142" s="7" t="inlineStr">
        <is>
          <t>A - Agen</t>
        </is>
      </c>
      <c r="D1142" s="1" t="inlineStr">
        <is>
          <t>OP00002</t>
        </is>
      </c>
      <c r="E1142" s="8" t="n">
        <v>45103.84791666667</v>
      </c>
      <c r="F1142" s="7" t="inlineStr">
        <is>
          <t>AGEN</t>
        </is>
      </c>
      <c r="G1142" s="18" t="inlineStr">
        <is>
          <t>OP07514</t>
        </is>
      </c>
      <c r="H1142" s="19">
        <f>UPPER(Table3[[#This Row],[Agen id]]&amp;"-"&amp;VLOOKUP(Table3[[#This Row],[Agen id]],A:B,2,0)&amp;"("&amp;Table3[[#This Row],[Short]]&amp;")")</f>
        <v/>
      </c>
      <c r="J1142" s="7">
        <f>VLOOKUP(Table3[[#This Row],[Agen id]],Agen!A:C,3,0)</f>
        <v/>
      </c>
      <c r="K1142" s="37">
        <f>TRIM(LEFT(Table3[[#This Row],[Group]],2))</f>
        <v/>
      </c>
      <c r="L1142" s="3" t="inlineStr">
        <is>
          <t>NON SALES</t>
        </is>
      </c>
    </row>
    <row r="1143">
      <c r="A1143" s="5" t="inlineStr">
        <is>
          <t>OP07517</t>
        </is>
      </c>
      <c r="B1143" s="6" t="inlineStr">
        <is>
          <t>3 in 1 Servis Phone Cell</t>
        </is>
      </c>
      <c r="C1143" s="7" t="inlineStr">
        <is>
          <t>AB1 - Agen Kab Bogor</t>
        </is>
      </c>
      <c r="D1143" s="1" t="inlineStr">
        <is>
          <t>OP07367</t>
        </is>
      </c>
      <c r="E1143" s="8" t="n">
        <v>45104.41388888889</v>
      </c>
      <c r="F1143" s="7" t="inlineStr">
        <is>
          <t>AGEN</t>
        </is>
      </c>
      <c r="G1143" s="18" t="inlineStr">
        <is>
          <t>OP07517</t>
        </is>
      </c>
      <c r="H1143" s="19">
        <f>UPPER(Table3[[#This Row],[Agen id]]&amp;"-"&amp;VLOOKUP(Table3[[#This Row],[Agen id]],A:B,2,0)&amp;"("&amp;Table3[[#This Row],[Short]]&amp;")")</f>
        <v/>
      </c>
      <c r="J1143" s="7">
        <f>VLOOKUP(Table3[[#This Row],[Agen id]],Agen!A:C,3,0)</f>
        <v/>
      </c>
      <c r="K1143" s="37">
        <f>TRIM(LEFT(Table3[[#This Row],[Group]],2))</f>
        <v/>
      </c>
      <c r="L1143" s="3" t="inlineStr">
        <is>
          <t>ARIS</t>
        </is>
      </c>
    </row>
    <row r="1144">
      <c r="A1144" s="5" t="inlineStr">
        <is>
          <t>OP07519</t>
        </is>
      </c>
      <c r="B1144" s="6" t="inlineStr">
        <is>
          <t>Dian Safitri</t>
        </is>
      </c>
      <c r="C1144" s="7" t="inlineStr">
        <is>
          <t>A - Agen</t>
        </is>
      </c>
      <c r="D1144" s="1" t="inlineStr">
        <is>
          <t>OP00002</t>
        </is>
      </c>
      <c r="E1144" s="8" t="n">
        <v>45104.43333333333</v>
      </c>
      <c r="F1144" s="7" t="inlineStr">
        <is>
          <t>AGEN</t>
        </is>
      </c>
      <c r="G1144" s="18" t="inlineStr">
        <is>
          <t>OP07519</t>
        </is>
      </c>
      <c r="H1144" s="19">
        <f>UPPER(Table3[[#This Row],[Agen id]]&amp;"-"&amp;VLOOKUP(Table3[[#This Row],[Agen id]],A:B,2,0)&amp;"("&amp;Table3[[#This Row],[Short]]&amp;")")</f>
        <v/>
      </c>
      <c r="J1144" s="7">
        <f>VLOOKUP(Table3[[#This Row],[Agen id]],Agen!A:C,3,0)</f>
        <v/>
      </c>
      <c r="K1144" s="37">
        <f>TRIM(LEFT(Table3[[#This Row],[Group]],2))</f>
        <v/>
      </c>
      <c r="L1144" s="3" t="inlineStr">
        <is>
          <t>NON SALES</t>
        </is>
      </c>
    </row>
    <row r="1145">
      <c r="A1145" s="5" t="inlineStr">
        <is>
          <t>OP07520</t>
        </is>
      </c>
      <c r="B1145" s="6" t="inlineStr">
        <is>
          <t>Sandi</t>
        </is>
      </c>
      <c r="C1145" s="7" t="inlineStr">
        <is>
          <t>AV - Agen Verified</t>
        </is>
      </c>
      <c r="D1145" s="1" t="inlineStr">
        <is>
          <t>OP00003</t>
        </is>
      </c>
      <c r="E1145" s="8" t="n">
        <v>45104.43333333333</v>
      </c>
      <c r="F1145" s="7" t="inlineStr">
        <is>
          <t>AGEN</t>
        </is>
      </c>
      <c r="G1145" s="18" t="inlineStr">
        <is>
          <t>OP07520</t>
        </is>
      </c>
      <c r="H1145" s="19">
        <f>UPPER(Table3[[#This Row],[Agen id]]&amp;"-"&amp;VLOOKUP(Table3[[#This Row],[Agen id]],A:B,2,0)&amp;"("&amp;Table3[[#This Row],[Short]]&amp;")")</f>
        <v/>
      </c>
      <c r="J1145" s="7">
        <f>VLOOKUP(Table3[[#This Row],[Agen id]],Agen!A:C,3,0)</f>
        <v/>
      </c>
      <c r="K1145" s="37">
        <f>TRIM(LEFT(Table3[[#This Row],[Group]],2))</f>
        <v/>
      </c>
      <c r="L1145" s="3" t="inlineStr">
        <is>
          <t>NON SALES</t>
        </is>
      </c>
    </row>
    <row r="1146">
      <c r="A1146" s="5" t="inlineStr">
        <is>
          <t>OP07521</t>
        </is>
      </c>
      <c r="B1146" s="6" t="inlineStr">
        <is>
          <t>NINETYCELL</t>
        </is>
      </c>
      <c r="C1146" s="7" t="inlineStr">
        <is>
          <t>AB1 - Agen Kab Bogor</t>
        </is>
      </c>
      <c r="D1146" s="1" t="inlineStr">
        <is>
          <t>OP07367</t>
        </is>
      </c>
      <c r="E1146" s="8" t="n">
        <v>45104.45555555556</v>
      </c>
      <c r="F1146" s="7" t="inlineStr">
        <is>
          <t>AGEN</t>
        </is>
      </c>
      <c r="G1146" s="18" t="inlineStr">
        <is>
          <t>OP07521</t>
        </is>
      </c>
      <c r="H1146" s="19">
        <f>UPPER(Table3[[#This Row],[Agen id]]&amp;"-"&amp;VLOOKUP(Table3[[#This Row],[Agen id]],A:B,2,0)&amp;"("&amp;Table3[[#This Row],[Short]]&amp;")")</f>
        <v/>
      </c>
      <c r="J1146" s="7">
        <f>VLOOKUP(Table3[[#This Row],[Agen id]],Agen!A:C,3,0)</f>
        <v/>
      </c>
      <c r="K1146" s="37">
        <f>TRIM(LEFT(Table3[[#This Row],[Group]],2))</f>
        <v/>
      </c>
      <c r="L1146" s="3" t="inlineStr">
        <is>
          <t>ARIS</t>
        </is>
      </c>
    </row>
    <row r="1147">
      <c r="A1147" s="5" t="inlineStr">
        <is>
          <t>OP07523</t>
        </is>
      </c>
      <c r="B1147" s="6" t="inlineStr">
        <is>
          <t>Aas hasanah</t>
        </is>
      </c>
      <c r="C1147" s="7" t="inlineStr">
        <is>
          <t>A - Agen</t>
        </is>
      </c>
      <c r="D1147" s="1" t="inlineStr">
        <is>
          <t>OP00002</t>
        </is>
      </c>
      <c r="E1147" s="8" t="n">
        <v>45104.46458333333</v>
      </c>
      <c r="F1147" s="7" t="inlineStr">
        <is>
          <t>AGEN</t>
        </is>
      </c>
      <c r="G1147" s="18" t="inlineStr">
        <is>
          <t>OP07523</t>
        </is>
      </c>
      <c r="H1147" s="19">
        <f>UPPER(Table3[[#This Row],[Agen id]]&amp;"-"&amp;VLOOKUP(Table3[[#This Row],[Agen id]],A:B,2,0)&amp;"("&amp;Table3[[#This Row],[Short]]&amp;")")</f>
        <v/>
      </c>
      <c r="J1147" s="7">
        <f>VLOOKUP(Table3[[#This Row],[Agen id]],Agen!A:C,3,0)</f>
        <v/>
      </c>
      <c r="K1147" s="37">
        <f>TRIM(LEFT(Table3[[#This Row],[Group]],2))</f>
        <v/>
      </c>
      <c r="L1147" s="3" t="inlineStr">
        <is>
          <t>NON SALES</t>
        </is>
      </c>
    </row>
    <row r="1148">
      <c r="A1148" s="5" t="inlineStr">
        <is>
          <t>OP07524</t>
        </is>
      </c>
      <c r="B1148" s="6" t="inlineStr">
        <is>
          <t>Reta</t>
        </is>
      </c>
      <c r="C1148" s="7" t="inlineStr">
        <is>
          <t>A - Agen</t>
        </is>
      </c>
      <c r="D1148" s="1" t="inlineStr">
        <is>
          <t>OP00002</t>
        </is>
      </c>
      <c r="E1148" s="8" t="n">
        <v>45104.59027777778</v>
      </c>
      <c r="F1148" s="7" t="inlineStr">
        <is>
          <t>AGEN</t>
        </is>
      </c>
      <c r="G1148" s="18" t="inlineStr">
        <is>
          <t>OP07524</t>
        </is>
      </c>
      <c r="H1148" s="19">
        <f>UPPER(Table3[[#This Row],[Agen id]]&amp;"-"&amp;VLOOKUP(Table3[[#This Row],[Agen id]],A:B,2,0)&amp;"("&amp;Table3[[#This Row],[Short]]&amp;")")</f>
        <v/>
      </c>
      <c r="J1148" s="7">
        <f>VLOOKUP(Table3[[#This Row],[Agen id]],Agen!A:C,3,0)</f>
        <v/>
      </c>
      <c r="K1148" s="37">
        <f>TRIM(LEFT(Table3[[#This Row],[Group]],2))</f>
        <v/>
      </c>
      <c r="L1148" s="3" t="inlineStr">
        <is>
          <t>NON SALES</t>
        </is>
      </c>
    </row>
    <row r="1149">
      <c r="A1149" s="5" t="inlineStr">
        <is>
          <t>OP07526</t>
        </is>
      </c>
      <c r="B1149" s="6" t="inlineStr">
        <is>
          <t>Sekawan cell</t>
        </is>
      </c>
      <c r="C1149" s="7" t="inlineStr">
        <is>
          <t>A - Agen</t>
        </is>
      </c>
      <c r="D1149" s="1" t="inlineStr">
        <is>
          <t>OP00996</t>
        </is>
      </c>
      <c r="E1149" s="8" t="n">
        <v>45104.82152777778</v>
      </c>
      <c r="F1149" s="7" t="inlineStr">
        <is>
          <t>DOWNLINE</t>
        </is>
      </c>
      <c r="G1149" s="18" t="inlineStr">
        <is>
          <t>OP00996</t>
        </is>
      </c>
      <c r="H1149" s="19">
        <f>UPPER(Table3[[#This Row],[Agen id]]&amp;"-"&amp;VLOOKUP(Table3[[#This Row],[Agen id]],A:B,2,0)&amp;"("&amp;Table3[[#This Row],[Short]]&amp;")")</f>
        <v/>
      </c>
      <c r="J1149" s="7">
        <f>VLOOKUP(Table3[[#This Row],[Agen id]],Agen!A:C,3,0)</f>
        <v/>
      </c>
      <c r="K1149" s="37">
        <f>TRIM(LEFT(Table3[[#This Row],[Group]],2))</f>
        <v/>
      </c>
      <c r="L1149" s="3" t="inlineStr">
        <is>
          <t>NON SALES</t>
        </is>
      </c>
    </row>
    <row r="1150">
      <c r="A1150" s="5" t="inlineStr">
        <is>
          <t>OP07528</t>
        </is>
      </c>
      <c r="B1150" s="6" t="inlineStr">
        <is>
          <t>Edi susanto</t>
        </is>
      </c>
      <c r="C1150" s="7" t="inlineStr">
        <is>
          <t>A - Agen</t>
        </is>
      </c>
      <c r="D1150" s="1" t="inlineStr">
        <is>
          <t>OP00003</t>
        </is>
      </c>
      <c r="E1150" s="8" t="n">
        <v>45104.93263888889</v>
      </c>
      <c r="F1150" s="7" t="inlineStr">
        <is>
          <t>AGEN</t>
        </is>
      </c>
      <c r="G1150" s="18" t="inlineStr">
        <is>
          <t>OP07528</t>
        </is>
      </c>
      <c r="H1150" s="19">
        <f>UPPER(Table3[[#This Row],[Agen id]]&amp;"-"&amp;VLOOKUP(Table3[[#This Row],[Agen id]],A:B,2,0)&amp;"("&amp;Table3[[#This Row],[Short]]&amp;")")</f>
        <v/>
      </c>
      <c r="J1150" s="7">
        <f>VLOOKUP(Table3[[#This Row],[Agen id]],Agen!A:C,3,0)</f>
        <v/>
      </c>
      <c r="K1150" s="37">
        <f>TRIM(LEFT(Table3[[#This Row],[Group]],2))</f>
        <v/>
      </c>
      <c r="L1150" s="3" t="inlineStr">
        <is>
          <t>NON SALES</t>
        </is>
      </c>
    </row>
    <row r="1151">
      <c r="A1151" s="5" t="inlineStr">
        <is>
          <t>OP07534</t>
        </is>
      </c>
      <c r="B1151" s="6" t="inlineStr">
        <is>
          <t>Sephiawati antula</t>
        </is>
      </c>
      <c r="C1151" s="7" t="inlineStr">
        <is>
          <t>A - Agen</t>
        </is>
      </c>
      <c r="D1151" s="1" t="inlineStr">
        <is>
          <t>OP04706</t>
        </is>
      </c>
      <c r="E1151" s="8" t="n">
        <v>45105.48333333333</v>
      </c>
      <c r="F1151" s="7" t="inlineStr">
        <is>
          <t>DOWNLINE</t>
        </is>
      </c>
      <c r="G1151" s="18" t="inlineStr">
        <is>
          <t>OP04706</t>
        </is>
      </c>
      <c r="H1151" s="19">
        <f>UPPER(Table3[[#This Row],[Agen id]]&amp;"-"&amp;VLOOKUP(Table3[[#This Row],[Agen id]],A:B,2,0)&amp;"("&amp;Table3[[#This Row],[Short]]&amp;")")</f>
        <v/>
      </c>
      <c r="J1151" s="7">
        <f>VLOOKUP(Table3[[#This Row],[Agen id]],Agen!A:C,3,0)</f>
        <v/>
      </c>
      <c r="K1151" s="37">
        <f>TRIM(LEFT(Table3[[#This Row],[Group]],2))</f>
        <v/>
      </c>
      <c r="L1151" s="3" t="inlineStr">
        <is>
          <t>NON SALES</t>
        </is>
      </c>
    </row>
    <row r="1152">
      <c r="A1152" s="5" t="inlineStr">
        <is>
          <t>OP07536</t>
        </is>
      </c>
      <c r="B1152" s="6" t="inlineStr">
        <is>
          <t>Arumi</t>
        </is>
      </c>
      <c r="C1152" s="7" t="inlineStr">
        <is>
          <t>A - Agen</t>
        </is>
      </c>
      <c r="D1152" s="1" t="inlineStr">
        <is>
          <t>OP00002</t>
        </is>
      </c>
      <c r="E1152" s="8" t="n">
        <v>45105.76805555556</v>
      </c>
      <c r="F1152" s="7" t="inlineStr">
        <is>
          <t>AGEN</t>
        </is>
      </c>
      <c r="G1152" s="18" t="inlineStr">
        <is>
          <t>OP07536</t>
        </is>
      </c>
      <c r="H1152" s="19">
        <f>UPPER(Table3[[#This Row],[Agen id]]&amp;"-"&amp;VLOOKUP(Table3[[#This Row],[Agen id]],A:B,2,0)&amp;"("&amp;Table3[[#This Row],[Short]]&amp;")")</f>
        <v/>
      </c>
      <c r="J1152" s="7">
        <f>VLOOKUP(Table3[[#This Row],[Agen id]],Agen!A:C,3,0)</f>
        <v/>
      </c>
      <c r="K1152" s="37">
        <f>TRIM(LEFT(Table3[[#This Row],[Group]],2))</f>
        <v/>
      </c>
      <c r="L1152" s="3" t="inlineStr">
        <is>
          <t>NON SALES</t>
        </is>
      </c>
    </row>
    <row r="1153">
      <c r="A1153" s="5" t="inlineStr">
        <is>
          <t>OP07538</t>
        </is>
      </c>
      <c r="B1153" s="6" t="inlineStr">
        <is>
          <t>ELAH CEL</t>
        </is>
      </c>
      <c r="C1153" s="7" t="inlineStr">
        <is>
          <t>AK - Agen Khusus</t>
        </is>
      </c>
      <c r="D1153" s="1" t="inlineStr">
        <is>
          <t>OP06781</t>
        </is>
      </c>
      <c r="E1153" s="8" t="n">
        <v>45106.7625</v>
      </c>
      <c r="F1153" s="7" t="inlineStr">
        <is>
          <t>DOWNLINE</t>
        </is>
      </c>
      <c r="G1153" s="18" t="inlineStr">
        <is>
          <t>OP06781</t>
        </is>
      </c>
      <c r="H1153" s="19">
        <f>UPPER(Table3[[#This Row],[Agen id]]&amp;"-"&amp;VLOOKUP(Table3[[#This Row],[Agen id]],A:B,2,0)&amp;"("&amp;Table3[[#This Row],[Short]]&amp;")")</f>
        <v/>
      </c>
      <c r="J1153" s="7">
        <f>VLOOKUP(Table3[[#This Row],[Agen id]],Agen!A:C,3,0)</f>
        <v/>
      </c>
      <c r="K1153" s="37">
        <f>TRIM(LEFT(Table3[[#This Row],[Group]],2))</f>
        <v/>
      </c>
      <c r="L1153" s="3" t="inlineStr">
        <is>
          <t>NON SALES</t>
        </is>
      </c>
    </row>
    <row r="1154">
      <c r="A1154" s="5" t="inlineStr">
        <is>
          <t>OP07539</t>
        </is>
      </c>
      <c r="B1154" s="6" t="inlineStr">
        <is>
          <t>Kristina Malau</t>
        </is>
      </c>
      <c r="C1154" s="7" t="inlineStr">
        <is>
          <t>AB1 - Agen Kab Bogor</t>
        </is>
      </c>
      <c r="D1154" s="1" t="inlineStr">
        <is>
          <t>OP07367</t>
        </is>
      </c>
      <c r="E1154" s="8" t="n">
        <v>45107.42777777778</v>
      </c>
      <c r="F1154" s="7" t="inlineStr">
        <is>
          <t>AGEN</t>
        </is>
      </c>
      <c r="G1154" s="18" t="inlineStr">
        <is>
          <t>OP07539</t>
        </is>
      </c>
      <c r="H1154" s="19">
        <f>UPPER(Table3[[#This Row],[Agen id]]&amp;"-"&amp;VLOOKUP(Table3[[#This Row],[Agen id]],A:B,2,0)&amp;"("&amp;Table3[[#This Row],[Short]]&amp;")")</f>
        <v/>
      </c>
      <c r="J1154" s="7">
        <f>VLOOKUP(Table3[[#This Row],[Agen id]],Agen!A:C,3,0)</f>
        <v/>
      </c>
      <c r="K1154" s="37">
        <f>TRIM(LEFT(Table3[[#This Row],[Group]],2))</f>
        <v/>
      </c>
      <c r="L1154" s="3" t="inlineStr">
        <is>
          <t>ARIS</t>
        </is>
      </c>
    </row>
    <row r="1155">
      <c r="A1155" s="5" t="inlineStr">
        <is>
          <t>OP07540</t>
        </is>
      </c>
      <c r="B1155" s="6" t="inlineStr">
        <is>
          <t>MORENO STORE</t>
        </is>
      </c>
      <c r="C1155" s="7" t="inlineStr">
        <is>
          <t>AV - Agen Verified</t>
        </is>
      </c>
      <c r="D1155" s="1" t="inlineStr">
        <is>
          <t>OP00002</t>
        </is>
      </c>
      <c r="E1155" s="8" t="n">
        <v>45107.44861111111</v>
      </c>
      <c r="F1155" s="7" t="inlineStr">
        <is>
          <t>AGEN</t>
        </is>
      </c>
      <c r="G1155" s="18" t="inlineStr">
        <is>
          <t>OP07540</t>
        </is>
      </c>
      <c r="H1155" s="19">
        <f>UPPER(Table3[[#This Row],[Agen id]]&amp;"-"&amp;VLOOKUP(Table3[[#This Row],[Agen id]],A:B,2,0)&amp;"("&amp;Table3[[#This Row],[Short]]&amp;")")</f>
        <v/>
      </c>
      <c r="J1155" s="7">
        <f>VLOOKUP(Table3[[#This Row],[Agen id]],Agen!A:C,3,0)</f>
        <v/>
      </c>
      <c r="K1155" s="37">
        <f>TRIM(LEFT(Table3[[#This Row],[Group]],2))</f>
        <v/>
      </c>
      <c r="L1155" s="3" t="inlineStr">
        <is>
          <t>NON SALES</t>
        </is>
      </c>
    </row>
    <row r="1156">
      <c r="A1156" s="5" t="inlineStr">
        <is>
          <t>OP07541</t>
        </is>
      </c>
      <c r="B1156" s="6" t="inlineStr">
        <is>
          <t>AK Cell</t>
        </is>
      </c>
      <c r="C1156" s="7" t="inlineStr">
        <is>
          <t>A - Agen</t>
        </is>
      </c>
      <c r="D1156" s="1" t="inlineStr">
        <is>
          <t>OP07539</t>
        </is>
      </c>
      <c r="E1156" s="8" t="n">
        <v>45107.45208333333</v>
      </c>
      <c r="F1156" s="7" t="inlineStr">
        <is>
          <t>DOWNLINE</t>
        </is>
      </c>
      <c r="G1156" s="18" t="inlineStr">
        <is>
          <t>OP07539</t>
        </is>
      </c>
      <c r="H1156" s="19">
        <f>UPPER(Table3[[#This Row],[Agen id]]&amp;"-"&amp;VLOOKUP(Table3[[#This Row],[Agen id]],A:B,2,0)&amp;"("&amp;Table3[[#This Row],[Short]]&amp;")")</f>
        <v/>
      </c>
      <c r="J1156" s="7">
        <f>VLOOKUP(Table3[[#This Row],[Agen id]],Agen!A:C,3,0)</f>
        <v/>
      </c>
      <c r="K1156" s="37">
        <f>TRIM(LEFT(Table3[[#This Row],[Group]],2))</f>
        <v/>
      </c>
      <c r="L1156" s="3" t="inlineStr">
        <is>
          <t>NON SALES</t>
        </is>
      </c>
    </row>
    <row r="1157">
      <c r="A1157" s="5" t="inlineStr">
        <is>
          <t>OP07542</t>
        </is>
      </c>
      <c r="B1157" s="6" t="inlineStr">
        <is>
          <t>SEKAR-CELL</t>
        </is>
      </c>
      <c r="C1157" s="7" t="inlineStr">
        <is>
          <t>A - Agen</t>
        </is>
      </c>
      <c r="D1157" s="1" t="inlineStr">
        <is>
          <t>OP00002</t>
        </is>
      </c>
      <c r="E1157" s="8" t="n">
        <v>45107.45833333334</v>
      </c>
      <c r="F1157" s="7" t="inlineStr">
        <is>
          <t>AGEN</t>
        </is>
      </c>
      <c r="G1157" s="18" t="inlineStr">
        <is>
          <t>OP07542</t>
        </is>
      </c>
      <c r="H1157" s="19">
        <f>UPPER(Table3[[#This Row],[Agen id]]&amp;"-"&amp;VLOOKUP(Table3[[#This Row],[Agen id]],A:B,2,0)&amp;"("&amp;Table3[[#This Row],[Short]]&amp;")")</f>
        <v/>
      </c>
      <c r="J1157" s="7">
        <f>VLOOKUP(Table3[[#This Row],[Agen id]],Agen!A:C,3,0)</f>
        <v/>
      </c>
      <c r="K1157" s="37">
        <f>TRIM(LEFT(Table3[[#This Row],[Group]],2))</f>
        <v/>
      </c>
      <c r="L1157" s="3" t="inlineStr">
        <is>
          <t>NON SALES</t>
        </is>
      </c>
    </row>
    <row r="1158">
      <c r="A1158" s="5" t="inlineStr">
        <is>
          <t>OP07543</t>
        </is>
      </c>
      <c r="B1158" s="6" t="inlineStr">
        <is>
          <t>KIOS PUTRA JAYA</t>
        </is>
      </c>
      <c r="C1158" s="7" t="inlineStr">
        <is>
          <t>AV - Agen Verified</t>
        </is>
      </c>
      <c r="D1158" s="1" t="inlineStr">
        <is>
          <t>OP02323</t>
        </is>
      </c>
      <c r="E1158" s="8" t="n">
        <v>45107.92361111111</v>
      </c>
      <c r="F1158" s="7" t="inlineStr">
        <is>
          <t>DOWNLINE</t>
        </is>
      </c>
      <c r="G1158" s="18" t="inlineStr">
        <is>
          <t>OP01817</t>
        </is>
      </c>
      <c r="H1158" s="19">
        <f>UPPER(Table3[[#This Row],[Agen id]]&amp;"-"&amp;VLOOKUP(Table3[[#This Row],[Agen id]],A:B,2,0)&amp;"("&amp;Table3[[#This Row],[Short]]&amp;")")</f>
        <v/>
      </c>
      <c r="J1158" s="7">
        <f>VLOOKUP(Table3[[#This Row],[Agen id]],Agen!A:C,3,0)</f>
        <v/>
      </c>
      <c r="K1158" s="37">
        <f>TRIM(LEFT(Table3[[#This Row],[Group]],2))</f>
        <v/>
      </c>
      <c r="L1158" s="3" t="inlineStr">
        <is>
          <t>NON SALES</t>
        </is>
      </c>
    </row>
    <row r="1159">
      <c r="A1159" s="5" t="inlineStr">
        <is>
          <t>OP07545</t>
        </is>
      </c>
      <c r="B1159" s="6" t="inlineStr">
        <is>
          <t>JEMBA CELL</t>
        </is>
      </c>
      <c r="C1159" s="7" t="inlineStr">
        <is>
          <t>AB1 - Agen Kab Bogor</t>
        </is>
      </c>
      <c r="D1159" s="1" t="inlineStr">
        <is>
          <t>OP07367</t>
        </is>
      </c>
      <c r="E1159" s="8" t="n">
        <v>45108.57777777778</v>
      </c>
      <c r="F1159" s="7" t="inlineStr">
        <is>
          <t>AGEN</t>
        </is>
      </c>
      <c r="G1159" s="18" t="inlineStr">
        <is>
          <t>OP07545</t>
        </is>
      </c>
      <c r="H1159" s="19">
        <f>UPPER(Table3[[#This Row],[Agen id]]&amp;"-"&amp;VLOOKUP(Table3[[#This Row],[Agen id]],A:B,2,0)&amp;"("&amp;Table3[[#This Row],[Short]]&amp;")")</f>
        <v/>
      </c>
      <c r="J1159" s="7">
        <f>VLOOKUP(Table3[[#This Row],[Agen id]],Agen!A:C,3,0)</f>
        <v/>
      </c>
      <c r="K1159" s="37">
        <f>TRIM(LEFT(Table3[[#This Row],[Group]],2))</f>
        <v/>
      </c>
      <c r="L1159" s="3" t="inlineStr">
        <is>
          <t>ARIS</t>
        </is>
      </c>
    </row>
    <row r="1160">
      <c r="A1160" s="5" t="inlineStr">
        <is>
          <t>OP07547</t>
        </is>
      </c>
      <c r="B1160" s="6" t="inlineStr">
        <is>
          <t>Fik</t>
        </is>
      </c>
      <c r="C1160" s="7" t="inlineStr">
        <is>
          <t>A - Agen</t>
        </is>
      </c>
      <c r="D1160" s="1" t="inlineStr">
        <is>
          <t>OP00002</t>
        </is>
      </c>
      <c r="E1160" s="8" t="n">
        <v>45110.61458333334</v>
      </c>
      <c r="F1160" s="7" t="inlineStr">
        <is>
          <t>AGEN</t>
        </is>
      </c>
      <c r="G1160" s="18" t="inlineStr">
        <is>
          <t>OP07547</t>
        </is>
      </c>
      <c r="H1160" s="19">
        <f>UPPER(Table3[[#This Row],[Agen id]]&amp;"-"&amp;VLOOKUP(Table3[[#This Row],[Agen id]],A:B,2,0)&amp;"("&amp;Table3[[#This Row],[Short]]&amp;")")</f>
        <v/>
      </c>
      <c r="J1160" s="7">
        <f>VLOOKUP(Table3[[#This Row],[Agen id]],Agen!A:C,3,0)</f>
        <v/>
      </c>
      <c r="K1160" s="37">
        <f>TRIM(LEFT(Table3[[#This Row],[Group]],2))</f>
        <v/>
      </c>
      <c r="L1160" s="3" t="inlineStr">
        <is>
          <t>NON SALES</t>
        </is>
      </c>
    </row>
    <row r="1161">
      <c r="A1161" s="5" t="inlineStr">
        <is>
          <t>OP07551</t>
        </is>
      </c>
      <c r="B1161" s="6" t="inlineStr">
        <is>
          <t>Macan</t>
        </is>
      </c>
      <c r="C1161" s="7" t="inlineStr">
        <is>
          <t>AV - Agen Verified</t>
        </is>
      </c>
      <c r="D1161" s="1" t="inlineStr">
        <is>
          <t>OP00015</t>
        </is>
      </c>
      <c r="E1161" s="8" t="n">
        <v>45111.52569444444</v>
      </c>
      <c r="F1161" s="7" t="inlineStr">
        <is>
          <t>DOWNLINE</t>
        </is>
      </c>
      <c r="G1161" s="18" t="inlineStr">
        <is>
          <t>OP00015</t>
        </is>
      </c>
      <c r="H1161" s="19">
        <f>UPPER(Table3[[#This Row],[Agen id]]&amp;"-"&amp;VLOOKUP(Table3[[#This Row],[Agen id]],A:B,2,0)&amp;"("&amp;Table3[[#This Row],[Short]]&amp;")")</f>
        <v/>
      </c>
      <c r="J1161" s="7">
        <f>VLOOKUP(Table3[[#This Row],[Agen id]],Agen!A:C,3,0)</f>
        <v/>
      </c>
      <c r="K1161" s="37">
        <f>TRIM(LEFT(Table3[[#This Row],[Group]],2))</f>
        <v/>
      </c>
      <c r="L1161" s="3" t="inlineStr">
        <is>
          <t>NON SALES</t>
        </is>
      </c>
    </row>
    <row r="1162">
      <c r="A1162" s="5" t="inlineStr">
        <is>
          <t>OP07552</t>
        </is>
      </c>
      <c r="B1162" s="6" t="inlineStr">
        <is>
          <t>Rosmeri malau</t>
        </is>
      </c>
      <c r="C1162" s="7" t="inlineStr">
        <is>
          <t>AB1 - Agen Kab Bogor</t>
        </is>
      </c>
      <c r="D1162" s="1" t="inlineStr">
        <is>
          <t>OP07367</t>
        </is>
      </c>
      <c r="E1162" s="8" t="n">
        <v>45111.61944444444</v>
      </c>
      <c r="F1162" s="7" t="inlineStr">
        <is>
          <t>AGEN</t>
        </is>
      </c>
      <c r="G1162" s="18" t="inlineStr">
        <is>
          <t>OP07552</t>
        </is>
      </c>
      <c r="H1162" s="19">
        <f>UPPER(Table3[[#This Row],[Agen id]]&amp;"-"&amp;VLOOKUP(Table3[[#This Row],[Agen id]],A:B,2,0)&amp;"("&amp;Table3[[#This Row],[Short]]&amp;")")</f>
        <v/>
      </c>
      <c r="J1162" s="7">
        <f>VLOOKUP(Table3[[#This Row],[Agen id]],Agen!A:C,3,0)</f>
        <v/>
      </c>
      <c r="K1162" s="37">
        <f>TRIM(LEFT(Table3[[#This Row],[Group]],2))</f>
        <v/>
      </c>
      <c r="L1162" s="3" t="inlineStr">
        <is>
          <t>ARIS</t>
        </is>
      </c>
    </row>
    <row r="1163">
      <c r="A1163" s="5" t="inlineStr">
        <is>
          <t>OP07553</t>
        </is>
      </c>
      <c r="B1163" s="6" t="inlineStr">
        <is>
          <t>Freddy</t>
        </is>
      </c>
      <c r="C1163" s="7" t="inlineStr">
        <is>
          <t>AB1 - Agen Kab Bogor</t>
        </is>
      </c>
      <c r="D1163" s="1" t="inlineStr">
        <is>
          <t>OP07367</t>
        </is>
      </c>
      <c r="E1163" s="8" t="n">
        <v>45111.62013888889</v>
      </c>
      <c r="F1163" s="7" t="inlineStr">
        <is>
          <t>AGEN</t>
        </is>
      </c>
      <c r="G1163" s="18" t="inlineStr">
        <is>
          <t>OP07553</t>
        </is>
      </c>
      <c r="H1163" s="19">
        <f>UPPER(Table3[[#This Row],[Agen id]]&amp;"-"&amp;VLOOKUP(Table3[[#This Row],[Agen id]],A:B,2,0)&amp;"("&amp;Table3[[#This Row],[Short]]&amp;")")</f>
        <v/>
      </c>
      <c r="J1163" s="7">
        <f>VLOOKUP(Table3[[#This Row],[Agen id]],Agen!A:C,3,0)</f>
        <v/>
      </c>
      <c r="K1163" s="37">
        <f>TRIM(LEFT(Table3[[#This Row],[Group]],2))</f>
        <v/>
      </c>
      <c r="L1163" s="3" t="inlineStr">
        <is>
          <t>ARIS</t>
        </is>
      </c>
    </row>
    <row r="1164">
      <c r="A1164" s="5" t="inlineStr">
        <is>
          <t>OP07568</t>
        </is>
      </c>
      <c r="B1164" s="6" t="inlineStr">
        <is>
          <t>Kembarcell</t>
        </is>
      </c>
      <c r="C1164" s="7" t="inlineStr">
        <is>
          <t>AB1 - Agen Kab Bogor</t>
        </is>
      </c>
      <c r="D1164" s="1" t="inlineStr">
        <is>
          <t>OP07552</t>
        </is>
      </c>
      <c r="E1164" s="8" t="n">
        <v>45112.47708333333</v>
      </c>
      <c r="F1164" s="7" t="inlineStr">
        <is>
          <t>DOWNLINE</t>
        </is>
      </c>
      <c r="G1164" s="18" t="inlineStr">
        <is>
          <t>OP07552</t>
        </is>
      </c>
      <c r="H1164" s="19">
        <f>UPPER(Table3[[#This Row],[Agen id]]&amp;"-"&amp;VLOOKUP(Table3[[#This Row],[Agen id]],A:B,2,0)&amp;"("&amp;Table3[[#This Row],[Short]]&amp;")")</f>
        <v/>
      </c>
      <c r="J1164" s="7">
        <f>VLOOKUP(Table3[[#This Row],[Agen id]],Agen!A:C,3,0)</f>
        <v/>
      </c>
      <c r="K1164" s="37">
        <f>TRIM(LEFT(Table3[[#This Row],[Group]],2))</f>
        <v/>
      </c>
      <c r="L1164" s="3" t="inlineStr">
        <is>
          <t>NON SALES</t>
        </is>
      </c>
    </row>
    <row r="1165">
      <c r="A1165" s="5" t="inlineStr">
        <is>
          <t>OP07571</t>
        </is>
      </c>
      <c r="B1165" s="6" t="inlineStr">
        <is>
          <t>Seven Cell</t>
        </is>
      </c>
      <c r="C1165" s="7" t="inlineStr">
        <is>
          <t>AB1 - Agen Kab Bogor</t>
        </is>
      </c>
      <c r="D1165" s="1" t="inlineStr">
        <is>
          <t>OP07367</t>
        </is>
      </c>
      <c r="E1165" s="8" t="n">
        <v>45112.57083333333</v>
      </c>
      <c r="F1165" s="7" t="inlineStr">
        <is>
          <t>AGEN</t>
        </is>
      </c>
      <c r="G1165" s="18" t="inlineStr">
        <is>
          <t>OP07571</t>
        </is>
      </c>
      <c r="H1165" s="19">
        <f>UPPER(Table3[[#This Row],[Agen id]]&amp;"-"&amp;VLOOKUP(Table3[[#This Row],[Agen id]],A:B,2,0)&amp;"("&amp;Table3[[#This Row],[Short]]&amp;")")</f>
        <v/>
      </c>
      <c r="J1165" s="7">
        <f>VLOOKUP(Table3[[#This Row],[Agen id]],Agen!A:C,3,0)</f>
        <v/>
      </c>
      <c r="K1165" s="37">
        <f>TRIM(LEFT(Table3[[#This Row],[Group]],2))</f>
        <v/>
      </c>
      <c r="L1165" s="3" t="inlineStr">
        <is>
          <t>ARIS</t>
        </is>
      </c>
    </row>
    <row r="1166">
      <c r="A1166" s="5" t="inlineStr">
        <is>
          <t>OP07572</t>
        </is>
      </c>
      <c r="B1166" s="6" t="inlineStr">
        <is>
          <t>VR cell</t>
        </is>
      </c>
      <c r="C1166" s="7" t="inlineStr">
        <is>
          <t>AV - Agen Verified</t>
        </is>
      </c>
      <c r="D1166" s="1" t="inlineStr">
        <is>
          <t>OP00002</t>
        </is>
      </c>
      <c r="E1166" s="8" t="n">
        <v>45112.64166666667</v>
      </c>
      <c r="F1166" s="7" t="inlineStr">
        <is>
          <t>AGEN</t>
        </is>
      </c>
      <c r="G1166" s="18" t="inlineStr">
        <is>
          <t>OP07572</t>
        </is>
      </c>
      <c r="H1166" s="19">
        <f>UPPER(Table3[[#This Row],[Agen id]]&amp;"-"&amp;VLOOKUP(Table3[[#This Row],[Agen id]],A:B,2,0)&amp;"("&amp;Table3[[#This Row],[Short]]&amp;")")</f>
        <v/>
      </c>
      <c r="J1166" s="7">
        <f>VLOOKUP(Table3[[#This Row],[Agen id]],Agen!A:C,3,0)</f>
        <v/>
      </c>
      <c r="K1166" s="37">
        <f>TRIM(LEFT(Table3[[#This Row],[Group]],2))</f>
        <v/>
      </c>
      <c r="L1166" s="3" t="inlineStr">
        <is>
          <t>ARIS</t>
        </is>
      </c>
    </row>
    <row r="1167">
      <c r="A1167" s="5" t="inlineStr">
        <is>
          <t>OP07575</t>
        </is>
      </c>
      <c r="B1167" s="6" t="inlineStr">
        <is>
          <t>Cantika</t>
        </is>
      </c>
      <c r="C1167" s="7" t="inlineStr">
        <is>
          <t>A - Agen</t>
        </is>
      </c>
      <c r="D1167" s="1" t="inlineStr">
        <is>
          <t>OP00002</t>
        </is>
      </c>
      <c r="E1167" s="8" t="n">
        <v>45112.69097222222</v>
      </c>
      <c r="F1167" s="7" t="inlineStr">
        <is>
          <t>AGEN</t>
        </is>
      </c>
      <c r="G1167" s="18" t="inlineStr">
        <is>
          <t>OP07575</t>
        </is>
      </c>
      <c r="H1167" s="19">
        <f>UPPER(Table3[[#This Row],[Agen id]]&amp;"-"&amp;VLOOKUP(Table3[[#This Row],[Agen id]],A:B,2,0)&amp;"("&amp;Table3[[#This Row],[Short]]&amp;")")</f>
        <v/>
      </c>
      <c r="J1167" s="7">
        <f>VLOOKUP(Table3[[#This Row],[Agen id]],Agen!A:C,3,0)</f>
        <v/>
      </c>
      <c r="K1167" s="37">
        <f>TRIM(LEFT(Table3[[#This Row],[Group]],2))</f>
        <v/>
      </c>
      <c r="L1167" s="3" t="inlineStr">
        <is>
          <t>NON SALES</t>
        </is>
      </c>
    </row>
    <row r="1168">
      <c r="A1168" s="5" t="inlineStr">
        <is>
          <t>OP07577</t>
        </is>
      </c>
      <c r="B1168" s="6" t="inlineStr">
        <is>
          <t>Suci</t>
        </is>
      </c>
      <c r="C1168" s="7" t="inlineStr">
        <is>
          <t>A - Agen</t>
        </is>
      </c>
      <c r="D1168" s="1" t="inlineStr">
        <is>
          <t>OP00002</t>
        </is>
      </c>
      <c r="E1168" s="8" t="n">
        <v>45112.76805555556</v>
      </c>
      <c r="F1168" s="7" t="inlineStr">
        <is>
          <t>AGEN</t>
        </is>
      </c>
      <c r="G1168" s="18" t="inlineStr">
        <is>
          <t>OP07577</t>
        </is>
      </c>
      <c r="H1168" s="19">
        <f>UPPER(Table3[[#This Row],[Agen id]]&amp;"-"&amp;VLOOKUP(Table3[[#This Row],[Agen id]],A:B,2,0)&amp;"("&amp;Table3[[#This Row],[Short]]&amp;")")</f>
        <v/>
      </c>
      <c r="J1168" s="7">
        <f>VLOOKUP(Table3[[#This Row],[Agen id]],Agen!A:C,3,0)</f>
        <v/>
      </c>
      <c r="K1168" s="37">
        <f>TRIM(LEFT(Table3[[#This Row],[Group]],2))</f>
        <v/>
      </c>
      <c r="L1168" s="3" t="inlineStr">
        <is>
          <t>NON SALES</t>
        </is>
      </c>
    </row>
    <row r="1169">
      <c r="A1169" s="5" t="inlineStr">
        <is>
          <t>OP07584</t>
        </is>
      </c>
      <c r="B1169" s="6" t="inlineStr">
        <is>
          <t>Seven cell</t>
        </is>
      </c>
      <c r="C1169" s="7" t="inlineStr">
        <is>
          <t>AB1 - Agen Kab Bogor</t>
        </is>
      </c>
      <c r="D1169" s="1" t="inlineStr">
        <is>
          <t>OP07367</t>
        </is>
      </c>
      <c r="E1169" s="8" t="n">
        <v>45113.43958333333</v>
      </c>
      <c r="F1169" s="7" t="inlineStr">
        <is>
          <t>AGEN</t>
        </is>
      </c>
      <c r="G1169" s="18" t="inlineStr">
        <is>
          <t>OP07584</t>
        </is>
      </c>
      <c r="H1169" s="19">
        <f>UPPER(Table3[[#This Row],[Agen id]]&amp;"-"&amp;VLOOKUP(Table3[[#This Row],[Agen id]],A:B,2,0)&amp;"("&amp;Table3[[#This Row],[Short]]&amp;")")</f>
        <v/>
      </c>
      <c r="J1169" s="7">
        <f>VLOOKUP(Table3[[#This Row],[Agen id]],Agen!A:C,3,0)</f>
        <v/>
      </c>
      <c r="K1169" s="37">
        <f>TRIM(LEFT(Table3[[#This Row],[Group]],2))</f>
        <v/>
      </c>
      <c r="L1169" s="3" t="inlineStr">
        <is>
          <t>ARIS</t>
        </is>
      </c>
    </row>
    <row r="1170">
      <c r="A1170" s="5" t="inlineStr">
        <is>
          <t>OP07588</t>
        </is>
      </c>
      <c r="B1170" s="6" t="inlineStr">
        <is>
          <t>Ade Destiani</t>
        </is>
      </c>
      <c r="C1170" s="7" t="inlineStr">
        <is>
          <t>AB1 - Agen Kab Bogor</t>
        </is>
      </c>
      <c r="D1170" s="1" t="inlineStr">
        <is>
          <t>OP07367</t>
        </is>
      </c>
      <c r="E1170" s="8" t="n">
        <v>45113.5375</v>
      </c>
      <c r="F1170" s="7" t="inlineStr">
        <is>
          <t>AGEN</t>
        </is>
      </c>
      <c r="G1170" s="18" t="inlineStr">
        <is>
          <t>OP07588</t>
        </is>
      </c>
      <c r="H1170" s="19">
        <f>UPPER(Table3[[#This Row],[Agen id]]&amp;"-"&amp;VLOOKUP(Table3[[#This Row],[Agen id]],A:B,2,0)&amp;"("&amp;Table3[[#This Row],[Short]]&amp;")")</f>
        <v/>
      </c>
      <c r="J1170" s="7">
        <f>VLOOKUP(Table3[[#This Row],[Agen id]],Agen!A:C,3,0)</f>
        <v/>
      </c>
      <c r="K1170" s="37">
        <f>TRIM(LEFT(Table3[[#This Row],[Group]],2))</f>
        <v/>
      </c>
      <c r="L1170" s="3" t="inlineStr">
        <is>
          <t>ARIS</t>
        </is>
      </c>
    </row>
    <row r="1171">
      <c r="A1171" s="5" t="inlineStr">
        <is>
          <t>OP07589</t>
        </is>
      </c>
      <c r="B1171" s="6" t="inlineStr">
        <is>
          <t>Rasyifa</t>
        </is>
      </c>
      <c r="C1171" s="7" t="inlineStr">
        <is>
          <t>AB1 - Agen Kab Bogor</t>
        </is>
      </c>
      <c r="D1171" s="1" t="inlineStr">
        <is>
          <t>OP07367</t>
        </is>
      </c>
      <c r="E1171" s="8" t="n">
        <v>45113.58472222222</v>
      </c>
      <c r="F1171" s="7" t="inlineStr">
        <is>
          <t>AGEN</t>
        </is>
      </c>
      <c r="G1171" s="18" t="inlineStr">
        <is>
          <t>OP07589</t>
        </is>
      </c>
      <c r="H1171" s="19">
        <f>UPPER(Table3[[#This Row],[Agen id]]&amp;"-"&amp;VLOOKUP(Table3[[#This Row],[Agen id]],A:B,2,0)&amp;"("&amp;Table3[[#This Row],[Short]]&amp;")")</f>
        <v/>
      </c>
      <c r="J1171" s="7">
        <f>VLOOKUP(Table3[[#This Row],[Agen id]],Agen!A:C,3,0)</f>
        <v/>
      </c>
      <c r="K1171" s="37">
        <f>TRIM(LEFT(Table3[[#This Row],[Group]],2))</f>
        <v/>
      </c>
      <c r="L1171" s="3" t="inlineStr">
        <is>
          <t>ARIS</t>
        </is>
      </c>
    </row>
    <row r="1172">
      <c r="A1172" s="5" t="inlineStr">
        <is>
          <t>OP07596</t>
        </is>
      </c>
      <c r="B1172" s="6" t="inlineStr">
        <is>
          <t>Deddy cell</t>
        </is>
      </c>
      <c r="C1172" s="7" t="inlineStr">
        <is>
          <t>AV - Agen Verified</t>
        </is>
      </c>
      <c r="D1172" s="1" t="inlineStr">
        <is>
          <t>OP00002</t>
        </is>
      </c>
      <c r="E1172" s="8" t="n">
        <v>45113.77569444444</v>
      </c>
      <c r="F1172" s="7" t="inlineStr">
        <is>
          <t>AGEN</t>
        </is>
      </c>
      <c r="G1172" s="18" t="inlineStr">
        <is>
          <t>OP07596</t>
        </is>
      </c>
      <c r="H1172" s="19">
        <f>UPPER(Table3[[#This Row],[Agen id]]&amp;"-"&amp;VLOOKUP(Table3[[#This Row],[Agen id]],A:B,2,0)&amp;"("&amp;Table3[[#This Row],[Short]]&amp;")")</f>
        <v/>
      </c>
      <c r="J1172" s="7">
        <f>VLOOKUP(Table3[[#This Row],[Agen id]],Agen!A:C,3,0)</f>
        <v/>
      </c>
      <c r="K1172" s="37">
        <f>TRIM(LEFT(Table3[[#This Row],[Group]],2))</f>
        <v/>
      </c>
      <c r="L1172" s="3" t="inlineStr">
        <is>
          <t>NON SALES</t>
        </is>
      </c>
    </row>
    <row r="1173">
      <c r="A1173" s="5" t="inlineStr">
        <is>
          <t>OP07599</t>
        </is>
      </c>
      <c r="B1173" s="6" t="inlineStr">
        <is>
          <t>JB RISS</t>
        </is>
      </c>
      <c r="C1173" s="7" t="inlineStr">
        <is>
          <t>A - Agen</t>
        </is>
      </c>
      <c r="D1173" s="1" t="inlineStr">
        <is>
          <t>OP00003</t>
        </is>
      </c>
      <c r="E1173" s="8" t="n">
        <v>45113.83125</v>
      </c>
      <c r="F1173" s="7" t="inlineStr">
        <is>
          <t>AGEN</t>
        </is>
      </c>
      <c r="G1173" s="18" t="inlineStr">
        <is>
          <t>OP07599</t>
        </is>
      </c>
      <c r="H1173" s="19">
        <f>UPPER(Table3[[#This Row],[Agen id]]&amp;"-"&amp;VLOOKUP(Table3[[#This Row],[Agen id]],A:B,2,0)&amp;"("&amp;Table3[[#This Row],[Short]]&amp;")")</f>
        <v/>
      </c>
      <c r="J1173" s="7">
        <f>VLOOKUP(Table3[[#This Row],[Agen id]],Agen!A:C,3,0)</f>
        <v/>
      </c>
      <c r="K1173" s="37">
        <f>TRIM(LEFT(Table3[[#This Row],[Group]],2))</f>
        <v/>
      </c>
      <c r="L1173" s="3" t="inlineStr">
        <is>
          <t>NON SALES</t>
        </is>
      </c>
    </row>
    <row r="1174">
      <c r="A1174" s="5" t="inlineStr">
        <is>
          <t>OP07613</t>
        </is>
      </c>
      <c r="B1174" s="6" t="inlineStr">
        <is>
          <t>Empuyy.id_cell_</t>
        </is>
      </c>
      <c r="C1174" s="7" t="inlineStr">
        <is>
          <t>AB1 - Agen Kab Bogor</t>
        </is>
      </c>
      <c r="D1174" s="1" t="inlineStr">
        <is>
          <t>OP00002</t>
        </is>
      </c>
      <c r="E1174" s="8" t="n">
        <v>45114.59236111111</v>
      </c>
      <c r="F1174" s="7" t="inlineStr">
        <is>
          <t>AGEN</t>
        </is>
      </c>
      <c r="G1174" s="18" t="inlineStr">
        <is>
          <t>OP07613</t>
        </is>
      </c>
      <c r="H1174" s="19">
        <f>UPPER(Table3[[#This Row],[Agen id]]&amp;"-"&amp;VLOOKUP(Table3[[#This Row],[Agen id]],A:B,2,0)&amp;"("&amp;Table3[[#This Row],[Short]]&amp;")")</f>
        <v/>
      </c>
      <c r="J1174" s="7">
        <f>VLOOKUP(Table3[[#This Row],[Agen id]],Agen!A:C,3,0)</f>
        <v/>
      </c>
      <c r="K1174" s="37">
        <f>TRIM(LEFT(Table3[[#This Row],[Group]],2))</f>
        <v/>
      </c>
      <c r="L1174" s="3" t="inlineStr">
        <is>
          <t>NON SALES</t>
        </is>
      </c>
    </row>
    <row r="1175">
      <c r="A1175" s="5" t="inlineStr">
        <is>
          <t>OP07620</t>
        </is>
      </c>
      <c r="B1175" s="6" t="inlineStr">
        <is>
          <t>SYNTIA CLARCE RIRIMASSE</t>
        </is>
      </c>
      <c r="C1175" s="7" t="inlineStr">
        <is>
          <t>A - Agen</t>
        </is>
      </c>
      <c r="D1175" s="1" t="inlineStr">
        <is>
          <t>OP00002</t>
        </is>
      </c>
      <c r="E1175" s="8" t="n">
        <v>45114.74513888889</v>
      </c>
      <c r="F1175" s="7" t="inlineStr">
        <is>
          <t>AGEN</t>
        </is>
      </c>
      <c r="G1175" s="18" t="inlineStr">
        <is>
          <t>OP07620</t>
        </is>
      </c>
      <c r="H1175" s="19">
        <f>UPPER(Table3[[#This Row],[Agen id]]&amp;"-"&amp;VLOOKUP(Table3[[#This Row],[Agen id]],A:B,2,0)&amp;"("&amp;Table3[[#This Row],[Short]]&amp;")")</f>
        <v/>
      </c>
      <c r="J1175" s="7">
        <f>VLOOKUP(Table3[[#This Row],[Agen id]],Agen!A:C,3,0)</f>
        <v/>
      </c>
      <c r="K1175" s="37">
        <f>TRIM(LEFT(Table3[[#This Row],[Group]],2))</f>
        <v/>
      </c>
      <c r="L1175" s="3" t="inlineStr">
        <is>
          <t>NON SALES</t>
        </is>
      </c>
    </row>
    <row r="1176">
      <c r="A1176" s="5" t="inlineStr">
        <is>
          <t>OP07625</t>
        </is>
      </c>
      <c r="B1176" s="6" t="inlineStr">
        <is>
          <t>Muhammad riduan</t>
        </is>
      </c>
      <c r="C1176" s="7" t="inlineStr">
        <is>
          <t>AV - Agen Verified</t>
        </is>
      </c>
      <c r="D1176" s="1" t="inlineStr">
        <is>
          <t>OP03179</t>
        </is>
      </c>
      <c r="E1176" s="8" t="n">
        <v>45114.81875</v>
      </c>
      <c r="F1176" s="7" t="inlineStr">
        <is>
          <t>DOWNLINE</t>
        </is>
      </c>
      <c r="G1176" s="18" t="inlineStr">
        <is>
          <t>OP03179</t>
        </is>
      </c>
      <c r="H1176" s="19">
        <f>UPPER(Table3[[#This Row],[Agen id]]&amp;"-"&amp;VLOOKUP(Table3[[#This Row],[Agen id]],A:B,2,0)&amp;"("&amp;Table3[[#This Row],[Short]]&amp;")")</f>
        <v/>
      </c>
      <c r="J1176" s="7">
        <f>VLOOKUP(Table3[[#This Row],[Agen id]],Agen!A:C,3,0)</f>
        <v/>
      </c>
      <c r="K1176" s="37">
        <f>TRIM(LEFT(Table3[[#This Row],[Group]],2))</f>
        <v/>
      </c>
      <c r="L1176" s="3" t="inlineStr">
        <is>
          <t>NON SALES</t>
        </is>
      </c>
    </row>
    <row r="1177">
      <c r="A1177" s="5" t="inlineStr">
        <is>
          <t>OP07626</t>
        </is>
      </c>
      <c r="B1177" s="6" t="inlineStr">
        <is>
          <t>Wafi Cell</t>
        </is>
      </c>
      <c r="C1177" s="7" t="inlineStr">
        <is>
          <t>AV - Agen Verified</t>
        </is>
      </c>
      <c r="D1177" s="1" t="inlineStr">
        <is>
          <t>OP00002</t>
        </is>
      </c>
      <c r="E1177" s="8" t="n">
        <v>45114.84930555556</v>
      </c>
      <c r="F1177" s="7" t="inlineStr">
        <is>
          <t>AGEN</t>
        </is>
      </c>
      <c r="G1177" s="18" t="inlineStr">
        <is>
          <t>OP07626</t>
        </is>
      </c>
      <c r="H1177" s="19">
        <f>UPPER(Table3[[#This Row],[Agen id]]&amp;"-"&amp;VLOOKUP(Table3[[#This Row],[Agen id]],A:B,2,0)&amp;"("&amp;Table3[[#This Row],[Short]]&amp;")")</f>
        <v/>
      </c>
      <c r="J1177" s="7">
        <f>VLOOKUP(Table3[[#This Row],[Agen id]],Agen!A:C,3,0)</f>
        <v/>
      </c>
      <c r="K1177" s="37">
        <f>TRIM(LEFT(Table3[[#This Row],[Group]],2))</f>
        <v/>
      </c>
      <c r="L1177" s="3" t="inlineStr">
        <is>
          <t>NON SALES</t>
        </is>
      </c>
    </row>
    <row r="1178">
      <c r="A1178" s="5" t="inlineStr">
        <is>
          <t>OP07628</t>
        </is>
      </c>
      <c r="B1178" s="6" t="inlineStr">
        <is>
          <t>Herlan</t>
        </is>
      </c>
      <c r="C1178" s="7" t="inlineStr">
        <is>
          <t>AV - Agen Verified</t>
        </is>
      </c>
      <c r="D1178" s="1" t="inlineStr">
        <is>
          <t>OP00003</t>
        </is>
      </c>
      <c r="E1178" s="8" t="n">
        <v>45114.95763888889</v>
      </c>
      <c r="F1178" s="7" t="inlineStr">
        <is>
          <t>AGEN</t>
        </is>
      </c>
      <c r="G1178" s="18" t="inlineStr">
        <is>
          <t>OP07628</t>
        </is>
      </c>
      <c r="H1178" s="19">
        <f>UPPER(Table3[[#This Row],[Agen id]]&amp;"-"&amp;VLOOKUP(Table3[[#This Row],[Agen id]],A:B,2,0)&amp;"("&amp;Table3[[#This Row],[Short]]&amp;")")</f>
        <v/>
      </c>
      <c r="J1178" s="7">
        <f>VLOOKUP(Table3[[#This Row],[Agen id]],Agen!A:C,3,0)</f>
        <v/>
      </c>
      <c r="K1178" s="37">
        <f>TRIM(LEFT(Table3[[#This Row],[Group]],2))</f>
        <v/>
      </c>
      <c r="L1178" s="3" t="inlineStr">
        <is>
          <t>NON SALES</t>
        </is>
      </c>
    </row>
    <row r="1179">
      <c r="A1179" s="5" t="inlineStr">
        <is>
          <t>OP07637</t>
        </is>
      </c>
      <c r="B1179" s="6" t="inlineStr">
        <is>
          <t>Sc rawakalong</t>
        </is>
      </c>
      <c r="C1179" s="7" t="inlineStr">
        <is>
          <t>AB1 - Agen Kab Bogor</t>
        </is>
      </c>
      <c r="D1179" s="1" t="inlineStr">
        <is>
          <t>OP07367</t>
        </is>
      </c>
      <c r="E1179" s="8" t="n">
        <v>45115.40763888889</v>
      </c>
      <c r="F1179" s="7" t="inlineStr">
        <is>
          <t>AGEN</t>
        </is>
      </c>
      <c r="G1179" s="18" t="inlineStr">
        <is>
          <t>OP07637</t>
        </is>
      </c>
      <c r="H1179" s="19">
        <f>UPPER(Table3[[#This Row],[Agen id]]&amp;"-"&amp;VLOOKUP(Table3[[#This Row],[Agen id]],A:B,2,0)&amp;"("&amp;Table3[[#This Row],[Short]]&amp;")")</f>
        <v/>
      </c>
      <c r="J1179" s="7">
        <f>VLOOKUP(Table3[[#This Row],[Agen id]],Agen!A:C,3,0)</f>
        <v/>
      </c>
      <c r="K1179" s="37">
        <f>TRIM(LEFT(Table3[[#This Row],[Group]],2))</f>
        <v/>
      </c>
      <c r="L1179" s="3" t="inlineStr">
        <is>
          <t>ARIS</t>
        </is>
      </c>
    </row>
    <row r="1180">
      <c r="A1180" s="5" t="inlineStr">
        <is>
          <t>OP07643</t>
        </is>
      </c>
      <c r="B1180" s="6" t="inlineStr">
        <is>
          <t>R1 CELL</t>
        </is>
      </c>
      <c r="C1180" s="7" t="inlineStr">
        <is>
          <t>AV - Agen Verified</t>
        </is>
      </c>
      <c r="D1180" s="1" t="inlineStr">
        <is>
          <t>OP05567</t>
        </is>
      </c>
      <c r="E1180" s="8" t="n">
        <v>45115.78333333333</v>
      </c>
      <c r="F1180" s="7" t="inlineStr">
        <is>
          <t>DOWNLINE</t>
        </is>
      </c>
      <c r="G1180" s="18" t="inlineStr">
        <is>
          <t>OP05567</t>
        </is>
      </c>
      <c r="H1180" s="19">
        <f>UPPER(Table3[[#This Row],[Agen id]]&amp;"-"&amp;VLOOKUP(Table3[[#This Row],[Agen id]],A:B,2,0)&amp;"("&amp;Table3[[#This Row],[Short]]&amp;")")</f>
        <v/>
      </c>
      <c r="J1180" s="7">
        <f>VLOOKUP(Table3[[#This Row],[Agen id]],Agen!A:C,3,0)</f>
        <v/>
      </c>
      <c r="K1180" s="37">
        <f>TRIM(LEFT(Table3[[#This Row],[Group]],2))</f>
        <v/>
      </c>
      <c r="L1180" s="3" t="inlineStr">
        <is>
          <t>NON SALES</t>
        </is>
      </c>
    </row>
    <row r="1181">
      <c r="A1181" s="5" t="inlineStr">
        <is>
          <t>OP07649</t>
        </is>
      </c>
      <c r="B1181" s="6" t="inlineStr">
        <is>
          <t>BILAL CELL</t>
        </is>
      </c>
      <c r="C1181" s="7" t="inlineStr">
        <is>
          <t>AK - Agen Khusus</t>
        </is>
      </c>
      <c r="D1181" s="1" t="inlineStr">
        <is>
          <t>OP06781</t>
        </is>
      </c>
      <c r="E1181" s="8" t="n">
        <v>45115.90486111111</v>
      </c>
      <c r="F1181" s="7" t="inlineStr">
        <is>
          <t>DOWNLINE</t>
        </is>
      </c>
      <c r="G1181" s="18" t="inlineStr">
        <is>
          <t>OP06781</t>
        </is>
      </c>
      <c r="H1181" s="19">
        <f>UPPER(Table3[[#This Row],[Agen id]]&amp;"-"&amp;VLOOKUP(Table3[[#This Row],[Agen id]],A:B,2,0)&amp;"("&amp;Table3[[#This Row],[Short]]&amp;")")</f>
        <v/>
      </c>
      <c r="J1181" s="7">
        <f>VLOOKUP(Table3[[#This Row],[Agen id]],Agen!A:C,3,0)</f>
        <v/>
      </c>
      <c r="K1181" s="37">
        <f>TRIM(LEFT(Table3[[#This Row],[Group]],2))</f>
        <v/>
      </c>
      <c r="L1181" s="3" t="inlineStr">
        <is>
          <t>NON SALES</t>
        </is>
      </c>
    </row>
    <row r="1182">
      <c r="A1182" s="5" t="inlineStr">
        <is>
          <t>OP07660</t>
        </is>
      </c>
      <c r="B1182" s="6" t="inlineStr">
        <is>
          <t>Anivah</t>
        </is>
      </c>
      <c r="C1182" s="7" t="inlineStr">
        <is>
          <t>A - Agen</t>
        </is>
      </c>
      <c r="D1182" s="1" t="inlineStr">
        <is>
          <t>OP00002</t>
        </is>
      </c>
      <c r="E1182" s="8" t="n">
        <v>45116.37361111111</v>
      </c>
      <c r="F1182" s="7" t="inlineStr">
        <is>
          <t>AGEN</t>
        </is>
      </c>
      <c r="G1182" s="18" t="inlineStr">
        <is>
          <t>OP07660</t>
        </is>
      </c>
      <c r="H1182" s="19">
        <f>UPPER(Table3[[#This Row],[Agen id]]&amp;"-"&amp;VLOOKUP(Table3[[#This Row],[Agen id]],A:B,2,0)&amp;"("&amp;Table3[[#This Row],[Short]]&amp;")")</f>
        <v/>
      </c>
      <c r="J1182" s="7">
        <f>VLOOKUP(Table3[[#This Row],[Agen id]],Agen!A:C,3,0)</f>
        <v/>
      </c>
      <c r="K1182" s="37">
        <f>TRIM(LEFT(Table3[[#This Row],[Group]],2))</f>
        <v/>
      </c>
      <c r="L1182" s="3" t="inlineStr">
        <is>
          <t>NON SALES</t>
        </is>
      </c>
    </row>
    <row r="1183">
      <c r="A1183" s="5" t="inlineStr">
        <is>
          <t>OP07667</t>
        </is>
      </c>
      <c r="B1183" s="6" t="inlineStr">
        <is>
          <t>Beauty</t>
        </is>
      </c>
      <c r="C1183" s="7" t="inlineStr">
        <is>
          <t>A - Agen</t>
        </is>
      </c>
      <c r="D1183" s="1" t="inlineStr">
        <is>
          <t>OP00996</t>
        </is>
      </c>
      <c r="E1183" s="8" t="n">
        <v>45116.68125</v>
      </c>
      <c r="F1183" s="7" t="inlineStr">
        <is>
          <t>DOWNLINE</t>
        </is>
      </c>
      <c r="G1183" s="18" t="inlineStr">
        <is>
          <t>OP00996</t>
        </is>
      </c>
      <c r="H1183" s="19">
        <f>UPPER(Table3[[#This Row],[Agen id]]&amp;"-"&amp;VLOOKUP(Table3[[#This Row],[Agen id]],A:B,2,0)&amp;"("&amp;Table3[[#This Row],[Short]]&amp;")")</f>
        <v/>
      </c>
      <c r="J1183" s="7">
        <f>VLOOKUP(Table3[[#This Row],[Agen id]],Agen!A:C,3,0)</f>
        <v/>
      </c>
      <c r="K1183" s="37">
        <f>TRIM(LEFT(Table3[[#This Row],[Group]],2))</f>
        <v/>
      </c>
      <c r="L1183" s="3" t="inlineStr">
        <is>
          <t>NON SALES</t>
        </is>
      </c>
    </row>
    <row r="1184">
      <c r="A1184" s="5" t="inlineStr">
        <is>
          <t>OP07678</t>
        </is>
      </c>
      <c r="B1184" s="6" t="inlineStr">
        <is>
          <t>Rubia</t>
        </is>
      </c>
      <c r="C1184" s="7" t="inlineStr">
        <is>
          <t>AV - Agen Verified</t>
        </is>
      </c>
      <c r="D1184" s="1" t="inlineStr">
        <is>
          <t>OP00002</t>
        </is>
      </c>
      <c r="E1184" s="8" t="n">
        <v>45117.37569444445</v>
      </c>
      <c r="F1184" s="7" t="inlineStr">
        <is>
          <t>AGEN</t>
        </is>
      </c>
      <c r="G1184" s="18" t="inlineStr">
        <is>
          <t>OP07678</t>
        </is>
      </c>
      <c r="H1184" s="19">
        <f>UPPER(Table3[[#This Row],[Agen id]]&amp;"-"&amp;VLOOKUP(Table3[[#This Row],[Agen id]],A:B,2,0)&amp;"("&amp;Table3[[#This Row],[Short]]&amp;")")</f>
        <v/>
      </c>
      <c r="J1184" s="7">
        <f>VLOOKUP(Table3[[#This Row],[Agen id]],Agen!A:C,3,0)</f>
        <v/>
      </c>
      <c r="K1184" s="37">
        <f>TRIM(LEFT(Table3[[#This Row],[Group]],2))</f>
        <v/>
      </c>
      <c r="L1184" s="3" t="inlineStr">
        <is>
          <t>NON SALES</t>
        </is>
      </c>
    </row>
    <row r="1185">
      <c r="A1185" s="5" t="inlineStr">
        <is>
          <t>OP07682</t>
        </is>
      </c>
      <c r="B1185" s="6" t="inlineStr">
        <is>
          <t>Yamin</t>
        </is>
      </c>
      <c r="C1185" s="7" t="inlineStr">
        <is>
          <t>AV - Agen Verified</t>
        </is>
      </c>
      <c r="D1185" s="1" t="inlineStr">
        <is>
          <t>OP02233</t>
        </is>
      </c>
      <c r="E1185" s="8" t="n">
        <v>45117.44375</v>
      </c>
      <c r="F1185" s="7" t="inlineStr">
        <is>
          <t>DOWNLINE</t>
        </is>
      </c>
      <c r="G1185" s="18" t="inlineStr">
        <is>
          <t>OP02233</t>
        </is>
      </c>
      <c r="H1185" s="19">
        <f>UPPER(Table3[[#This Row],[Agen id]]&amp;"-"&amp;VLOOKUP(Table3[[#This Row],[Agen id]],A:B,2,0)&amp;"("&amp;Table3[[#This Row],[Short]]&amp;")")</f>
        <v/>
      </c>
      <c r="J1185" s="7">
        <f>VLOOKUP(Table3[[#This Row],[Agen id]],Agen!A:C,3,0)</f>
        <v/>
      </c>
      <c r="K1185" s="37">
        <f>TRIM(LEFT(Table3[[#This Row],[Group]],2))</f>
        <v/>
      </c>
      <c r="L1185" s="3" t="inlineStr">
        <is>
          <t>NON SALES</t>
        </is>
      </c>
    </row>
    <row r="1186">
      <c r="A1186" s="5" t="inlineStr">
        <is>
          <t>OP07683</t>
        </is>
      </c>
      <c r="B1186" s="6" t="inlineStr">
        <is>
          <t>Sales B</t>
        </is>
      </c>
      <c r="C1186" s="7" t="inlineStr">
        <is>
          <t>AV - Agen Verified</t>
        </is>
      </c>
      <c r="D1186" s="1" t="inlineStr">
        <is>
          <t>OP00004</t>
        </is>
      </c>
      <c r="E1186" s="8" t="n">
        <v>45117.48541666667</v>
      </c>
      <c r="F1186" s="7" t="inlineStr">
        <is>
          <t>SALES</t>
        </is>
      </c>
      <c r="G1186" s="18" t="inlineStr">
        <is>
          <t>OP07683</t>
        </is>
      </c>
      <c r="H1186" s="19">
        <f>UPPER(Table3[[#This Row],[Agen id]]&amp;"-"&amp;VLOOKUP(Table3[[#This Row],[Agen id]],A:B,2,0)&amp;"("&amp;Table3[[#This Row],[Short]]&amp;")")</f>
        <v/>
      </c>
      <c r="J1186" s="7">
        <f>VLOOKUP(Table3[[#This Row],[Agen id]],Agen!A:C,3,0)</f>
        <v/>
      </c>
      <c r="K1186" s="37">
        <f>TRIM(LEFT(Table3[[#This Row],[Group]],2))</f>
        <v/>
      </c>
      <c r="L1186" s="3" t="inlineStr">
        <is>
          <t>NON SALES</t>
        </is>
      </c>
    </row>
    <row r="1187">
      <c r="A1187" s="5" t="inlineStr">
        <is>
          <t>OP07684</t>
        </is>
      </c>
      <c r="B1187" s="6" t="inlineStr">
        <is>
          <t>Podo moro cell</t>
        </is>
      </c>
      <c r="C1187" s="7" t="inlineStr">
        <is>
          <t>AB1 - Agen Kab Bogor</t>
        </is>
      </c>
      <c r="D1187" s="1" t="inlineStr">
        <is>
          <t>OP07367</t>
        </is>
      </c>
      <c r="E1187" s="8" t="n">
        <v>45117.67083333333</v>
      </c>
      <c r="F1187" s="7" t="inlineStr">
        <is>
          <t>AGEN</t>
        </is>
      </c>
      <c r="G1187" s="18" t="inlineStr">
        <is>
          <t>OP07684</t>
        </is>
      </c>
      <c r="H1187" s="19">
        <f>UPPER(Table3[[#This Row],[Agen id]]&amp;"-"&amp;VLOOKUP(Table3[[#This Row],[Agen id]],A:B,2,0)&amp;"("&amp;Table3[[#This Row],[Short]]&amp;")")</f>
        <v/>
      </c>
      <c r="J1187" s="7">
        <f>VLOOKUP(Table3[[#This Row],[Agen id]],Agen!A:C,3,0)</f>
        <v/>
      </c>
      <c r="K1187" s="37">
        <f>TRIM(LEFT(Table3[[#This Row],[Group]],2))</f>
        <v/>
      </c>
      <c r="L1187" s="3" t="inlineStr">
        <is>
          <t>ARIS</t>
        </is>
      </c>
    </row>
    <row r="1188">
      <c r="A1188" s="5" t="inlineStr">
        <is>
          <t>OP07685</t>
        </is>
      </c>
      <c r="B1188" s="6" t="inlineStr">
        <is>
          <t>Seluler Kije Ganteng</t>
        </is>
      </c>
      <c r="C1188" s="7" t="inlineStr">
        <is>
          <t>AB1 - Agen Kab Bogor</t>
        </is>
      </c>
      <c r="D1188" s="1" t="inlineStr">
        <is>
          <t>OP07367</t>
        </is>
      </c>
      <c r="E1188" s="8" t="n">
        <v>45118.54861111111</v>
      </c>
      <c r="F1188" s="7" t="inlineStr">
        <is>
          <t>AGEN</t>
        </is>
      </c>
      <c r="G1188" s="18" t="inlineStr">
        <is>
          <t>OP07685</t>
        </is>
      </c>
      <c r="H1188" s="19">
        <f>UPPER(Table3[[#This Row],[Agen id]]&amp;"-"&amp;VLOOKUP(Table3[[#This Row],[Agen id]],A:B,2,0)&amp;"("&amp;Table3[[#This Row],[Short]]&amp;")")</f>
        <v/>
      </c>
      <c r="J1188" s="7">
        <f>VLOOKUP(Table3[[#This Row],[Agen id]],Agen!A:C,3,0)</f>
        <v/>
      </c>
      <c r="K1188" s="37">
        <f>TRIM(LEFT(Table3[[#This Row],[Group]],2))</f>
        <v/>
      </c>
      <c r="L1188" s="3" t="inlineStr">
        <is>
          <t>ARIS</t>
        </is>
      </c>
    </row>
    <row r="1189">
      <c r="A1189" s="5" t="inlineStr">
        <is>
          <t>OP07686</t>
        </is>
      </c>
      <c r="B1189" s="6" t="inlineStr">
        <is>
          <t>AL-GHIFARI CELL</t>
        </is>
      </c>
      <c r="C1189" s="7" t="inlineStr">
        <is>
          <t>AB1 - Agen Kab Bogor</t>
        </is>
      </c>
      <c r="D1189" s="1" t="inlineStr">
        <is>
          <t>OP07367</t>
        </is>
      </c>
      <c r="E1189" s="8" t="n">
        <v>45118.65347222222</v>
      </c>
      <c r="F1189" s="7" t="inlineStr">
        <is>
          <t>AGEN</t>
        </is>
      </c>
      <c r="G1189" s="18" t="inlineStr">
        <is>
          <t>OP07686</t>
        </is>
      </c>
      <c r="H1189" s="19">
        <f>UPPER(Table3[[#This Row],[Agen id]]&amp;"-"&amp;VLOOKUP(Table3[[#This Row],[Agen id]],A:B,2,0)&amp;"("&amp;Table3[[#This Row],[Short]]&amp;")")</f>
        <v/>
      </c>
      <c r="J1189" s="7">
        <f>VLOOKUP(Table3[[#This Row],[Agen id]],Agen!A:C,3,0)</f>
        <v/>
      </c>
      <c r="K1189" s="37">
        <f>TRIM(LEFT(Table3[[#This Row],[Group]],2))</f>
        <v/>
      </c>
      <c r="L1189" s="3" t="inlineStr">
        <is>
          <t>ARIS</t>
        </is>
      </c>
    </row>
    <row r="1190">
      <c r="A1190" s="5" t="inlineStr">
        <is>
          <t>OP07687</t>
        </is>
      </c>
      <c r="B1190" s="6" t="inlineStr">
        <is>
          <t>JA.CELL</t>
        </is>
      </c>
      <c r="C1190" s="7" t="inlineStr">
        <is>
          <t>A - Agen</t>
        </is>
      </c>
      <c r="D1190" s="1" t="inlineStr">
        <is>
          <t>OP00002</t>
        </is>
      </c>
      <c r="E1190" s="8" t="n">
        <v>45118.67569444444</v>
      </c>
      <c r="F1190" s="7" t="inlineStr">
        <is>
          <t>AGEN</t>
        </is>
      </c>
      <c r="G1190" s="18" t="inlineStr">
        <is>
          <t>OP07687</t>
        </is>
      </c>
      <c r="H1190" s="19">
        <f>UPPER(Table3[[#This Row],[Agen id]]&amp;"-"&amp;VLOOKUP(Table3[[#This Row],[Agen id]],A:B,2,0)&amp;"("&amp;Table3[[#This Row],[Short]]&amp;")")</f>
        <v/>
      </c>
      <c r="J1190" s="7">
        <f>VLOOKUP(Table3[[#This Row],[Agen id]],Agen!A:C,3,0)</f>
        <v/>
      </c>
      <c r="K1190" s="37">
        <f>TRIM(LEFT(Table3[[#This Row],[Group]],2))</f>
        <v/>
      </c>
      <c r="L1190" s="3" t="inlineStr">
        <is>
          <t>AZIZ</t>
        </is>
      </c>
    </row>
    <row r="1191">
      <c r="A1191" s="5" t="inlineStr">
        <is>
          <t>OP07688</t>
        </is>
      </c>
      <c r="B1191" s="6" t="inlineStr">
        <is>
          <t>Sahur</t>
        </is>
      </c>
      <c r="C1191" s="7" t="inlineStr">
        <is>
          <t>A - Agen</t>
        </is>
      </c>
      <c r="D1191" s="1" t="inlineStr">
        <is>
          <t>OP00996</t>
        </is>
      </c>
      <c r="E1191" s="8" t="n">
        <v>45118.69930555556</v>
      </c>
      <c r="F1191" s="7" t="inlineStr">
        <is>
          <t>DOWNLINE</t>
        </is>
      </c>
      <c r="G1191" s="18" t="inlineStr">
        <is>
          <t>OP00996</t>
        </is>
      </c>
      <c r="H1191" s="19">
        <f>UPPER(Table3[[#This Row],[Agen id]]&amp;"-"&amp;VLOOKUP(Table3[[#This Row],[Agen id]],A:B,2,0)&amp;"("&amp;Table3[[#This Row],[Short]]&amp;")")</f>
        <v/>
      </c>
      <c r="J1191" s="7">
        <f>VLOOKUP(Table3[[#This Row],[Agen id]],Agen!A:C,3,0)</f>
        <v/>
      </c>
      <c r="K1191" s="37">
        <f>TRIM(LEFT(Table3[[#This Row],[Group]],2))</f>
        <v/>
      </c>
      <c r="L1191" s="3" t="inlineStr">
        <is>
          <t>NON SALES</t>
        </is>
      </c>
    </row>
    <row r="1192">
      <c r="A1192" s="5" t="inlineStr">
        <is>
          <t>OP07689</t>
        </is>
      </c>
      <c r="B1192" s="6" t="inlineStr">
        <is>
          <t>R2 CELL</t>
        </is>
      </c>
      <c r="C1192" s="7" t="inlineStr">
        <is>
          <t>A - Agen</t>
        </is>
      </c>
      <c r="D1192" s="1" t="inlineStr">
        <is>
          <t>OP05567</t>
        </is>
      </c>
      <c r="E1192" s="8" t="n">
        <v>45118.71875</v>
      </c>
      <c r="F1192" s="7" t="inlineStr">
        <is>
          <t>DOWNLINE</t>
        </is>
      </c>
      <c r="G1192" s="18" t="inlineStr">
        <is>
          <t>OP05567</t>
        </is>
      </c>
      <c r="H1192" s="19">
        <f>UPPER(Table3[[#This Row],[Agen id]]&amp;"-"&amp;VLOOKUP(Table3[[#This Row],[Agen id]],A:B,2,0)&amp;"("&amp;Table3[[#This Row],[Short]]&amp;")")</f>
        <v/>
      </c>
      <c r="J1192" s="7">
        <f>VLOOKUP(Table3[[#This Row],[Agen id]],Agen!A:C,3,0)</f>
        <v/>
      </c>
      <c r="K1192" s="37">
        <f>TRIM(LEFT(Table3[[#This Row],[Group]],2))</f>
        <v/>
      </c>
      <c r="L1192" s="3" t="inlineStr">
        <is>
          <t>NON SALES</t>
        </is>
      </c>
    </row>
    <row r="1193">
      <c r="A1193" s="5" t="inlineStr">
        <is>
          <t>OP07690</t>
        </is>
      </c>
      <c r="B1193" s="6" t="inlineStr">
        <is>
          <t>AHY CELL</t>
        </is>
      </c>
      <c r="C1193" s="7" t="inlineStr">
        <is>
          <t>A - Agen</t>
        </is>
      </c>
      <c r="D1193" s="1" t="inlineStr">
        <is>
          <t>OP00002</t>
        </is>
      </c>
      <c r="E1193" s="8" t="n">
        <v>45118.71944444445</v>
      </c>
      <c r="F1193" s="7" t="inlineStr">
        <is>
          <t>AGEN</t>
        </is>
      </c>
      <c r="G1193" s="18" t="inlineStr">
        <is>
          <t>OP07690</t>
        </is>
      </c>
      <c r="H1193" s="19">
        <f>UPPER(Table3[[#This Row],[Agen id]]&amp;"-"&amp;VLOOKUP(Table3[[#This Row],[Agen id]],A:B,2,0)&amp;"("&amp;Table3[[#This Row],[Short]]&amp;")")</f>
        <v/>
      </c>
      <c r="J1193" s="7">
        <f>VLOOKUP(Table3[[#This Row],[Agen id]],Agen!A:C,3,0)</f>
        <v/>
      </c>
      <c r="K1193" s="37">
        <f>TRIM(LEFT(Table3[[#This Row],[Group]],2))</f>
        <v/>
      </c>
      <c r="L1193" s="3" t="inlineStr">
        <is>
          <t>AZIZ</t>
        </is>
      </c>
    </row>
    <row r="1194">
      <c r="A1194" s="5" t="inlineStr">
        <is>
          <t>OP07691</t>
        </is>
      </c>
      <c r="B1194" s="6" t="inlineStr">
        <is>
          <t>R3 CELL</t>
        </is>
      </c>
      <c r="C1194" s="7" t="inlineStr">
        <is>
          <t>A - Agen</t>
        </is>
      </c>
      <c r="D1194" s="1" t="inlineStr">
        <is>
          <t>OP05567</t>
        </is>
      </c>
      <c r="E1194" s="8" t="n">
        <v>45118.72152777778</v>
      </c>
      <c r="F1194" s="7" t="inlineStr">
        <is>
          <t>DOWNLINE</t>
        </is>
      </c>
      <c r="G1194" s="18" t="inlineStr">
        <is>
          <t>OP05567</t>
        </is>
      </c>
      <c r="H1194" s="19">
        <f>UPPER(Table3[[#This Row],[Agen id]]&amp;"-"&amp;VLOOKUP(Table3[[#This Row],[Agen id]],A:B,2,0)&amp;"("&amp;Table3[[#This Row],[Short]]&amp;")")</f>
        <v/>
      </c>
      <c r="J1194" s="7">
        <f>VLOOKUP(Table3[[#This Row],[Agen id]],Agen!A:C,3,0)</f>
        <v/>
      </c>
      <c r="K1194" s="37">
        <f>TRIM(LEFT(Table3[[#This Row],[Group]],2))</f>
        <v/>
      </c>
      <c r="L1194" s="3" t="inlineStr">
        <is>
          <t>NON SALES</t>
        </is>
      </c>
    </row>
    <row r="1195">
      <c r="A1195" s="5" t="inlineStr">
        <is>
          <t>OP07693</t>
        </is>
      </c>
      <c r="B1195" s="6" t="inlineStr">
        <is>
          <t>Gemilang cell 2</t>
        </is>
      </c>
      <c r="C1195" s="7" t="inlineStr">
        <is>
          <t>AB1 - Agen Kab Bogor</t>
        </is>
      </c>
      <c r="D1195" s="1" t="inlineStr">
        <is>
          <t>OP07367</t>
        </is>
      </c>
      <c r="E1195" s="8" t="n">
        <v>45119.46666666667</v>
      </c>
      <c r="F1195" s="7" t="inlineStr">
        <is>
          <t>AGEN</t>
        </is>
      </c>
      <c r="G1195" s="18" t="inlineStr">
        <is>
          <t>OP07693</t>
        </is>
      </c>
      <c r="H1195" s="19">
        <f>UPPER(Table3[[#This Row],[Agen id]]&amp;"-"&amp;VLOOKUP(Table3[[#This Row],[Agen id]],A:B,2,0)&amp;"("&amp;Table3[[#This Row],[Short]]&amp;")")</f>
        <v/>
      </c>
      <c r="J1195" s="7">
        <f>VLOOKUP(Table3[[#This Row],[Agen id]],Agen!A:C,3,0)</f>
        <v/>
      </c>
      <c r="K1195" s="37">
        <f>TRIM(LEFT(Table3[[#This Row],[Group]],2))</f>
        <v/>
      </c>
      <c r="L1195" s="3" t="inlineStr">
        <is>
          <t>ARIS</t>
        </is>
      </c>
    </row>
    <row r="1196">
      <c r="A1196" s="5" t="inlineStr">
        <is>
          <t>OP07694</t>
        </is>
      </c>
      <c r="B1196" s="6" t="inlineStr">
        <is>
          <t>Gemilang cell 4</t>
        </is>
      </c>
      <c r="C1196" s="7" t="inlineStr">
        <is>
          <t>AB1 - Agen Kab Bogor</t>
        </is>
      </c>
      <c r="D1196" s="1" t="inlineStr">
        <is>
          <t>OP07693</t>
        </is>
      </c>
      <c r="E1196" s="8" t="n">
        <v>45119.49375</v>
      </c>
      <c r="F1196" s="7" t="inlineStr">
        <is>
          <t>DOWNLINE</t>
        </is>
      </c>
      <c r="G1196" s="18" t="inlineStr">
        <is>
          <t>OP07693</t>
        </is>
      </c>
      <c r="H1196" s="19">
        <f>UPPER(Table3[[#This Row],[Agen id]]&amp;"-"&amp;VLOOKUP(Table3[[#This Row],[Agen id]],A:B,2,0)&amp;"("&amp;Table3[[#This Row],[Short]]&amp;")")</f>
        <v/>
      </c>
      <c r="J1196" s="7">
        <f>VLOOKUP(Table3[[#This Row],[Agen id]],Agen!A:C,3,0)</f>
        <v/>
      </c>
      <c r="K1196" s="37">
        <f>TRIM(LEFT(Table3[[#This Row],[Group]],2))</f>
        <v/>
      </c>
      <c r="L1196" s="3" t="inlineStr">
        <is>
          <t>NON SALES</t>
        </is>
      </c>
    </row>
    <row r="1197">
      <c r="A1197" s="5" t="inlineStr">
        <is>
          <t>OP07697</t>
        </is>
      </c>
      <c r="B1197" s="6" t="inlineStr">
        <is>
          <t>RIRI CELL</t>
        </is>
      </c>
      <c r="C1197" s="7" t="inlineStr">
        <is>
          <t>AV - Agen Verified</t>
        </is>
      </c>
      <c r="D1197" s="1" t="inlineStr">
        <is>
          <t>OP00002</t>
        </is>
      </c>
      <c r="E1197" s="8" t="n">
        <v>45119.92916666667</v>
      </c>
      <c r="F1197" s="7" t="inlineStr">
        <is>
          <t>AGEN</t>
        </is>
      </c>
      <c r="G1197" s="18" t="inlineStr">
        <is>
          <t>OP07697</t>
        </is>
      </c>
      <c r="H1197" s="19">
        <f>UPPER(Table3[[#This Row],[Agen id]]&amp;"-"&amp;VLOOKUP(Table3[[#This Row],[Agen id]],A:B,2,0)&amp;"("&amp;Table3[[#This Row],[Short]]&amp;")")</f>
        <v/>
      </c>
      <c r="J1197" s="7">
        <f>VLOOKUP(Table3[[#This Row],[Agen id]],Agen!A:C,3,0)</f>
        <v/>
      </c>
      <c r="K1197" s="37">
        <f>TRIM(LEFT(Table3[[#This Row],[Group]],2))</f>
        <v/>
      </c>
      <c r="L1197" s="3" t="inlineStr">
        <is>
          <t>NON SALES</t>
        </is>
      </c>
    </row>
    <row r="1198">
      <c r="A1198" s="5" t="inlineStr">
        <is>
          <t>OP07699</t>
        </is>
      </c>
      <c r="B1198" s="6" t="inlineStr">
        <is>
          <t>Radityo</t>
        </is>
      </c>
      <c r="C1198" s="7" t="inlineStr">
        <is>
          <t>AB1 - Agen Kab Bogor</t>
        </is>
      </c>
      <c r="D1198" s="1" t="inlineStr">
        <is>
          <t>OP07367</t>
        </is>
      </c>
      <c r="E1198" s="8" t="n">
        <v>45120.43055555555</v>
      </c>
      <c r="F1198" s="7" t="inlineStr">
        <is>
          <t>AGEN</t>
        </is>
      </c>
      <c r="G1198" s="18" t="inlineStr">
        <is>
          <t>OP07699</t>
        </is>
      </c>
      <c r="H1198" s="19">
        <f>UPPER(Table3[[#This Row],[Agen id]]&amp;"-"&amp;VLOOKUP(Table3[[#This Row],[Agen id]],A:B,2,0)&amp;"("&amp;Table3[[#This Row],[Short]]&amp;")")</f>
        <v/>
      </c>
      <c r="J1198" s="7">
        <f>VLOOKUP(Table3[[#This Row],[Agen id]],Agen!A:C,3,0)</f>
        <v/>
      </c>
      <c r="K1198" s="37">
        <f>TRIM(LEFT(Table3[[#This Row],[Group]],2))</f>
        <v/>
      </c>
      <c r="L1198" s="3" t="inlineStr">
        <is>
          <t>ARIS</t>
        </is>
      </c>
    </row>
    <row r="1199">
      <c r="A1199" s="5" t="inlineStr">
        <is>
          <t>OP07700</t>
        </is>
      </c>
      <c r="B1199" s="6" t="inlineStr">
        <is>
          <t>Gemilang cell3</t>
        </is>
      </c>
      <c r="C1199" s="7" t="inlineStr">
        <is>
          <t>AV - Agen Verified</t>
        </is>
      </c>
      <c r="D1199" s="1" t="inlineStr">
        <is>
          <t>OP07693</t>
        </is>
      </c>
      <c r="E1199" s="8" t="n">
        <v>45120.46319444444</v>
      </c>
      <c r="F1199" s="7" t="inlineStr">
        <is>
          <t>DOWNLINE</t>
        </is>
      </c>
      <c r="G1199" s="18" t="inlineStr">
        <is>
          <t>OP07693</t>
        </is>
      </c>
      <c r="H1199" s="19">
        <f>UPPER(Table3[[#This Row],[Agen id]]&amp;"-"&amp;VLOOKUP(Table3[[#This Row],[Agen id]],A:B,2,0)&amp;"("&amp;Table3[[#This Row],[Short]]&amp;")")</f>
        <v/>
      </c>
      <c r="J1199" s="7">
        <f>VLOOKUP(Table3[[#This Row],[Agen id]],Agen!A:C,3,0)</f>
        <v/>
      </c>
      <c r="K1199" s="37">
        <f>TRIM(LEFT(Table3[[#This Row],[Group]],2))</f>
        <v/>
      </c>
      <c r="L1199" s="3" t="inlineStr">
        <is>
          <t>NON SALES</t>
        </is>
      </c>
    </row>
    <row r="1200">
      <c r="A1200" s="5" t="inlineStr">
        <is>
          <t>OP07702</t>
        </is>
      </c>
      <c r="B1200" s="6" t="inlineStr">
        <is>
          <t>M. Akhsan</t>
        </is>
      </c>
      <c r="C1200" s="7" t="inlineStr">
        <is>
          <t>A - Agen</t>
        </is>
      </c>
      <c r="D1200" s="1" t="inlineStr">
        <is>
          <t>OP00003</t>
        </is>
      </c>
      <c r="E1200" s="8" t="n">
        <v>45120.74097222222</v>
      </c>
      <c r="F1200" s="7" t="inlineStr">
        <is>
          <t>AGEN</t>
        </is>
      </c>
      <c r="G1200" s="18" t="inlineStr">
        <is>
          <t>OP07702</t>
        </is>
      </c>
      <c r="H1200" s="19">
        <f>UPPER(Table3[[#This Row],[Agen id]]&amp;"-"&amp;VLOOKUP(Table3[[#This Row],[Agen id]],A:B,2,0)&amp;"("&amp;Table3[[#This Row],[Short]]&amp;")")</f>
        <v/>
      </c>
      <c r="J1200" s="7">
        <f>VLOOKUP(Table3[[#This Row],[Agen id]],Agen!A:C,3,0)</f>
        <v/>
      </c>
      <c r="K1200" s="37">
        <f>TRIM(LEFT(Table3[[#This Row],[Group]],2))</f>
        <v/>
      </c>
      <c r="L1200" s="3" t="inlineStr">
        <is>
          <t>NON SALES</t>
        </is>
      </c>
    </row>
    <row r="1201">
      <c r="A1201" s="5" t="inlineStr">
        <is>
          <t>OP07717</t>
        </is>
      </c>
      <c r="B1201" s="6" t="inlineStr">
        <is>
          <t>Wahyucell</t>
        </is>
      </c>
      <c r="C1201" s="7" t="inlineStr">
        <is>
          <t>A - Agen</t>
        </is>
      </c>
      <c r="D1201" s="1" t="inlineStr">
        <is>
          <t>OP00002</t>
        </is>
      </c>
      <c r="E1201" s="8" t="n">
        <v>45121.32777777778</v>
      </c>
      <c r="F1201" s="7" t="inlineStr">
        <is>
          <t>AGEN</t>
        </is>
      </c>
      <c r="G1201" s="18" t="inlineStr">
        <is>
          <t>OP07717</t>
        </is>
      </c>
      <c r="H1201" s="19">
        <f>UPPER(Table3[[#This Row],[Agen id]]&amp;"-"&amp;VLOOKUP(Table3[[#This Row],[Agen id]],A:B,2,0)&amp;"("&amp;Table3[[#This Row],[Short]]&amp;")")</f>
        <v/>
      </c>
      <c r="J1201" s="7">
        <f>VLOOKUP(Table3[[#This Row],[Agen id]],Agen!A:C,3,0)</f>
        <v/>
      </c>
      <c r="K1201" s="37">
        <f>TRIM(LEFT(Table3[[#This Row],[Group]],2))</f>
        <v/>
      </c>
      <c r="L1201" s="3" t="inlineStr">
        <is>
          <t>NON SALES</t>
        </is>
      </c>
    </row>
    <row r="1202">
      <c r="A1202" s="5" t="inlineStr">
        <is>
          <t>OP07725</t>
        </is>
      </c>
      <c r="B1202" s="6" t="inlineStr">
        <is>
          <t>Sales C</t>
        </is>
      </c>
      <c r="C1202" s="7" t="inlineStr">
        <is>
          <t>AV - Agen Verified</t>
        </is>
      </c>
      <c r="D1202" s="1" t="inlineStr">
        <is>
          <t>OP00004</t>
        </is>
      </c>
      <c r="E1202" s="8" t="n">
        <v>45121.54166666666</v>
      </c>
      <c r="F1202" s="7" t="inlineStr">
        <is>
          <t>SALES</t>
        </is>
      </c>
      <c r="G1202" s="18" t="inlineStr">
        <is>
          <t>OP07725</t>
        </is>
      </c>
      <c r="H1202" s="19">
        <f>UPPER(Table3[[#This Row],[Agen id]]&amp;"-"&amp;VLOOKUP(Table3[[#This Row],[Agen id]],A:B,2,0)&amp;"("&amp;Table3[[#This Row],[Short]]&amp;")")</f>
        <v/>
      </c>
      <c r="J1202" s="7">
        <f>VLOOKUP(Table3[[#This Row],[Agen id]],Agen!A:C,3,0)</f>
        <v/>
      </c>
      <c r="K1202" s="37">
        <f>TRIM(LEFT(Table3[[#This Row],[Group]],2))</f>
        <v/>
      </c>
      <c r="L1202" s="3" t="inlineStr">
        <is>
          <t>NON SALES</t>
        </is>
      </c>
    </row>
    <row r="1203">
      <c r="A1203" s="5" t="inlineStr">
        <is>
          <t>OP07727</t>
        </is>
      </c>
      <c r="B1203" s="6" t="inlineStr">
        <is>
          <t>Erik cell</t>
        </is>
      </c>
      <c r="C1203" s="7" t="inlineStr">
        <is>
          <t>AB1 - Agen Kab Bogor</t>
        </is>
      </c>
      <c r="D1203" s="1" t="inlineStr">
        <is>
          <t>OP07367</t>
        </is>
      </c>
      <c r="E1203" s="8" t="n">
        <v>45121.58819444444</v>
      </c>
      <c r="F1203" s="7" t="inlineStr">
        <is>
          <t>AGEN</t>
        </is>
      </c>
      <c r="G1203" s="18" t="inlineStr">
        <is>
          <t>OP07727</t>
        </is>
      </c>
      <c r="H1203" s="19">
        <f>UPPER(Table3[[#This Row],[Agen id]]&amp;"-"&amp;VLOOKUP(Table3[[#This Row],[Agen id]],A:B,2,0)&amp;"("&amp;Table3[[#This Row],[Short]]&amp;")")</f>
        <v/>
      </c>
      <c r="J1203" s="7">
        <f>VLOOKUP(Table3[[#This Row],[Agen id]],Agen!A:C,3,0)</f>
        <v/>
      </c>
      <c r="K1203" s="37">
        <f>TRIM(LEFT(Table3[[#This Row],[Group]],2))</f>
        <v/>
      </c>
      <c r="L1203" s="3" t="inlineStr">
        <is>
          <t>ARIS</t>
        </is>
      </c>
    </row>
    <row r="1204">
      <c r="A1204" s="5" t="inlineStr">
        <is>
          <t>OP07736</t>
        </is>
      </c>
      <c r="B1204" s="6" t="inlineStr">
        <is>
          <t>Ima</t>
        </is>
      </c>
      <c r="C1204" s="7" t="inlineStr">
        <is>
          <t>AV - Agen Verified</t>
        </is>
      </c>
      <c r="D1204" s="1" t="inlineStr">
        <is>
          <t>OP00655</t>
        </is>
      </c>
      <c r="E1204" s="8" t="n">
        <v>45122.30555555555</v>
      </c>
      <c r="F1204" s="7" t="inlineStr">
        <is>
          <t>DOWNLINE</t>
        </is>
      </c>
      <c r="G1204" s="18" t="inlineStr">
        <is>
          <t>OP00049</t>
        </is>
      </c>
      <c r="H1204" s="19">
        <f>UPPER(Table3[[#This Row],[Agen id]]&amp;"-"&amp;VLOOKUP(Table3[[#This Row],[Agen id]],A:B,2,0)&amp;"("&amp;Table3[[#This Row],[Short]]&amp;")")</f>
        <v/>
      </c>
      <c r="J1204" s="7">
        <f>VLOOKUP(Table3[[#This Row],[Agen id]],Agen!A:C,3,0)</f>
        <v/>
      </c>
      <c r="K1204" s="37">
        <f>TRIM(LEFT(Table3[[#This Row],[Group]],2))</f>
        <v/>
      </c>
      <c r="L1204" s="3" t="inlineStr">
        <is>
          <t>NON SALES</t>
        </is>
      </c>
    </row>
    <row r="1205">
      <c r="A1205" s="5" t="inlineStr">
        <is>
          <t>OP07737</t>
        </is>
      </c>
      <c r="B1205" s="6" t="inlineStr">
        <is>
          <t>ZURIYAH</t>
        </is>
      </c>
      <c r="C1205" s="7" t="inlineStr">
        <is>
          <t>AV - Agen Verified</t>
        </is>
      </c>
      <c r="D1205" s="1" t="inlineStr">
        <is>
          <t>OP00002</t>
        </is>
      </c>
      <c r="E1205" s="8" t="n">
        <v>45122.38402777778</v>
      </c>
      <c r="F1205" s="7" t="inlineStr">
        <is>
          <t>AGEN</t>
        </is>
      </c>
      <c r="G1205" s="18" t="inlineStr">
        <is>
          <t>OP07737</t>
        </is>
      </c>
      <c r="H1205" s="19">
        <f>UPPER(Table3[[#This Row],[Agen id]]&amp;"-"&amp;VLOOKUP(Table3[[#This Row],[Agen id]],A:B,2,0)&amp;"("&amp;Table3[[#This Row],[Short]]&amp;")")</f>
        <v/>
      </c>
      <c r="J1205" s="7">
        <f>VLOOKUP(Table3[[#This Row],[Agen id]],Agen!A:C,3,0)</f>
        <v/>
      </c>
      <c r="K1205" s="37">
        <f>TRIM(LEFT(Table3[[#This Row],[Group]],2))</f>
        <v/>
      </c>
      <c r="L1205" s="3" t="inlineStr">
        <is>
          <t>NON SALES</t>
        </is>
      </c>
    </row>
    <row r="1206">
      <c r="A1206" s="5" t="inlineStr">
        <is>
          <t>OP07738</t>
        </is>
      </c>
      <c r="B1206" s="6" t="inlineStr">
        <is>
          <t>Della putri</t>
        </is>
      </c>
      <c r="C1206" s="7" t="inlineStr">
        <is>
          <t>AB1 - Agen Kab Bogor</t>
        </is>
      </c>
      <c r="D1206" s="1" t="inlineStr">
        <is>
          <t>OP07367</t>
        </is>
      </c>
      <c r="E1206" s="8" t="n">
        <v>45122.45347222222</v>
      </c>
      <c r="F1206" s="7" t="inlineStr">
        <is>
          <t>AGEN</t>
        </is>
      </c>
      <c r="G1206" s="18" t="inlineStr">
        <is>
          <t>OP07738</t>
        </is>
      </c>
      <c r="H1206" s="19">
        <f>UPPER(Table3[[#This Row],[Agen id]]&amp;"-"&amp;VLOOKUP(Table3[[#This Row],[Agen id]],A:B,2,0)&amp;"("&amp;Table3[[#This Row],[Short]]&amp;")")</f>
        <v/>
      </c>
      <c r="J1206" s="7">
        <f>VLOOKUP(Table3[[#This Row],[Agen id]],Agen!A:C,3,0)</f>
        <v/>
      </c>
      <c r="K1206" s="37">
        <f>TRIM(LEFT(Table3[[#This Row],[Group]],2))</f>
        <v/>
      </c>
      <c r="L1206" s="3" t="inlineStr">
        <is>
          <t>ARIS</t>
        </is>
      </c>
    </row>
    <row r="1207">
      <c r="A1207" s="5" t="inlineStr">
        <is>
          <t>OP07741</t>
        </is>
      </c>
      <c r="B1207" s="6" t="inlineStr">
        <is>
          <t>elsaflasher</t>
        </is>
      </c>
      <c r="C1207" s="7" t="inlineStr">
        <is>
          <t>A - Agen</t>
        </is>
      </c>
      <c r="D1207" s="1" t="inlineStr">
        <is>
          <t>OP00996</t>
        </is>
      </c>
      <c r="E1207" s="8" t="n">
        <v>45122.53541666667</v>
      </c>
      <c r="F1207" s="7" t="inlineStr">
        <is>
          <t>DOWNLINE</t>
        </is>
      </c>
      <c r="G1207" s="18" t="inlineStr">
        <is>
          <t>OP00996</t>
        </is>
      </c>
      <c r="H1207" s="19">
        <f>UPPER(Table3[[#This Row],[Agen id]]&amp;"-"&amp;VLOOKUP(Table3[[#This Row],[Agen id]],A:B,2,0)&amp;"("&amp;Table3[[#This Row],[Short]]&amp;")")</f>
        <v/>
      </c>
      <c r="J1207" s="7">
        <f>VLOOKUP(Table3[[#This Row],[Agen id]],Agen!A:C,3,0)</f>
        <v/>
      </c>
      <c r="K1207" s="37">
        <f>TRIM(LEFT(Table3[[#This Row],[Group]],2))</f>
        <v/>
      </c>
      <c r="L1207" s="3" t="inlineStr">
        <is>
          <t>NON SALES</t>
        </is>
      </c>
    </row>
    <row r="1208">
      <c r="A1208" s="5" t="inlineStr">
        <is>
          <t>OP07767</t>
        </is>
      </c>
      <c r="B1208" s="6" t="inlineStr">
        <is>
          <t>C h i a</t>
        </is>
      </c>
      <c r="C1208" s="7" t="inlineStr">
        <is>
          <t>A - Agen</t>
        </is>
      </c>
      <c r="D1208" s="1" t="inlineStr">
        <is>
          <t>OP02431</t>
        </is>
      </c>
      <c r="E1208" s="8" t="n">
        <v>45123.67430555556</v>
      </c>
      <c r="F1208" s="7" t="inlineStr">
        <is>
          <t>DOWNLINE</t>
        </is>
      </c>
      <c r="G1208" s="18" t="inlineStr">
        <is>
          <t>OP02431</t>
        </is>
      </c>
      <c r="H1208" s="19">
        <f>UPPER(Table3[[#This Row],[Agen id]]&amp;"-"&amp;VLOOKUP(Table3[[#This Row],[Agen id]],A:B,2,0)&amp;"("&amp;Table3[[#This Row],[Short]]&amp;")")</f>
        <v/>
      </c>
      <c r="J1208" s="7">
        <f>VLOOKUP(Table3[[#This Row],[Agen id]],Agen!A:C,3,0)</f>
        <v/>
      </c>
      <c r="K1208" s="37">
        <f>TRIM(LEFT(Table3[[#This Row],[Group]],2))</f>
        <v/>
      </c>
      <c r="L1208" s="3" t="inlineStr">
        <is>
          <t>NON SALES</t>
        </is>
      </c>
    </row>
    <row r="1209">
      <c r="A1209" s="5" t="inlineStr">
        <is>
          <t>OP07787</t>
        </is>
      </c>
      <c r="B1209" s="6" t="inlineStr">
        <is>
          <t>SUTIKA CELL</t>
        </is>
      </c>
      <c r="C1209" s="7" t="inlineStr">
        <is>
          <t>AV - Agen Verified</t>
        </is>
      </c>
      <c r="D1209" s="1" t="inlineStr">
        <is>
          <t>OP00002</t>
        </is>
      </c>
      <c r="E1209" s="8" t="n">
        <v>45124.64166666667</v>
      </c>
      <c r="F1209" s="7" t="inlineStr">
        <is>
          <t>AGEN</t>
        </is>
      </c>
      <c r="G1209" s="18" t="inlineStr">
        <is>
          <t>OP07787</t>
        </is>
      </c>
      <c r="H1209" s="19">
        <f>UPPER(Table3[[#This Row],[Agen id]]&amp;"-"&amp;VLOOKUP(Table3[[#This Row],[Agen id]],A:B,2,0)&amp;"("&amp;Table3[[#This Row],[Short]]&amp;")")</f>
        <v/>
      </c>
      <c r="J1209" s="7">
        <f>VLOOKUP(Table3[[#This Row],[Agen id]],Agen!A:C,3,0)</f>
        <v/>
      </c>
      <c r="K1209" s="37">
        <f>TRIM(LEFT(Table3[[#This Row],[Group]],2))</f>
        <v/>
      </c>
      <c r="L1209" s="3" t="inlineStr">
        <is>
          <t>NON SALES</t>
        </is>
      </c>
    </row>
    <row r="1210">
      <c r="A1210" s="5" t="inlineStr">
        <is>
          <t>OP07802</t>
        </is>
      </c>
      <c r="B1210" s="6" t="inlineStr">
        <is>
          <t>Dumaris malau</t>
        </is>
      </c>
      <c r="C1210" s="7" t="inlineStr">
        <is>
          <t>AB1 - Agen Kab Bogor</t>
        </is>
      </c>
      <c r="D1210" s="1" t="inlineStr">
        <is>
          <t>OP07367</t>
        </is>
      </c>
      <c r="E1210" s="8" t="n">
        <v>45125.42777777778</v>
      </c>
      <c r="F1210" s="7" t="inlineStr">
        <is>
          <t>AGEN</t>
        </is>
      </c>
      <c r="G1210" s="18" t="inlineStr">
        <is>
          <t>OP07802</t>
        </is>
      </c>
      <c r="H1210" s="19">
        <f>UPPER(Table3[[#This Row],[Agen id]]&amp;"-"&amp;VLOOKUP(Table3[[#This Row],[Agen id]],A:B,2,0)&amp;"("&amp;Table3[[#This Row],[Short]]&amp;")")</f>
        <v/>
      </c>
      <c r="J1210" s="7">
        <f>VLOOKUP(Table3[[#This Row],[Agen id]],Agen!A:C,3,0)</f>
        <v/>
      </c>
      <c r="K1210" s="37">
        <f>TRIM(LEFT(Table3[[#This Row],[Group]],2))</f>
        <v/>
      </c>
      <c r="L1210" s="3" t="inlineStr">
        <is>
          <t>NON SALES</t>
        </is>
      </c>
    </row>
    <row r="1211">
      <c r="A1211" s="5" t="inlineStr">
        <is>
          <t>OP07804</t>
        </is>
      </c>
      <c r="B1211" s="6" t="inlineStr">
        <is>
          <t>Jabat cell</t>
        </is>
      </c>
      <c r="C1211" s="7" t="inlineStr">
        <is>
          <t>AV - Agen Verified</t>
        </is>
      </c>
      <c r="D1211" s="1" t="inlineStr">
        <is>
          <t>OP07802</t>
        </is>
      </c>
      <c r="E1211" s="8" t="n">
        <v>45125.47291666667</v>
      </c>
      <c r="F1211" s="7" t="inlineStr">
        <is>
          <t>DOWNLINE</t>
        </is>
      </c>
      <c r="G1211" s="18" t="inlineStr">
        <is>
          <t>OP07802</t>
        </is>
      </c>
      <c r="H1211" s="19">
        <f>UPPER(Table3[[#This Row],[Agen id]]&amp;"-"&amp;VLOOKUP(Table3[[#This Row],[Agen id]],A:B,2,0)&amp;"("&amp;Table3[[#This Row],[Short]]&amp;")")</f>
        <v/>
      </c>
      <c r="J1211" s="7">
        <f>VLOOKUP(Table3[[#This Row],[Agen id]],Agen!A:C,3,0)</f>
        <v/>
      </c>
      <c r="K1211" s="37">
        <f>TRIM(LEFT(Table3[[#This Row],[Group]],2))</f>
        <v/>
      </c>
      <c r="L1211" s="3" t="inlineStr">
        <is>
          <t>NON SALES</t>
        </is>
      </c>
    </row>
    <row r="1212">
      <c r="A1212" s="5" t="inlineStr">
        <is>
          <t>OP07812</t>
        </is>
      </c>
      <c r="B1212" s="6" t="inlineStr">
        <is>
          <t>Putri nur</t>
        </is>
      </c>
      <c r="C1212" s="7" t="inlineStr">
        <is>
          <t>A - Agen</t>
        </is>
      </c>
      <c r="D1212" s="1" t="inlineStr">
        <is>
          <t>OP00996</t>
        </is>
      </c>
      <c r="E1212" s="8" t="n">
        <v>45125.82569444444</v>
      </c>
      <c r="F1212" s="7" t="inlineStr">
        <is>
          <t>DOWNLINE</t>
        </is>
      </c>
      <c r="G1212" s="18" t="inlineStr">
        <is>
          <t>OP00996</t>
        </is>
      </c>
      <c r="H1212" s="19">
        <f>UPPER(Table3[[#This Row],[Agen id]]&amp;"-"&amp;VLOOKUP(Table3[[#This Row],[Agen id]],A:B,2,0)&amp;"("&amp;Table3[[#This Row],[Short]]&amp;")")</f>
        <v/>
      </c>
      <c r="J1212" s="7">
        <f>VLOOKUP(Table3[[#This Row],[Agen id]],Agen!A:C,3,0)</f>
        <v/>
      </c>
      <c r="K1212" s="37">
        <f>TRIM(LEFT(Table3[[#This Row],[Group]],2))</f>
        <v/>
      </c>
      <c r="L1212" s="3" t="inlineStr">
        <is>
          <t>NON SALES</t>
        </is>
      </c>
    </row>
    <row r="1213">
      <c r="A1213" s="5" t="inlineStr">
        <is>
          <t>OP07816</t>
        </is>
      </c>
      <c r="B1213" s="6" t="inlineStr">
        <is>
          <t>Clara Aprilia</t>
        </is>
      </c>
      <c r="C1213" s="7" t="inlineStr">
        <is>
          <t>A - Agen</t>
        </is>
      </c>
      <c r="D1213" s="1" t="inlineStr">
        <is>
          <t>OP00002</t>
        </is>
      </c>
      <c r="E1213" s="8" t="n">
        <v>45125.88541666666</v>
      </c>
      <c r="F1213" s="7" t="inlineStr">
        <is>
          <t>AGEN</t>
        </is>
      </c>
      <c r="G1213" s="18" t="inlineStr">
        <is>
          <t>OP07816</t>
        </is>
      </c>
      <c r="H1213" s="19">
        <f>UPPER(Table3[[#This Row],[Agen id]]&amp;"-"&amp;VLOOKUP(Table3[[#This Row],[Agen id]],A:B,2,0)&amp;"("&amp;Table3[[#This Row],[Short]]&amp;")")</f>
        <v/>
      </c>
      <c r="J1213" s="7">
        <f>VLOOKUP(Table3[[#This Row],[Agen id]],Agen!A:C,3,0)</f>
        <v/>
      </c>
      <c r="K1213" s="37">
        <f>TRIM(LEFT(Table3[[#This Row],[Group]],2))</f>
        <v/>
      </c>
      <c r="L1213" s="3" t="inlineStr">
        <is>
          <t>NON SALES</t>
        </is>
      </c>
    </row>
    <row r="1214">
      <c r="A1214" s="5" t="inlineStr">
        <is>
          <t>OP07827</t>
        </is>
      </c>
      <c r="B1214" s="6" t="inlineStr">
        <is>
          <t>Nur Cell</t>
        </is>
      </c>
      <c r="C1214" s="7" t="inlineStr">
        <is>
          <t>MK - Marketing</t>
        </is>
      </c>
      <c r="D1214" s="1" t="inlineStr">
        <is>
          <t>OP02182</t>
        </is>
      </c>
      <c r="E1214" s="8" t="n">
        <v>45126.47847222222</v>
      </c>
      <c r="F1214" s="7" t="inlineStr">
        <is>
          <t>DOWNLINE</t>
        </is>
      </c>
      <c r="G1214" s="18" t="inlineStr">
        <is>
          <t>OP02182</t>
        </is>
      </c>
      <c r="H1214" s="19">
        <f>UPPER(Table3[[#This Row],[Agen id]]&amp;"-"&amp;VLOOKUP(Table3[[#This Row],[Agen id]],A:B,2,0)&amp;"("&amp;Table3[[#This Row],[Short]]&amp;")")</f>
        <v/>
      </c>
      <c r="J1214" s="7">
        <f>VLOOKUP(Table3[[#This Row],[Agen id]],Agen!A:C,3,0)</f>
        <v/>
      </c>
      <c r="K1214" s="37">
        <f>TRIM(LEFT(Table3[[#This Row],[Group]],2))</f>
        <v/>
      </c>
      <c r="L1214" s="3" t="inlineStr">
        <is>
          <t>NON SALES</t>
        </is>
      </c>
    </row>
    <row r="1215">
      <c r="A1215" s="5" t="inlineStr">
        <is>
          <t>OP07830</t>
        </is>
      </c>
      <c r="B1215" s="6" t="inlineStr">
        <is>
          <t>Tanto</t>
        </is>
      </c>
      <c r="C1215" s="7" t="inlineStr">
        <is>
          <t>AV - Agen Verified</t>
        </is>
      </c>
      <c r="D1215" s="1" t="inlineStr">
        <is>
          <t>OP04153</t>
        </is>
      </c>
      <c r="E1215" s="8" t="n">
        <v>45126.58472222222</v>
      </c>
      <c r="F1215" s="7" t="inlineStr">
        <is>
          <t>DOWNLINE</t>
        </is>
      </c>
      <c r="G1215" s="18" t="inlineStr">
        <is>
          <t>OP04153</t>
        </is>
      </c>
      <c r="H1215" s="19">
        <f>UPPER(Table3[[#This Row],[Agen id]]&amp;"-"&amp;VLOOKUP(Table3[[#This Row],[Agen id]],A:B,2,0)&amp;"("&amp;Table3[[#This Row],[Short]]&amp;")")</f>
        <v/>
      </c>
      <c r="J1215" s="7">
        <f>VLOOKUP(Table3[[#This Row],[Agen id]],Agen!A:C,3,0)</f>
        <v/>
      </c>
      <c r="K1215" s="37">
        <f>TRIM(LEFT(Table3[[#This Row],[Group]],2))</f>
        <v/>
      </c>
      <c r="L1215" s="3" t="inlineStr">
        <is>
          <t>NON SALES</t>
        </is>
      </c>
    </row>
    <row r="1216">
      <c r="A1216" s="5" t="inlineStr">
        <is>
          <t>OP07834</t>
        </is>
      </c>
      <c r="B1216" s="6" t="inlineStr">
        <is>
          <t>BANG.AZIS</t>
        </is>
      </c>
      <c r="C1216" s="7" t="inlineStr">
        <is>
          <t>A - Agen</t>
        </is>
      </c>
      <c r="D1216" s="1" t="inlineStr">
        <is>
          <t>OP02233</t>
        </is>
      </c>
      <c r="E1216" s="8" t="n">
        <v>45126.79444444444</v>
      </c>
      <c r="F1216" s="7" t="inlineStr">
        <is>
          <t>DOWNLINE</t>
        </is>
      </c>
      <c r="G1216" s="18" t="inlineStr">
        <is>
          <t>OP02233</t>
        </is>
      </c>
      <c r="H1216" s="19">
        <f>UPPER(Table3[[#This Row],[Agen id]]&amp;"-"&amp;VLOOKUP(Table3[[#This Row],[Agen id]],A:B,2,0)&amp;"("&amp;Table3[[#This Row],[Short]]&amp;")")</f>
        <v/>
      </c>
      <c r="J1216" s="7">
        <f>VLOOKUP(Table3[[#This Row],[Agen id]],Agen!A:C,3,0)</f>
        <v/>
      </c>
      <c r="K1216" s="37">
        <f>TRIM(LEFT(Table3[[#This Row],[Group]],2))</f>
        <v/>
      </c>
      <c r="L1216" s="3" t="inlineStr">
        <is>
          <t>NON SALES</t>
        </is>
      </c>
    </row>
    <row r="1217">
      <c r="A1217" s="5" t="inlineStr">
        <is>
          <t>OP07851</t>
        </is>
      </c>
      <c r="B1217" s="6" t="inlineStr">
        <is>
          <t>Anika Cell</t>
        </is>
      </c>
      <c r="C1217" s="7" t="inlineStr">
        <is>
          <t>AV - Agen Verified</t>
        </is>
      </c>
      <c r="D1217" s="1" t="inlineStr">
        <is>
          <t>OP07521</t>
        </is>
      </c>
      <c r="E1217" s="8" t="n">
        <v>45127.47847222222</v>
      </c>
      <c r="F1217" s="7" t="inlineStr">
        <is>
          <t>DOWNLINE</t>
        </is>
      </c>
      <c r="G1217" s="18" t="inlineStr">
        <is>
          <t>OP07521</t>
        </is>
      </c>
      <c r="H1217" s="19">
        <f>UPPER(Table3[[#This Row],[Agen id]]&amp;"-"&amp;VLOOKUP(Table3[[#This Row],[Agen id]],A:B,2,0)&amp;"("&amp;Table3[[#This Row],[Short]]&amp;")")</f>
        <v/>
      </c>
      <c r="J1217" s="7">
        <f>VLOOKUP(Table3[[#This Row],[Agen id]],Agen!A:C,3,0)</f>
        <v/>
      </c>
      <c r="K1217" s="37">
        <f>TRIM(LEFT(Table3[[#This Row],[Group]],2))</f>
        <v/>
      </c>
      <c r="L1217" s="3" t="inlineStr">
        <is>
          <t>NON SALES</t>
        </is>
      </c>
    </row>
    <row r="1218">
      <c r="A1218" s="5" t="inlineStr">
        <is>
          <t>OP07863</t>
        </is>
      </c>
      <c r="B1218" s="6" t="inlineStr">
        <is>
          <t>Nur Fadilah</t>
        </is>
      </c>
      <c r="C1218" s="7" t="inlineStr">
        <is>
          <t>A - Agen</t>
        </is>
      </c>
      <c r="D1218" s="1" t="inlineStr">
        <is>
          <t>OP00996</t>
        </is>
      </c>
      <c r="E1218" s="8" t="n">
        <v>45127.80208333334</v>
      </c>
      <c r="F1218" s="7" t="inlineStr">
        <is>
          <t>DOWNLINE</t>
        </is>
      </c>
      <c r="G1218" s="18" t="inlineStr">
        <is>
          <t>OP00996</t>
        </is>
      </c>
      <c r="H1218" s="19">
        <f>UPPER(Table3[[#This Row],[Agen id]]&amp;"-"&amp;VLOOKUP(Table3[[#This Row],[Agen id]],A:B,2,0)&amp;"("&amp;Table3[[#This Row],[Short]]&amp;")")</f>
        <v/>
      </c>
      <c r="J1218" s="7">
        <f>VLOOKUP(Table3[[#This Row],[Agen id]],Agen!A:C,3,0)</f>
        <v/>
      </c>
      <c r="K1218" s="37">
        <f>TRIM(LEFT(Table3[[#This Row],[Group]],2))</f>
        <v/>
      </c>
      <c r="L1218" s="3" t="inlineStr">
        <is>
          <t>NON SALES</t>
        </is>
      </c>
    </row>
    <row r="1219">
      <c r="A1219" s="5" t="inlineStr">
        <is>
          <t>OP07874</t>
        </is>
      </c>
      <c r="B1219" s="6" t="inlineStr">
        <is>
          <t>Rantan cell</t>
        </is>
      </c>
      <c r="C1219" s="7" t="inlineStr">
        <is>
          <t>AB1 - Agen Kab Bogor</t>
        </is>
      </c>
      <c r="D1219" s="1" t="inlineStr">
        <is>
          <t>OP07367</t>
        </is>
      </c>
      <c r="E1219" s="8" t="n">
        <v>45128.49444444444</v>
      </c>
      <c r="F1219" s="7" t="inlineStr">
        <is>
          <t>AGEN</t>
        </is>
      </c>
      <c r="G1219" s="18" t="inlineStr">
        <is>
          <t>OP07874</t>
        </is>
      </c>
      <c r="H1219" s="19">
        <f>UPPER(Table3[[#This Row],[Agen id]]&amp;"-"&amp;VLOOKUP(Table3[[#This Row],[Agen id]],A:B,2,0)&amp;"("&amp;Table3[[#This Row],[Short]]&amp;")")</f>
        <v/>
      </c>
      <c r="J1219" s="7">
        <f>VLOOKUP(Table3[[#This Row],[Agen id]],Agen!A:C,3,0)</f>
        <v/>
      </c>
      <c r="K1219" s="37">
        <f>TRIM(LEFT(Table3[[#This Row],[Group]],2))</f>
        <v/>
      </c>
      <c r="L1219" s="3" t="inlineStr">
        <is>
          <t>ARIS</t>
        </is>
      </c>
    </row>
    <row r="1220">
      <c r="A1220" s="5" t="inlineStr">
        <is>
          <t>OP07877</t>
        </is>
      </c>
      <c r="B1220" s="6" t="inlineStr">
        <is>
          <t>Arwan cell</t>
        </is>
      </c>
      <c r="C1220" s="7" t="inlineStr">
        <is>
          <t>AB1 - Agen Kab Bogor</t>
        </is>
      </c>
      <c r="D1220" s="1" t="inlineStr">
        <is>
          <t>OP07584</t>
        </is>
      </c>
      <c r="E1220" s="8" t="n">
        <v>45128.58611111111</v>
      </c>
      <c r="F1220" s="7" t="inlineStr">
        <is>
          <t>DOWNLINE</t>
        </is>
      </c>
      <c r="G1220" s="18" t="inlineStr">
        <is>
          <t>OP07584</t>
        </is>
      </c>
      <c r="H1220" s="19">
        <f>UPPER(Table3[[#This Row],[Agen id]]&amp;"-"&amp;VLOOKUP(Table3[[#This Row],[Agen id]],A:B,2,0)&amp;"("&amp;Table3[[#This Row],[Short]]&amp;")")</f>
        <v/>
      </c>
      <c r="J1220" s="7">
        <f>VLOOKUP(Table3[[#This Row],[Agen id]],Agen!A:C,3,0)</f>
        <v/>
      </c>
      <c r="K1220" s="37">
        <f>TRIM(LEFT(Table3[[#This Row],[Group]],2))</f>
        <v/>
      </c>
      <c r="L1220" s="3" t="inlineStr">
        <is>
          <t>NON SALES</t>
        </is>
      </c>
    </row>
    <row r="1221">
      <c r="A1221" s="5" t="inlineStr">
        <is>
          <t>OP07892</t>
        </is>
      </c>
      <c r="B1221" s="6" t="inlineStr">
        <is>
          <t>26cellular</t>
        </is>
      </c>
      <c r="C1221" s="7" t="inlineStr">
        <is>
          <t>AB1 - Agen Kab Bogor</t>
        </is>
      </c>
      <c r="D1221" s="1" t="inlineStr">
        <is>
          <t>OP07367</t>
        </is>
      </c>
      <c r="E1221" s="8" t="n">
        <v>45129.41666666666</v>
      </c>
      <c r="F1221" s="7" t="inlineStr">
        <is>
          <t>AGEN</t>
        </is>
      </c>
      <c r="G1221" s="18" t="inlineStr">
        <is>
          <t>OP07892</t>
        </is>
      </c>
      <c r="H1221" s="19">
        <f>UPPER(Table3[[#This Row],[Agen id]]&amp;"-"&amp;VLOOKUP(Table3[[#This Row],[Agen id]],A:B,2,0)&amp;"("&amp;Table3[[#This Row],[Short]]&amp;")")</f>
        <v/>
      </c>
      <c r="J1221" s="7">
        <f>VLOOKUP(Table3[[#This Row],[Agen id]],Agen!A:C,3,0)</f>
        <v/>
      </c>
      <c r="K1221" s="37">
        <f>TRIM(LEFT(Table3[[#This Row],[Group]],2))</f>
        <v/>
      </c>
      <c r="L1221" s="3" t="inlineStr">
        <is>
          <t>ARIS</t>
        </is>
      </c>
    </row>
    <row r="1222">
      <c r="A1222" s="5" t="inlineStr">
        <is>
          <t>OP07915</t>
        </is>
      </c>
      <c r="B1222" s="6" t="inlineStr">
        <is>
          <t>SERVERJARINGANPULSA</t>
        </is>
      </c>
      <c r="C1222" s="7" t="inlineStr">
        <is>
          <t>A - Agen</t>
        </is>
      </c>
      <c r="D1222" s="1" t="inlineStr">
        <is>
          <t>OP00002</t>
        </is>
      </c>
      <c r="E1222" s="8" t="n">
        <v>45130.37638888889</v>
      </c>
      <c r="F1222" s="7" t="inlineStr">
        <is>
          <t>AGEN</t>
        </is>
      </c>
      <c r="G1222" s="18" t="inlineStr">
        <is>
          <t>OP07915</t>
        </is>
      </c>
      <c r="H1222" s="19">
        <f>UPPER(Table3[[#This Row],[Agen id]]&amp;"-"&amp;VLOOKUP(Table3[[#This Row],[Agen id]],A:B,2,0)&amp;"("&amp;Table3[[#This Row],[Short]]&amp;")")</f>
        <v/>
      </c>
      <c r="J1222" s="7">
        <f>VLOOKUP(Table3[[#This Row],[Agen id]],Agen!A:C,3,0)</f>
        <v/>
      </c>
      <c r="K1222" s="37">
        <f>TRIM(LEFT(Table3[[#This Row],[Group]],2))</f>
        <v/>
      </c>
      <c r="L1222" s="3" t="inlineStr">
        <is>
          <t>NON SALES</t>
        </is>
      </c>
    </row>
    <row r="1223">
      <c r="A1223" s="5" t="inlineStr">
        <is>
          <t>OP07920</t>
        </is>
      </c>
      <c r="B1223" s="6" t="inlineStr">
        <is>
          <t>Edoka putra</t>
        </is>
      </c>
      <c r="C1223" s="7" t="inlineStr">
        <is>
          <t>A - Agen</t>
        </is>
      </c>
      <c r="D1223" s="1" t="inlineStr">
        <is>
          <t>OP00002</t>
        </is>
      </c>
      <c r="E1223" s="8" t="n">
        <v>45130.58680555555</v>
      </c>
      <c r="F1223" s="7" t="inlineStr">
        <is>
          <t>AGEN</t>
        </is>
      </c>
      <c r="G1223" s="18" t="inlineStr">
        <is>
          <t>OP07920</t>
        </is>
      </c>
      <c r="H1223" s="19">
        <f>UPPER(Table3[[#This Row],[Agen id]]&amp;"-"&amp;VLOOKUP(Table3[[#This Row],[Agen id]],A:B,2,0)&amp;"("&amp;Table3[[#This Row],[Short]]&amp;")")</f>
        <v/>
      </c>
      <c r="J1223" s="7">
        <f>VLOOKUP(Table3[[#This Row],[Agen id]],Agen!A:C,3,0)</f>
        <v/>
      </c>
      <c r="K1223" s="37">
        <f>TRIM(LEFT(Table3[[#This Row],[Group]],2))</f>
        <v/>
      </c>
      <c r="L1223" s="3" t="inlineStr">
        <is>
          <t>NON SALES</t>
        </is>
      </c>
    </row>
    <row r="1224">
      <c r="A1224" s="5" t="inlineStr">
        <is>
          <t>OP07926</t>
        </is>
      </c>
      <c r="B1224" s="6" t="inlineStr">
        <is>
          <t>otoy tronic</t>
        </is>
      </c>
      <c r="C1224" s="7" t="inlineStr">
        <is>
          <t>A - Agen</t>
        </is>
      </c>
      <c r="D1224" s="1" t="inlineStr">
        <is>
          <t>OP07571</t>
        </is>
      </c>
      <c r="E1224" s="8" t="n">
        <v>45130.87430555555</v>
      </c>
      <c r="F1224" s="7" t="inlineStr">
        <is>
          <t>DOWNLINE</t>
        </is>
      </c>
      <c r="G1224" s="18" t="inlineStr">
        <is>
          <t>OP07571</t>
        </is>
      </c>
      <c r="H1224" s="19">
        <f>UPPER(Table3[[#This Row],[Agen id]]&amp;"-"&amp;VLOOKUP(Table3[[#This Row],[Agen id]],A:B,2,0)&amp;"("&amp;Table3[[#This Row],[Short]]&amp;")")</f>
        <v/>
      </c>
      <c r="J1224" s="7">
        <f>VLOOKUP(Table3[[#This Row],[Agen id]],Agen!A:C,3,0)</f>
        <v/>
      </c>
      <c r="K1224" s="37">
        <f>TRIM(LEFT(Table3[[#This Row],[Group]],2))</f>
        <v/>
      </c>
      <c r="L1224" s="3" t="inlineStr">
        <is>
          <t>NON SALES</t>
        </is>
      </c>
    </row>
    <row r="1225">
      <c r="A1225" s="5" t="inlineStr">
        <is>
          <t>OP07928</t>
        </is>
      </c>
      <c r="B1225" s="6" t="inlineStr">
        <is>
          <t>Erna sitompul</t>
        </is>
      </c>
      <c r="C1225" s="7" t="inlineStr">
        <is>
          <t>AV - Agen Verified</t>
        </is>
      </c>
      <c r="D1225" s="1" t="inlineStr">
        <is>
          <t>OP00002</t>
        </is>
      </c>
      <c r="E1225" s="8" t="n">
        <v>45131.27708333333</v>
      </c>
      <c r="F1225" s="7" t="inlineStr">
        <is>
          <t>AGEN</t>
        </is>
      </c>
      <c r="G1225" s="18" t="inlineStr">
        <is>
          <t>OP07928</t>
        </is>
      </c>
      <c r="H1225" s="19">
        <f>UPPER(Table3[[#This Row],[Agen id]]&amp;"-"&amp;VLOOKUP(Table3[[#This Row],[Agen id]],A:B,2,0)&amp;"("&amp;Table3[[#This Row],[Short]]&amp;")")</f>
        <v/>
      </c>
      <c r="J1225" s="7">
        <f>VLOOKUP(Table3[[#This Row],[Agen id]],Agen!A:C,3,0)</f>
        <v/>
      </c>
      <c r="K1225" s="37">
        <f>TRIM(LEFT(Table3[[#This Row],[Group]],2))</f>
        <v/>
      </c>
      <c r="L1225" s="3" t="inlineStr">
        <is>
          <t>NON SALES</t>
        </is>
      </c>
    </row>
    <row r="1226">
      <c r="A1226" s="5" t="inlineStr">
        <is>
          <t>OP07938</t>
        </is>
      </c>
      <c r="B1226" s="6" t="inlineStr">
        <is>
          <t>Supriyadi</t>
        </is>
      </c>
      <c r="C1226" s="7" t="inlineStr">
        <is>
          <t>A - Agen</t>
        </is>
      </c>
      <c r="D1226" s="1" t="inlineStr">
        <is>
          <t>OP00002</t>
        </is>
      </c>
      <c r="E1226" s="8" t="n">
        <v>45131.53541666667</v>
      </c>
      <c r="F1226" s="7" t="inlineStr">
        <is>
          <t>AGEN</t>
        </is>
      </c>
      <c r="G1226" s="18" t="inlineStr">
        <is>
          <t>OP07938</t>
        </is>
      </c>
      <c r="H1226" s="19">
        <f>UPPER(Table3[[#This Row],[Agen id]]&amp;"-"&amp;VLOOKUP(Table3[[#This Row],[Agen id]],A:B,2,0)&amp;"("&amp;Table3[[#This Row],[Short]]&amp;")")</f>
        <v/>
      </c>
      <c r="J1226" s="7">
        <f>VLOOKUP(Table3[[#This Row],[Agen id]],Agen!A:C,3,0)</f>
        <v/>
      </c>
      <c r="K1226" s="37">
        <f>TRIM(LEFT(Table3[[#This Row],[Group]],2))</f>
        <v/>
      </c>
      <c r="L1226" s="3" t="inlineStr">
        <is>
          <t>NON SALES</t>
        </is>
      </c>
    </row>
    <row r="1227">
      <c r="A1227" s="5" t="inlineStr">
        <is>
          <t>OP07939</t>
        </is>
      </c>
      <c r="B1227" s="6" t="inlineStr">
        <is>
          <t>Teguh prabowo</t>
        </is>
      </c>
      <c r="C1227" s="7" t="inlineStr">
        <is>
          <t>A - Agen</t>
        </is>
      </c>
      <c r="D1227" s="1" t="inlineStr">
        <is>
          <t>OP00002</t>
        </is>
      </c>
      <c r="E1227" s="8" t="n">
        <v>45131.54930555556</v>
      </c>
      <c r="F1227" s="7" t="inlineStr">
        <is>
          <t>AGEN</t>
        </is>
      </c>
      <c r="G1227" s="18" t="inlineStr">
        <is>
          <t>OP07939</t>
        </is>
      </c>
      <c r="H1227" s="19">
        <f>UPPER(Table3[[#This Row],[Agen id]]&amp;"-"&amp;VLOOKUP(Table3[[#This Row],[Agen id]],A:B,2,0)&amp;"("&amp;Table3[[#This Row],[Short]]&amp;")")</f>
        <v/>
      </c>
      <c r="J1227" s="7">
        <f>VLOOKUP(Table3[[#This Row],[Agen id]],Agen!A:C,3,0)</f>
        <v/>
      </c>
      <c r="K1227" s="37">
        <f>TRIM(LEFT(Table3[[#This Row],[Group]],2))</f>
        <v/>
      </c>
      <c r="L1227" s="3" t="inlineStr">
        <is>
          <t>NON SALES</t>
        </is>
      </c>
    </row>
    <row r="1228">
      <c r="A1228" s="5" t="inlineStr">
        <is>
          <t>OP07941</t>
        </is>
      </c>
      <c r="B1228" s="6" t="inlineStr">
        <is>
          <t>DI NDA CELL</t>
        </is>
      </c>
      <c r="C1228" s="7" t="inlineStr">
        <is>
          <t>AV - Agen Verified</t>
        </is>
      </c>
      <c r="D1228" s="1" t="inlineStr">
        <is>
          <t>OP00002</t>
        </is>
      </c>
      <c r="E1228" s="8" t="n">
        <v>45131.57013888889</v>
      </c>
      <c r="F1228" s="7" t="inlineStr">
        <is>
          <t>AGEN</t>
        </is>
      </c>
      <c r="G1228" s="18" t="inlineStr">
        <is>
          <t>OP07941</t>
        </is>
      </c>
      <c r="H1228" s="19">
        <f>UPPER(Table3[[#This Row],[Agen id]]&amp;"-"&amp;VLOOKUP(Table3[[#This Row],[Agen id]],A:B,2,0)&amp;"("&amp;Table3[[#This Row],[Short]]&amp;")")</f>
        <v/>
      </c>
      <c r="J1228" s="7">
        <f>VLOOKUP(Table3[[#This Row],[Agen id]],Agen!A:C,3,0)</f>
        <v/>
      </c>
      <c r="K1228" s="37">
        <f>TRIM(LEFT(Table3[[#This Row],[Group]],2))</f>
        <v/>
      </c>
      <c r="L1228" s="3" t="inlineStr">
        <is>
          <t>ARIS</t>
        </is>
      </c>
    </row>
    <row r="1229">
      <c r="A1229" s="5" t="inlineStr">
        <is>
          <t>OP07943</t>
        </is>
      </c>
      <c r="B1229" s="6" t="inlineStr">
        <is>
          <t>Razaak Cell</t>
        </is>
      </c>
      <c r="C1229" s="7" t="inlineStr">
        <is>
          <t>A - Agen</t>
        </is>
      </c>
      <c r="D1229" s="1" t="inlineStr">
        <is>
          <t>OP00002</t>
        </is>
      </c>
      <c r="E1229" s="8" t="n">
        <v>45131.68125</v>
      </c>
      <c r="F1229" s="7" t="inlineStr">
        <is>
          <t>AGEN</t>
        </is>
      </c>
      <c r="G1229" s="18" t="inlineStr">
        <is>
          <t>OP07943</t>
        </is>
      </c>
      <c r="H1229" s="19">
        <f>UPPER(Table3[[#This Row],[Agen id]]&amp;"-"&amp;VLOOKUP(Table3[[#This Row],[Agen id]],A:B,2,0)&amp;"("&amp;Table3[[#This Row],[Short]]&amp;")")</f>
        <v/>
      </c>
      <c r="J1229" s="7">
        <f>VLOOKUP(Table3[[#This Row],[Agen id]],Agen!A:C,3,0)</f>
        <v/>
      </c>
      <c r="K1229" s="37">
        <f>TRIM(LEFT(Table3[[#This Row],[Group]],2))</f>
        <v/>
      </c>
      <c r="L1229" s="3" t="inlineStr">
        <is>
          <t>NON SALES</t>
        </is>
      </c>
    </row>
    <row r="1230">
      <c r="A1230" s="5" t="inlineStr">
        <is>
          <t>OP07947</t>
        </is>
      </c>
      <c r="B1230" s="6" t="inlineStr">
        <is>
          <t>Irsyad</t>
        </is>
      </c>
      <c r="C1230" s="7" t="inlineStr">
        <is>
          <t>A - Agen</t>
        </is>
      </c>
      <c r="D1230" s="1" t="inlineStr">
        <is>
          <t>OP00238</t>
        </is>
      </c>
      <c r="E1230" s="8" t="n">
        <v>45131.99305555555</v>
      </c>
      <c r="F1230" s="7" t="inlineStr">
        <is>
          <t>DOWNLINE</t>
        </is>
      </c>
      <c r="G1230" s="18" t="inlineStr">
        <is>
          <t>OP00238</t>
        </is>
      </c>
      <c r="H1230" s="19">
        <f>UPPER(Table3[[#This Row],[Agen id]]&amp;"-"&amp;VLOOKUP(Table3[[#This Row],[Agen id]],A:B,2,0)&amp;"("&amp;Table3[[#This Row],[Short]]&amp;")")</f>
        <v/>
      </c>
      <c r="J1230" s="7">
        <f>VLOOKUP(Table3[[#This Row],[Agen id]],Agen!A:C,3,0)</f>
        <v/>
      </c>
      <c r="K1230" s="37">
        <f>TRIM(LEFT(Table3[[#This Row],[Group]],2))</f>
        <v/>
      </c>
      <c r="L1230" s="3" t="inlineStr">
        <is>
          <t>NON SALES</t>
        </is>
      </c>
    </row>
    <row r="1231">
      <c r="A1231" s="5" t="inlineStr">
        <is>
          <t>OP07955</t>
        </is>
      </c>
      <c r="B1231" s="6" t="inlineStr">
        <is>
          <t>Viwen cell</t>
        </is>
      </c>
      <c r="C1231" s="7" t="inlineStr">
        <is>
          <t>AB1 - Agen Kab Bogor</t>
        </is>
      </c>
      <c r="D1231" s="1" t="inlineStr">
        <is>
          <t>OP07367</t>
        </is>
      </c>
      <c r="E1231" s="8" t="n">
        <v>45132.46111111111</v>
      </c>
      <c r="F1231" s="7" t="inlineStr">
        <is>
          <t>AGEN</t>
        </is>
      </c>
      <c r="G1231" s="18" t="inlineStr">
        <is>
          <t>OP07955</t>
        </is>
      </c>
      <c r="H1231" s="19">
        <f>UPPER(Table3[[#This Row],[Agen id]]&amp;"-"&amp;VLOOKUP(Table3[[#This Row],[Agen id]],A:B,2,0)&amp;"("&amp;Table3[[#This Row],[Short]]&amp;")")</f>
        <v/>
      </c>
      <c r="J1231" s="7">
        <f>VLOOKUP(Table3[[#This Row],[Agen id]],Agen!A:C,3,0)</f>
        <v/>
      </c>
      <c r="K1231" s="37">
        <f>TRIM(LEFT(Table3[[#This Row],[Group]],2))</f>
        <v/>
      </c>
      <c r="L1231" s="3" t="inlineStr">
        <is>
          <t>ARIS</t>
        </is>
      </c>
    </row>
    <row r="1232">
      <c r="A1232" s="5" t="inlineStr">
        <is>
          <t>OP07962</t>
        </is>
      </c>
      <c r="B1232" s="6" t="inlineStr">
        <is>
          <t>Siti warohmah</t>
        </is>
      </c>
      <c r="C1232" s="7" t="inlineStr">
        <is>
          <t>A - Agen</t>
        </is>
      </c>
      <c r="D1232" s="1" t="inlineStr">
        <is>
          <t>OP00996</t>
        </is>
      </c>
      <c r="E1232" s="8" t="n">
        <v>45132.81597222222</v>
      </c>
      <c r="F1232" s="7" t="inlineStr">
        <is>
          <t>DOWNLINE</t>
        </is>
      </c>
      <c r="G1232" s="18" t="inlineStr">
        <is>
          <t>OP00996</t>
        </is>
      </c>
      <c r="H1232" s="19">
        <f>UPPER(Table3[[#This Row],[Agen id]]&amp;"-"&amp;VLOOKUP(Table3[[#This Row],[Agen id]],A:B,2,0)&amp;"("&amp;Table3[[#This Row],[Short]]&amp;")")</f>
        <v/>
      </c>
      <c r="J1232" s="7">
        <f>VLOOKUP(Table3[[#This Row],[Agen id]],Agen!A:C,3,0)</f>
        <v/>
      </c>
      <c r="K1232" s="37">
        <f>TRIM(LEFT(Table3[[#This Row],[Group]],2))</f>
        <v/>
      </c>
      <c r="L1232" s="3" t="inlineStr">
        <is>
          <t>NON SALES</t>
        </is>
      </c>
    </row>
    <row r="1233">
      <c r="A1233" s="5" t="inlineStr">
        <is>
          <t>OP07968</t>
        </is>
      </c>
      <c r="B1233" s="6" t="inlineStr">
        <is>
          <t>Habib husni</t>
        </is>
      </c>
      <c r="C1233" s="7" t="inlineStr">
        <is>
          <t>A - Agen</t>
        </is>
      </c>
      <c r="D1233" s="1" t="inlineStr">
        <is>
          <t>OP00002</t>
        </is>
      </c>
      <c r="E1233" s="8" t="n">
        <v>45133.3375</v>
      </c>
      <c r="F1233" s="7" t="inlineStr">
        <is>
          <t>AGEN</t>
        </is>
      </c>
      <c r="G1233" s="18" t="inlineStr">
        <is>
          <t>OP07968</t>
        </is>
      </c>
      <c r="H1233" s="19">
        <f>UPPER(Table3[[#This Row],[Agen id]]&amp;"-"&amp;VLOOKUP(Table3[[#This Row],[Agen id]],A:B,2,0)&amp;"("&amp;Table3[[#This Row],[Short]]&amp;")")</f>
        <v/>
      </c>
      <c r="J1233" s="7">
        <f>VLOOKUP(Table3[[#This Row],[Agen id]],Agen!A:C,3,0)</f>
        <v/>
      </c>
      <c r="K1233" s="37">
        <f>TRIM(LEFT(Table3[[#This Row],[Group]],2))</f>
        <v/>
      </c>
      <c r="L1233" s="3" t="inlineStr">
        <is>
          <t>NON SALES</t>
        </is>
      </c>
    </row>
    <row r="1234">
      <c r="A1234" s="5" t="inlineStr">
        <is>
          <t>OP07969</t>
        </is>
      </c>
      <c r="B1234" s="6" t="inlineStr">
        <is>
          <t>As cell</t>
        </is>
      </c>
      <c r="C1234" s="7" t="inlineStr">
        <is>
          <t>A - Agen</t>
        </is>
      </c>
      <c r="D1234" s="1" t="inlineStr">
        <is>
          <t>OP00003</t>
        </is>
      </c>
      <c r="E1234" s="8" t="n">
        <v>45133.36458333334</v>
      </c>
      <c r="F1234" s="7" t="inlineStr">
        <is>
          <t>AGEN</t>
        </is>
      </c>
      <c r="G1234" s="18" t="inlineStr">
        <is>
          <t>OP07969</t>
        </is>
      </c>
      <c r="H1234" s="19">
        <f>UPPER(Table3[[#This Row],[Agen id]]&amp;"-"&amp;VLOOKUP(Table3[[#This Row],[Agen id]],A:B,2,0)&amp;"("&amp;Table3[[#This Row],[Short]]&amp;")")</f>
        <v/>
      </c>
      <c r="J1234" s="7">
        <f>VLOOKUP(Table3[[#This Row],[Agen id]],Agen!A:C,3,0)</f>
        <v/>
      </c>
      <c r="K1234" s="37">
        <f>TRIM(LEFT(Table3[[#This Row],[Group]],2))</f>
        <v/>
      </c>
      <c r="L1234" s="3" t="inlineStr">
        <is>
          <t>NON SALES</t>
        </is>
      </c>
    </row>
    <row r="1235">
      <c r="A1235" s="5" t="inlineStr">
        <is>
          <t>OP07970</t>
        </is>
      </c>
      <c r="B1235" s="6" t="inlineStr">
        <is>
          <t>Toko Cha cha</t>
        </is>
      </c>
      <c r="C1235" s="7" t="inlineStr">
        <is>
          <t>AB1 - Agen Kab Bogor</t>
        </is>
      </c>
      <c r="D1235" s="1" t="inlineStr">
        <is>
          <t>OP07367</t>
        </is>
      </c>
      <c r="E1235" s="8" t="n">
        <v>45133.37916666667</v>
      </c>
      <c r="F1235" s="7" t="inlineStr">
        <is>
          <t>AGEN</t>
        </is>
      </c>
      <c r="G1235" s="18" t="inlineStr">
        <is>
          <t>OP07970</t>
        </is>
      </c>
      <c r="H1235" s="19">
        <f>UPPER(Table3[[#This Row],[Agen id]]&amp;"-"&amp;VLOOKUP(Table3[[#This Row],[Agen id]],A:B,2,0)&amp;"("&amp;Table3[[#This Row],[Short]]&amp;")")</f>
        <v/>
      </c>
      <c r="J1235" s="7">
        <f>VLOOKUP(Table3[[#This Row],[Agen id]],Agen!A:C,3,0)</f>
        <v/>
      </c>
      <c r="K1235" s="37">
        <f>TRIM(LEFT(Table3[[#This Row],[Group]],2))</f>
        <v/>
      </c>
      <c r="L1235" s="3" t="inlineStr">
        <is>
          <t>ARIS</t>
        </is>
      </c>
    </row>
    <row r="1236">
      <c r="A1236" s="5" t="inlineStr">
        <is>
          <t>OP07971</t>
        </is>
      </c>
      <c r="B1236" s="6" t="inlineStr">
        <is>
          <t>Amirama</t>
        </is>
      </c>
      <c r="C1236" s="7" t="inlineStr">
        <is>
          <t>AB1 - Agen Kab Bogor</t>
        </is>
      </c>
      <c r="D1236" s="1" t="inlineStr">
        <is>
          <t>OP07584</t>
        </is>
      </c>
      <c r="E1236" s="8" t="n">
        <v>45133.41388888889</v>
      </c>
      <c r="F1236" s="7" t="inlineStr">
        <is>
          <t>DOWNLINE</t>
        </is>
      </c>
      <c r="G1236" s="18" t="inlineStr">
        <is>
          <t>OP07584</t>
        </is>
      </c>
      <c r="H1236" s="19">
        <f>UPPER(Table3[[#This Row],[Agen id]]&amp;"-"&amp;VLOOKUP(Table3[[#This Row],[Agen id]],A:B,2,0)&amp;"("&amp;Table3[[#This Row],[Short]]&amp;")")</f>
        <v/>
      </c>
      <c r="J1236" s="7">
        <f>VLOOKUP(Table3[[#This Row],[Agen id]],Agen!A:C,3,0)</f>
        <v/>
      </c>
      <c r="K1236" s="37">
        <f>TRIM(LEFT(Table3[[#This Row],[Group]],2))</f>
        <v/>
      </c>
      <c r="L1236" s="3" t="inlineStr">
        <is>
          <t>NON SALES</t>
        </is>
      </c>
    </row>
    <row r="1237">
      <c r="A1237" s="5" t="inlineStr">
        <is>
          <t>OP07982</t>
        </is>
      </c>
      <c r="B1237" s="6" t="inlineStr">
        <is>
          <t>Centrallcell</t>
        </is>
      </c>
      <c r="C1237" s="7" t="inlineStr">
        <is>
          <t>A - Agen</t>
        </is>
      </c>
      <c r="D1237" s="1" t="inlineStr">
        <is>
          <t>OP00002</t>
        </is>
      </c>
      <c r="E1237" s="8" t="n">
        <v>45133.80902777778</v>
      </c>
      <c r="F1237" s="7" t="inlineStr">
        <is>
          <t>AGEN</t>
        </is>
      </c>
      <c r="G1237" s="18" t="inlineStr">
        <is>
          <t>OP07982</t>
        </is>
      </c>
      <c r="H1237" s="19">
        <f>UPPER(Table3[[#This Row],[Agen id]]&amp;"-"&amp;VLOOKUP(Table3[[#This Row],[Agen id]],A:B,2,0)&amp;"("&amp;Table3[[#This Row],[Short]]&amp;")")</f>
        <v/>
      </c>
      <c r="J1237" s="7">
        <f>VLOOKUP(Table3[[#This Row],[Agen id]],Agen!A:C,3,0)</f>
        <v/>
      </c>
      <c r="K1237" s="37">
        <f>TRIM(LEFT(Table3[[#This Row],[Group]],2))</f>
        <v/>
      </c>
      <c r="L1237" s="3" t="inlineStr">
        <is>
          <t>NON SALES</t>
        </is>
      </c>
    </row>
    <row r="1238">
      <c r="A1238" s="5" t="inlineStr">
        <is>
          <t>OP07983</t>
        </is>
      </c>
      <c r="B1238" s="6" t="inlineStr">
        <is>
          <t>Maldi</t>
        </is>
      </c>
      <c r="C1238" s="7" t="inlineStr">
        <is>
          <t>AV - Agen Verified</t>
        </is>
      </c>
      <c r="D1238" s="1" t="inlineStr">
        <is>
          <t>OP00996</t>
        </is>
      </c>
      <c r="E1238" s="8" t="n">
        <v>45133.91041666667</v>
      </c>
      <c r="F1238" s="7" t="inlineStr">
        <is>
          <t>DOWNLINE</t>
        </is>
      </c>
      <c r="G1238" s="18" t="inlineStr">
        <is>
          <t>OP00996</t>
        </is>
      </c>
      <c r="H1238" s="19">
        <f>UPPER(Table3[[#This Row],[Agen id]]&amp;"-"&amp;VLOOKUP(Table3[[#This Row],[Agen id]],A:B,2,0)&amp;"("&amp;Table3[[#This Row],[Short]]&amp;")")</f>
        <v/>
      </c>
      <c r="J1238" s="7">
        <f>VLOOKUP(Table3[[#This Row],[Agen id]],Agen!A:C,3,0)</f>
        <v/>
      </c>
      <c r="K1238" s="37">
        <f>TRIM(LEFT(Table3[[#This Row],[Group]],2))</f>
        <v/>
      </c>
      <c r="L1238" s="3" t="inlineStr">
        <is>
          <t>NON SALES</t>
        </is>
      </c>
    </row>
    <row r="1239">
      <c r="A1239" s="5" t="inlineStr">
        <is>
          <t>OP07991</t>
        </is>
      </c>
      <c r="B1239" s="6" t="inlineStr">
        <is>
          <t>Novaria bagariang</t>
        </is>
      </c>
      <c r="C1239" s="7" t="inlineStr">
        <is>
          <t>A - Agen</t>
        </is>
      </c>
      <c r="D1239" s="1" t="inlineStr">
        <is>
          <t>OP01840</t>
        </is>
      </c>
      <c r="E1239" s="8" t="n">
        <v>45134.47152777778</v>
      </c>
      <c r="F1239" s="7" t="inlineStr">
        <is>
          <t>DOWNLINE</t>
        </is>
      </c>
      <c r="G1239" s="18" t="inlineStr">
        <is>
          <t>OP01840</t>
        </is>
      </c>
      <c r="H1239" s="19">
        <f>UPPER(Table3[[#This Row],[Agen id]]&amp;"-"&amp;VLOOKUP(Table3[[#This Row],[Agen id]],A:B,2,0)&amp;"("&amp;Table3[[#This Row],[Short]]&amp;")")</f>
        <v/>
      </c>
      <c r="J1239" s="7">
        <f>VLOOKUP(Table3[[#This Row],[Agen id]],Agen!A:C,3,0)</f>
        <v/>
      </c>
      <c r="K1239" s="37">
        <f>TRIM(LEFT(Table3[[#This Row],[Group]],2))</f>
        <v/>
      </c>
      <c r="L1239" s="3" t="inlineStr">
        <is>
          <t>NON SALES</t>
        </is>
      </c>
    </row>
    <row r="1240">
      <c r="A1240" s="5" t="inlineStr">
        <is>
          <t>OP07993</t>
        </is>
      </c>
      <c r="B1240" s="6" t="inlineStr">
        <is>
          <t>Hadi</t>
        </is>
      </c>
      <c r="C1240" s="7" t="inlineStr">
        <is>
          <t>AV - Agen Verified</t>
        </is>
      </c>
      <c r="D1240" s="1" t="inlineStr">
        <is>
          <t>OP00003</t>
        </is>
      </c>
      <c r="E1240" s="8" t="n">
        <v>45134.55347222222</v>
      </c>
      <c r="F1240" s="7" t="inlineStr">
        <is>
          <t>AGEN</t>
        </is>
      </c>
      <c r="G1240" s="18" t="inlineStr">
        <is>
          <t>OP07993</t>
        </is>
      </c>
      <c r="H1240" s="19">
        <f>UPPER(Table3[[#This Row],[Agen id]]&amp;"-"&amp;VLOOKUP(Table3[[#This Row],[Agen id]],A:B,2,0)&amp;"("&amp;Table3[[#This Row],[Short]]&amp;")")</f>
        <v/>
      </c>
      <c r="J1240" s="7">
        <f>VLOOKUP(Table3[[#This Row],[Agen id]],Agen!A:C,3,0)</f>
        <v/>
      </c>
      <c r="K1240" s="37">
        <f>TRIM(LEFT(Table3[[#This Row],[Group]],2))</f>
        <v/>
      </c>
      <c r="L1240" s="3" t="inlineStr">
        <is>
          <t>NON SALES</t>
        </is>
      </c>
    </row>
    <row r="1241">
      <c r="A1241" s="5" t="inlineStr">
        <is>
          <t>OP07996</t>
        </is>
      </c>
      <c r="B1241" s="6" t="inlineStr">
        <is>
          <t>Dilla cell</t>
        </is>
      </c>
      <c r="C1241" s="7" t="inlineStr">
        <is>
          <t>A - Agen</t>
        </is>
      </c>
      <c r="D1241" s="1" t="inlineStr">
        <is>
          <t>OP00002</t>
        </is>
      </c>
      <c r="E1241" s="8" t="n">
        <v>45134.75555555556</v>
      </c>
      <c r="F1241" s="7" t="inlineStr">
        <is>
          <t>AGEN</t>
        </is>
      </c>
      <c r="G1241" s="18" t="inlineStr">
        <is>
          <t>OP07996</t>
        </is>
      </c>
      <c r="H1241" s="19">
        <f>UPPER(Table3[[#This Row],[Agen id]]&amp;"-"&amp;VLOOKUP(Table3[[#This Row],[Agen id]],A:B,2,0)&amp;"("&amp;Table3[[#This Row],[Short]]&amp;")")</f>
        <v/>
      </c>
      <c r="J1241" s="7">
        <f>VLOOKUP(Table3[[#This Row],[Agen id]],Agen!A:C,3,0)</f>
        <v/>
      </c>
      <c r="K1241" s="37">
        <f>TRIM(LEFT(Table3[[#This Row],[Group]],2))</f>
        <v/>
      </c>
      <c r="L1241" s="3" t="inlineStr">
        <is>
          <t>NON SALES</t>
        </is>
      </c>
    </row>
    <row r="1242">
      <c r="A1242" s="5" t="inlineStr">
        <is>
          <t>OP07997</t>
        </is>
      </c>
      <c r="B1242" s="6" t="inlineStr">
        <is>
          <t>Alek syaputra</t>
        </is>
      </c>
      <c r="C1242" s="7" t="inlineStr">
        <is>
          <t>A - Agen</t>
        </is>
      </c>
      <c r="D1242" s="1" t="inlineStr">
        <is>
          <t>OP00002</t>
        </is>
      </c>
      <c r="E1242" s="8" t="n">
        <v>45134.75694444445</v>
      </c>
      <c r="F1242" s="7" t="inlineStr">
        <is>
          <t>AGEN</t>
        </is>
      </c>
      <c r="G1242" s="18" t="inlineStr">
        <is>
          <t>OP07997</t>
        </is>
      </c>
      <c r="H1242" s="19">
        <f>UPPER(Table3[[#This Row],[Agen id]]&amp;"-"&amp;VLOOKUP(Table3[[#This Row],[Agen id]],A:B,2,0)&amp;"("&amp;Table3[[#This Row],[Short]]&amp;")")</f>
        <v/>
      </c>
      <c r="J1242" s="7">
        <f>VLOOKUP(Table3[[#This Row],[Agen id]],Agen!A:C,3,0)</f>
        <v/>
      </c>
      <c r="K1242" s="37">
        <f>TRIM(LEFT(Table3[[#This Row],[Group]],2))</f>
        <v/>
      </c>
      <c r="L1242" s="3" t="inlineStr">
        <is>
          <t>NON SALES</t>
        </is>
      </c>
    </row>
    <row r="1243">
      <c r="A1243" s="5" t="inlineStr">
        <is>
          <t>OP08000</t>
        </is>
      </c>
      <c r="B1243" s="6" t="inlineStr">
        <is>
          <t>Habil</t>
        </is>
      </c>
      <c r="C1243" s="7" t="inlineStr">
        <is>
          <t>A - Agen</t>
        </is>
      </c>
      <c r="D1243" s="1" t="inlineStr">
        <is>
          <t>OP00996</t>
        </is>
      </c>
      <c r="E1243" s="8" t="n">
        <v>45134.87152777778</v>
      </c>
      <c r="F1243" s="7" t="inlineStr">
        <is>
          <t>DOWNLINE</t>
        </is>
      </c>
      <c r="G1243" s="18" t="inlineStr">
        <is>
          <t>OP00996</t>
        </is>
      </c>
      <c r="H1243" s="19">
        <f>UPPER(Table3[[#This Row],[Agen id]]&amp;"-"&amp;VLOOKUP(Table3[[#This Row],[Agen id]],A:B,2,0)&amp;"("&amp;Table3[[#This Row],[Short]]&amp;")")</f>
        <v/>
      </c>
      <c r="J1243" s="7">
        <f>VLOOKUP(Table3[[#This Row],[Agen id]],Agen!A:C,3,0)</f>
        <v/>
      </c>
      <c r="K1243" s="37">
        <f>TRIM(LEFT(Table3[[#This Row],[Group]],2))</f>
        <v/>
      </c>
      <c r="L1243" s="3" t="inlineStr">
        <is>
          <t>NON SALES</t>
        </is>
      </c>
    </row>
    <row r="1244">
      <c r="A1244" s="5" t="inlineStr">
        <is>
          <t>OP08002</t>
        </is>
      </c>
      <c r="B1244" s="6" t="inlineStr">
        <is>
          <t>TOKO AMALIYAH</t>
        </is>
      </c>
      <c r="C1244" s="7" t="inlineStr">
        <is>
          <t>A - Agen</t>
        </is>
      </c>
      <c r="D1244" s="1" t="inlineStr">
        <is>
          <t>OP00003</t>
        </is>
      </c>
      <c r="E1244" s="8" t="n">
        <v>45135.26111111111</v>
      </c>
      <c r="F1244" s="7" t="inlineStr">
        <is>
          <t>AGEN</t>
        </is>
      </c>
      <c r="G1244" s="18" t="inlineStr">
        <is>
          <t>OP08002</t>
        </is>
      </c>
      <c r="H1244" s="19">
        <f>UPPER(Table3[[#This Row],[Agen id]]&amp;"-"&amp;VLOOKUP(Table3[[#This Row],[Agen id]],A:B,2,0)&amp;"("&amp;Table3[[#This Row],[Short]]&amp;")")</f>
        <v/>
      </c>
      <c r="J1244" s="7">
        <f>VLOOKUP(Table3[[#This Row],[Agen id]],Agen!A:C,3,0)</f>
        <v/>
      </c>
      <c r="K1244" s="37">
        <f>TRIM(LEFT(Table3[[#This Row],[Group]],2))</f>
        <v/>
      </c>
      <c r="L1244" s="3" t="inlineStr">
        <is>
          <t>NON SALES</t>
        </is>
      </c>
    </row>
    <row r="1245">
      <c r="A1245" s="5" t="inlineStr">
        <is>
          <t>OP08010</t>
        </is>
      </c>
      <c r="B1245" s="6" t="inlineStr">
        <is>
          <t>HARUN PONSEL</t>
        </is>
      </c>
      <c r="C1245" s="7" t="inlineStr">
        <is>
          <t>AV - Agen Verified</t>
        </is>
      </c>
      <c r="D1245" s="1" t="inlineStr">
        <is>
          <t>OP00002</t>
        </is>
      </c>
      <c r="E1245" s="8" t="n">
        <v>45135.80902777778</v>
      </c>
      <c r="F1245" s="7" t="inlineStr">
        <is>
          <t>AGEN</t>
        </is>
      </c>
      <c r="G1245" s="18" t="inlineStr">
        <is>
          <t>OP08010</t>
        </is>
      </c>
      <c r="H1245" s="19">
        <f>UPPER(Table3[[#This Row],[Agen id]]&amp;"-"&amp;VLOOKUP(Table3[[#This Row],[Agen id]],A:B,2,0)&amp;"("&amp;Table3[[#This Row],[Short]]&amp;")")</f>
        <v/>
      </c>
      <c r="J1245" s="7">
        <f>VLOOKUP(Table3[[#This Row],[Agen id]],Agen!A:C,3,0)</f>
        <v/>
      </c>
      <c r="K1245" s="37">
        <f>TRIM(LEFT(Table3[[#This Row],[Group]],2))</f>
        <v/>
      </c>
      <c r="L1245" s="3" t="inlineStr">
        <is>
          <t>NON SALES</t>
        </is>
      </c>
    </row>
    <row r="1246">
      <c r="A1246" s="5" t="inlineStr">
        <is>
          <t>OP08016</t>
        </is>
      </c>
      <c r="B1246" s="6" t="inlineStr">
        <is>
          <t>Lutfia putri</t>
        </is>
      </c>
      <c r="C1246" s="7" t="inlineStr">
        <is>
          <t>AB1 - Agen Kab Bogor</t>
        </is>
      </c>
      <c r="D1246" s="1" t="inlineStr">
        <is>
          <t>OP07367</t>
        </is>
      </c>
      <c r="E1246" s="8" t="n">
        <v>45136.33472222222</v>
      </c>
      <c r="F1246" s="7" t="inlineStr">
        <is>
          <t>AGEN</t>
        </is>
      </c>
      <c r="G1246" s="18" t="inlineStr">
        <is>
          <t>OP08016</t>
        </is>
      </c>
      <c r="H1246" s="19">
        <f>UPPER(Table3[[#This Row],[Agen id]]&amp;"-"&amp;VLOOKUP(Table3[[#This Row],[Agen id]],A:B,2,0)&amp;"("&amp;Table3[[#This Row],[Short]]&amp;")")</f>
        <v/>
      </c>
      <c r="J1246" s="7">
        <f>VLOOKUP(Table3[[#This Row],[Agen id]],Agen!A:C,3,0)</f>
        <v/>
      </c>
      <c r="K1246" s="37">
        <f>TRIM(LEFT(Table3[[#This Row],[Group]],2))</f>
        <v/>
      </c>
      <c r="L1246" s="3" t="inlineStr">
        <is>
          <t>ARIS</t>
        </is>
      </c>
    </row>
    <row r="1247">
      <c r="A1247" s="5" t="inlineStr">
        <is>
          <t>OP08021</t>
        </is>
      </c>
      <c r="B1247" s="6" t="inlineStr">
        <is>
          <t>AZA CELL CIBADAK</t>
        </is>
      </c>
      <c r="C1247" s="7" t="inlineStr">
        <is>
          <t>AV - Agen Verified</t>
        </is>
      </c>
      <c r="D1247" s="1" t="inlineStr">
        <is>
          <t>OP05567</t>
        </is>
      </c>
      <c r="E1247" s="8" t="n">
        <v>45136.52152777778</v>
      </c>
      <c r="F1247" s="7" t="inlineStr">
        <is>
          <t>DOWNLINE</t>
        </is>
      </c>
      <c r="G1247" s="18" t="inlineStr">
        <is>
          <t>OP05567</t>
        </is>
      </c>
      <c r="H1247" s="19">
        <f>UPPER(Table3[[#This Row],[Agen id]]&amp;"-"&amp;VLOOKUP(Table3[[#This Row],[Agen id]],A:B,2,0)&amp;"("&amp;Table3[[#This Row],[Short]]&amp;")")</f>
        <v/>
      </c>
      <c r="J1247" s="7">
        <f>VLOOKUP(Table3[[#This Row],[Agen id]],Agen!A:C,3,0)</f>
        <v/>
      </c>
      <c r="K1247" s="37">
        <f>TRIM(LEFT(Table3[[#This Row],[Group]],2))</f>
        <v/>
      </c>
      <c r="L1247" s="3" t="inlineStr">
        <is>
          <t>NON SALES</t>
        </is>
      </c>
    </row>
    <row r="1248">
      <c r="A1248" s="5" t="inlineStr">
        <is>
          <t>OP08022</t>
        </is>
      </c>
      <c r="B1248" s="6" t="inlineStr">
        <is>
          <t>HR CELL</t>
        </is>
      </c>
      <c r="C1248" s="7" t="inlineStr">
        <is>
          <t>A - Agen</t>
        </is>
      </c>
      <c r="D1248" s="1" t="inlineStr">
        <is>
          <t>OP00002</t>
        </is>
      </c>
      <c r="E1248" s="8" t="n">
        <v>45136.5875</v>
      </c>
      <c r="F1248" s="7" t="inlineStr">
        <is>
          <t>AGEN</t>
        </is>
      </c>
      <c r="G1248" s="18" t="inlineStr">
        <is>
          <t>OP08022</t>
        </is>
      </c>
      <c r="H1248" s="19">
        <f>UPPER(Table3[[#This Row],[Agen id]]&amp;"-"&amp;VLOOKUP(Table3[[#This Row],[Agen id]],A:B,2,0)&amp;"("&amp;Table3[[#This Row],[Short]]&amp;")")</f>
        <v/>
      </c>
      <c r="J1248" s="7">
        <f>VLOOKUP(Table3[[#This Row],[Agen id]],Agen!A:C,3,0)</f>
        <v/>
      </c>
      <c r="K1248" s="37">
        <f>TRIM(LEFT(Table3[[#This Row],[Group]],2))</f>
        <v/>
      </c>
      <c r="L1248" s="3" t="inlineStr">
        <is>
          <t>NON SALES</t>
        </is>
      </c>
    </row>
    <row r="1249">
      <c r="A1249" s="5" t="inlineStr">
        <is>
          <t>OP08030</t>
        </is>
      </c>
      <c r="B1249" s="6" t="inlineStr">
        <is>
          <t>perdiapriyansa</t>
        </is>
      </c>
      <c r="C1249" s="7" t="inlineStr">
        <is>
          <t>AV - Agen Verified</t>
        </is>
      </c>
      <c r="D1249" s="1" t="inlineStr">
        <is>
          <t>OP00996</t>
        </is>
      </c>
      <c r="E1249" s="8" t="n">
        <v>45136.81875</v>
      </c>
      <c r="F1249" s="7" t="inlineStr">
        <is>
          <t>DOWNLINE</t>
        </is>
      </c>
      <c r="G1249" s="18" t="inlineStr">
        <is>
          <t>OP00996</t>
        </is>
      </c>
      <c r="H1249" s="19">
        <f>UPPER(Table3[[#This Row],[Agen id]]&amp;"-"&amp;VLOOKUP(Table3[[#This Row],[Agen id]],A:B,2,0)&amp;"("&amp;Table3[[#This Row],[Short]]&amp;")")</f>
        <v/>
      </c>
      <c r="J1249" s="7">
        <f>VLOOKUP(Table3[[#This Row],[Agen id]],Agen!A:C,3,0)</f>
        <v/>
      </c>
      <c r="K1249" s="37">
        <f>TRIM(LEFT(Table3[[#This Row],[Group]],2))</f>
        <v/>
      </c>
      <c r="L1249" s="3" t="inlineStr">
        <is>
          <t>NON SALES</t>
        </is>
      </c>
    </row>
    <row r="1250">
      <c r="A1250" s="5" t="inlineStr">
        <is>
          <t>OP08032</t>
        </is>
      </c>
      <c r="B1250" s="6" t="inlineStr">
        <is>
          <t>Dagang Pulsa</t>
        </is>
      </c>
      <c r="C1250" s="7" t="inlineStr">
        <is>
          <t>AV - Agen Verified</t>
        </is>
      </c>
      <c r="D1250" s="1" t="inlineStr">
        <is>
          <t>OP00002</t>
        </is>
      </c>
      <c r="E1250" s="8" t="n">
        <v>45137.32361111111</v>
      </c>
      <c r="F1250" s="7" t="inlineStr">
        <is>
          <t>AGEN</t>
        </is>
      </c>
      <c r="G1250" s="18" t="inlineStr">
        <is>
          <t>OP08032</t>
        </is>
      </c>
      <c r="H1250" s="19">
        <f>UPPER(Table3[[#This Row],[Agen id]]&amp;"-"&amp;VLOOKUP(Table3[[#This Row],[Agen id]],A:B,2,0)&amp;"("&amp;Table3[[#This Row],[Short]]&amp;")")</f>
        <v/>
      </c>
      <c r="J1250" s="7">
        <f>VLOOKUP(Table3[[#This Row],[Agen id]],Agen!A:C,3,0)</f>
        <v/>
      </c>
      <c r="K1250" s="37">
        <f>TRIM(LEFT(Table3[[#This Row],[Group]],2))</f>
        <v/>
      </c>
      <c r="L1250" s="3" t="inlineStr">
        <is>
          <t>NON SALES</t>
        </is>
      </c>
    </row>
    <row r="1251">
      <c r="A1251" s="5" t="inlineStr">
        <is>
          <t>OP08039</t>
        </is>
      </c>
      <c r="B1251" s="6" t="inlineStr">
        <is>
          <t>Terascell</t>
        </is>
      </c>
      <c r="C1251" s="7" t="inlineStr">
        <is>
          <t>A - Agen</t>
        </is>
      </c>
      <c r="D1251" s="1" t="inlineStr">
        <is>
          <t>OP07536</t>
        </is>
      </c>
      <c r="E1251" s="8" t="n">
        <v>45137.60972222222</v>
      </c>
      <c r="F1251" s="7" t="inlineStr">
        <is>
          <t>DOWNLINE</t>
        </is>
      </c>
      <c r="G1251" s="18" t="inlineStr">
        <is>
          <t>OP07536</t>
        </is>
      </c>
      <c r="H1251" s="19">
        <f>UPPER(Table3[[#This Row],[Agen id]]&amp;"-"&amp;VLOOKUP(Table3[[#This Row],[Agen id]],A:B,2,0)&amp;"("&amp;Table3[[#This Row],[Short]]&amp;")")</f>
        <v/>
      </c>
      <c r="J1251" s="7">
        <f>VLOOKUP(Table3[[#This Row],[Agen id]],Agen!A:C,3,0)</f>
        <v/>
      </c>
      <c r="K1251" s="37">
        <f>TRIM(LEFT(Table3[[#This Row],[Group]],2))</f>
        <v/>
      </c>
      <c r="L1251" s="3" t="inlineStr">
        <is>
          <t>NON SALES</t>
        </is>
      </c>
    </row>
    <row r="1252">
      <c r="A1252" s="5" t="inlineStr">
        <is>
          <t>OP08040</t>
        </is>
      </c>
      <c r="B1252" s="6" t="inlineStr">
        <is>
          <t>ANUGRAH CELL</t>
        </is>
      </c>
      <c r="C1252" s="7" t="inlineStr">
        <is>
          <t>AV - Agen Verified</t>
        </is>
      </c>
      <c r="D1252" s="1" t="inlineStr">
        <is>
          <t>OP00002</t>
        </is>
      </c>
      <c r="E1252" s="8" t="n">
        <v>45137.61458333334</v>
      </c>
      <c r="F1252" s="7" t="inlineStr">
        <is>
          <t>AGEN</t>
        </is>
      </c>
      <c r="G1252" s="18" t="inlineStr">
        <is>
          <t>OP08040</t>
        </is>
      </c>
      <c r="H1252" s="19">
        <f>UPPER(Table3[[#This Row],[Agen id]]&amp;"-"&amp;VLOOKUP(Table3[[#This Row],[Agen id]],A:B,2,0)&amp;"("&amp;Table3[[#This Row],[Short]]&amp;")")</f>
        <v/>
      </c>
      <c r="J1252" s="7">
        <f>VLOOKUP(Table3[[#This Row],[Agen id]],Agen!A:C,3,0)</f>
        <v/>
      </c>
      <c r="K1252" s="37">
        <f>TRIM(LEFT(Table3[[#This Row],[Group]],2))</f>
        <v/>
      </c>
      <c r="L1252" s="3" t="inlineStr">
        <is>
          <t>NON SALES</t>
        </is>
      </c>
    </row>
    <row r="1253">
      <c r="A1253" s="5" t="inlineStr">
        <is>
          <t>OP08048</t>
        </is>
      </c>
      <c r="B1253" s="6" t="inlineStr">
        <is>
          <t>Dhalia</t>
        </is>
      </c>
      <c r="C1253" s="7" t="inlineStr">
        <is>
          <t>AV - Agen Verified</t>
        </is>
      </c>
      <c r="D1253" s="1" t="inlineStr">
        <is>
          <t>OP00002</t>
        </is>
      </c>
      <c r="E1253" s="8" t="n">
        <v>45138.00902777778</v>
      </c>
      <c r="F1253" s="7" t="inlineStr">
        <is>
          <t>AGEN</t>
        </is>
      </c>
      <c r="G1253" s="18" t="inlineStr">
        <is>
          <t>OP08048</t>
        </is>
      </c>
      <c r="H1253" s="19">
        <f>UPPER(Table3[[#This Row],[Agen id]]&amp;"-"&amp;VLOOKUP(Table3[[#This Row],[Agen id]],A:B,2,0)&amp;"("&amp;Table3[[#This Row],[Short]]&amp;")")</f>
        <v/>
      </c>
      <c r="J1253" s="7">
        <f>VLOOKUP(Table3[[#This Row],[Agen id]],Agen!A:C,3,0)</f>
        <v/>
      </c>
      <c r="K1253" s="37">
        <f>TRIM(LEFT(Table3[[#This Row],[Group]],2))</f>
        <v/>
      </c>
      <c r="L1253" s="3" t="inlineStr">
        <is>
          <t>NON SALES</t>
        </is>
      </c>
    </row>
    <row r="1254">
      <c r="A1254" s="5" t="inlineStr">
        <is>
          <t>OP08054</t>
        </is>
      </c>
      <c r="B1254" s="6" t="inlineStr">
        <is>
          <t>usuf cell</t>
        </is>
      </c>
      <c r="C1254" s="7" t="inlineStr">
        <is>
          <t>AV - Agen Verified</t>
        </is>
      </c>
      <c r="D1254" s="1" t="inlineStr">
        <is>
          <t>OP03216</t>
        </is>
      </c>
      <c r="E1254" s="8" t="n">
        <v>45138.31597222222</v>
      </c>
      <c r="F1254" s="7" t="inlineStr">
        <is>
          <t>DOWNLINE</t>
        </is>
      </c>
      <c r="G1254" s="18" t="inlineStr">
        <is>
          <t>OP00049</t>
        </is>
      </c>
      <c r="H1254" s="19">
        <f>UPPER(Table3[[#This Row],[Agen id]]&amp;"-"&amp;VLOOKUP(Table3[[#This Row],[Agen id]],A:B,2,0)&amp;"("&amp;Table3[[#This Row],[Short]]&amp;")")</f>
        <v/>
      </c>
      <c r="J1254" s="7">
        <f>VLOOKUP(Table3[[#This Row],[Agen id]],Agen!A:C,3,0)</f>
        <v/>
      </c>
      <c r="K1254" s="37">
        <f>TRIM(LEFT(Table3[[#This Row],[Group]],2))</f>
        <v/>
      </c>
      <c r="L1254" s="3" t="inlineStr">
        <is>
          <t>NON SALES</t>
        </is>
      </c>
    </row>
    <row r="1255">
      <c r="A1255" s="5" t="inlineStr">
        <is>
          <t>OP08056</t>
        </is>
      </c>
      <c r="B1255" s="6" t="inlineStr">
        <is>
          <t>firman</t>
        </is>
      </c>
      <c r="C1255" s="7" t="inlineStr">
        <is>
          <t>A - Agen</t>
        </is>
      </c>
      <c r="D1255" s="1" t="inlineStr">
        <is>
          <t>OP00002</t>
        </is>
      </c>
      <c r="E1255" s="8" t="n">
        <v>45138.37291666667</v>
      </c>
      <c r="F1255" s="7" t="inlineStr">
        <is>
          <t>AGEN</t>
        </is>
      </c>
      <c r="G1255" s="18" t="inlineStr">
        <is>
          <t>OP08056</t>
        </is>
      </c>
      <c r="H1255" s="19">
        <f>UPPER(Table3[[#This Row],[Agen id]]&amp;"-"&amp;VLOOKUP(Table3[[#This Row],[Agen id]],A:B,2,0)&amp;"("&amp;Table3[[#This Row],[Short]]&amp;")")</f>
        <v/>
      </c>
      <c r="J1255" s="7">
        <f>VLOOKUP(Table3[[#This Row],[Agen id]],Agen!A:C,3,0)</f>
        <v/>
      </c>
      <c r="K1255" s="37">
        <f>TRIM(LEFT(Table3[[#This Row],[Group]],2))</f>
        <v/>
      </c>
      <c r="L1255" s="3" t="inlineStr">
        <is>
          <t>NON SALES</t>
        </is>
      </c>
    </row>
    <row r="1256">
      <c r="A1256" s="5" t="inlineStr">
        <is>
          <t>OP08058</t>
        </is>
      </c>
      <c r="B1256" s="6" t="inlineStr">
        <is>
          <t>Sarip durahman</t>
        </is>
      </c>
      <c r="C1256" s="7" t="inlineStr">
        <is>
          <t>AV - Agen Verified</t>
        </is>
      </c>
      <c r="D1256" s="1" t="inlineStr">
        <is>
          <t>OP00002</t>
        </is>
      </c>
      <c r="E1256" s="8" t="n">
        <v>45138.58263888889</v>
      </c>
      <c r="F1256" s="7" t="inlineStr">
        <is>
          <t>AGEN</t>
        </is>
      </c>
      <c r="G1256" s="18" t="inlineStr">
        <is>
          <t>OP08058</t>
        </is>
      </c>
      <c r="H1256" s="19">
        <f>UPPER(Table3[[#This Row],[Agen id]]&amp;"-"&amp;VLOOKUP(Table3[[#This Row],[Agen id]],A:B,2,0)&amp;"("&amp;Table3[[#This Row],[Short]]&amp;")")</f>
        <v/>
      </c>
      <c r="J1256" s="7">
        <f>VLOOKUP(Table3[[#This Row],[Agen id]],Agen!A:C,3,0)</f>
        <v/>
      </c>
      <c r="K1256" s="37">
        <f>TRIM(LEFT(Table3[[#This Row],[Group]],2))</f>
        <v/>
      </c>
      <c r="L1256" s="3" t="inlineStr">
        <is>
          <t>NON SALES</t>
        </is>
      </c>
    </row>
    <row r="1257">
      <c r="A1257" s="5" t="inlineStr">
        <is>
          <t>OP08059</t>
        </is>
      </c>
      <c r="B1257" s="6" t="inlineStr">
        <is>
          <t>M.Rizky</t>
        </is>
      </c>
      <c r="C1257" s="7" t="inlineStr">
        <is>
          <t>AV - Agen Verified</t>
        </is>
      </c>
      <c r="D1257" s="1" t="inlineStr">
        <is>
          <t>OP00002</t>
        </is>
      </c>
      <c r="E1257" s="8" t="n">
        <v>45138.65</v>
      </c>
      <c r="F1257" s="7" t="inlineStr">
        <is>
          <t>AGEN</t>
        </is>
      </c>
      <c r="G1257" s="18" t="inlineStr">
        <is>
          <t>OP08059</t>
        </is>
      </c>
      <c r="H1257" s="19">
        <f>UPPER(Table3[[#This Row],[Agen id]]&amp;"-"&amp;VLOOKUP(Table3[[#This Row],[Agen id]],A:B,2,0)&amp;"("&amp;Table3[[#This Row],[Short]]&amp;")")</f>
        <v/>
      </c>
      <c r="J1257" s="7">
        <f>VLOOKUP(Table3[[#This Row],[Agen id]],Agen!A:C,3,0)</f>
        <v/>
      </c>
      <c r="K1257" s="37">
        <f>TRIM(LEFT(Table3[[#This Row],[Group]],2))</f>
        <v/>
      </c>
      <c r="L1257" s="3" t="inlineStr">
        <is>
          <t>NON SALES</t>
        </is>
      </c>
    </row>
    <row r="1258">
      <c r="A1258" s="5" t="inlineStr">
        <is>
          <t>OP08067</t>
        </is>
      </c>
      <c r="B1258" s="6" t="inlineStr">
        <is>
          <t>Dinni Ammalliyah</t>
        </is>
      </c>
      <c r="C1258" s="7" t="inlineStr">
        <is>
          <t>A - Agen</t>
        </is>
      </c>
      <c r="D1258" s="1" t="inlineStr">
        <is>
          <t>OP00996</t>
        </is>
      </c>
      <c r="E1258" s="8" t="n">
        <v>45139.01736111111</v>
      </c>
      <c r="F1258" s="7" t="inlineStr">
        <is>
          <t>DOWNLINE</t>
        </is>
      </c>
      <c r="G1258" s="18" t="inlineStr">
        <is>
          <t>OP00996</t>
        </is>
      </c>
      <c r="H1258" s="19">
        <f>UPPER(Table3[[#This Row],[Agen id]]&amp;"-"&amp;VLOOKUP(Table3[[#This Row],[Agen id]],A:B,2,0)&amp;"("&amp;Table3[[#This Row],[Short]]&amp;")")</f>
        <v/>
      </c>
      <c r="J1258" s="7">
        <f>VLOOKUP(Table3[[#This Row],[Agen id]],Agen!A:C,3,0)</f>
        <v/>
      </c>
      <c r="K1258" s="37">
        <f>TRIM(LEFT(Table3[[#This Row],[Group]],2))</f>
        <v/>
      </c>
      <c r="L1258" s="3" t="inlineStr">
        <is>
          <t>NON SALES</t>
        </is>
      </c>
    </row>
    <row r="1259">
      <c r="A1259" s="5" t="inlineStr">
        <is>
          <t>OP08070</t>
        </is>
      </c>
      <c r="B1259" s="6" t="inlineStr">
        <is>
          <t>Riasari</t>
        </is>
      </c>
      <c r="C1259" s="7" t="inlineStr">
        <is>
          <t>A - Agen</t>
        </is>
      </c>
      <c r="D1259" s="1" t="inlineStr">
        <is>
          <t>OP00002</t>
        </is>
      </c>
      <c r="E1259" s="8" t="n">
        <v>45139.38958333333</v>
      </c>
      <c r="F1259" s="7" t="inlineStr">
        <is>
          <t>AGEN</t>
        </is>
      </c>
      <c r="G1259" s="18" t="inlineStr">
        <is>
          <t>OP08070</t>
        </is>
      </c>
      <c r="H1259" s="19">
        <f>UPPER(Table3[[#This Row],[Agen id]]&amp;"-"&amp;VLOOKUP(Table3[[#This Row],[Agen id]],A:B,2,0)&amp;"("&amp;Table3[[#This Row],[Short]]&amp;")")</f>
        <v/>
      </c>
      <c r="J1259" s="7">
        <f>VLOOKUP(Table3[[#This Row],[Agen id]],Agen!A:C,3,0)</f>
        <v/>
      </c>
      <c r="K1259" s="37">
        <f>TRIM(LEFT(Table3[[#This Row],[Group]],2))</f>
        <v/>
      </c>
      <c r="L1259" s="3" t="inlineStr">
        <is>
          <t>NON SALES</t>
        </is>
      </c>
    </row>
    <row r="1260">
      <c r="A1260" s="5" t="inlineStr">
        <is>
          <t>OP08075</t>
        </is>
      </c>
      <c r="B1260" s="6" t="inlineStr">
        <is>
          <t>Fathul gaes</t>
        </is>
      </c>
      <c r="C1260" s="7" t="inlineStr">
        <is>
          <t>AB1 - Agen Kab Bogor</t>
        </is>
      </c>
      <c r="D1260" s="1" t="inlineStr">
        <is>
          <t>OP07367</t>
        </is>
      </c>
      <c r="E1260" s="8" t="n">
        <v>45139.57152777778</v>
      </c>
      <c r="F1260" s="7" t="inlineStr">
        <is>
          <t>AGEN</t>
        </is>
      </c>
      <c r="G1260" s="18" t="inlineStr">
        <is>
          <t>OP08075</t>
        </is>
      </c>
      <c r="H1260" s="19">
        <f>UPPER(Table3[[#This Row],[Agen id]]&amp;"-"&amp;VLOOKUP(Table3[[#This Row],[Agen id]],A:B,2,0)&amp;"("&amp;Table3[[#This Row],[Short]]&amp;")")</f>
        <v/>
      </c>
      <c r="J1260" s="7">
        <f>VLOOKUP(Table3[[#This Row],[Agen id]],Agen!A:C,3,0)</f>
        <v/>
      </c>
      <c r="K1260" s="37">
        <f>TRIM(LEFT(Table3[[#This Row],[Group]],2))</f>
        <v/>
      </c>
      <c r="L1260" s="3" t="inlineStr">
        <is>
          <t>ARIS</t>
        </is>
      </c>
    </row>
    <row r="1261">
      <c r="A1261" s="5" t="inlineStr">
        <is>
          <t>OP08076</t>
        </is>
      </c>
      <c r="B1261" s="6" t="inlineStr">
        <is>
          <t>Chyntia cell</t>
        </is>
      </c>
      <c r="C1261" s="7" t="inlineStr">
        <is>
          <t>AB1 - Agen Kab Bogor</t>
        </is>
      </c>
      <c r="D1261" s="1" t="inlineStr">
        <is>
          <t>OP07367</t>
        </is>
      </c>
      <c r="E1261" s="8" t="n">
        <v>45139.61041666667</v>
      </c>
      <c r="F1261" s="7" t="inlineStr">
        <is>
          <t>AGEN</t>
        </is>
      </c>
      <c r="G1261" s="18" t="inlineStr">
        <is>
          <t>OP08076</t>
        </is>
      </c>
      <c r="H1261" s="19">
        <f>UPPER(Table3[[#This Row],[Agen id]]&amp;"-"&amp;VLOOKUP(Table3[[#This Row],[Agen id]],A:B,2,0)&amp;"("&amp;Table3[[#This Row],[Short]]&amp;")")</f>
        <v/>
      </c>
      <c r="J1261" s="7">
        <f>VLOOKUP(Table3[[#This Row],[Agen id]],Agen!A:C,3,0)</f>
        <v/>
      </c>
      <c r="K1261" s="37">
        <f>TRIM(LEFT(Table3[[#This Row],[Group]],2))</f>
        <v/>
      </c>
      <c r="L1261" s="3" t="inlineStr">
        <is>
          <t>ARIS</t>
        </is>
      </c>
    </row>
    <row r="1262">
      <c r="A1262" s="5" t="inlineStr">
        <is>
          <t>OP08080</t>
        </is>
      </c>
      <c r="B1262" s="6" t="inlineStr">
        <is>
          <t>IDANG KUSTIWA</t>
        </is>
      </c>
      <c r="C1262" s="7" t="inlineStr">
        <is>
          <t>A - Agen</t>
        </is>
      </c>
      <c r="D1262" s="1" t="inlineStr">
        <is>
          <t>OP00002</t>
        </is>
      </c>
      <c r="E1262" s="8" t="n">
        <v>45139.70972222222</v>
      </c>
      <c r="F1262" s="7" t="inlineStr">
        <is>
          <t>AGEN</t>
        </is>
      </c>
      <c r="G1262" s="18" t="inlineStr">
        <is>
          <t>OP08080</t>
        </is>
      </c>
      <c r="H1262" s="19">
        <f>UPPER(Table3[[#This Row],[Agen id]]&amp;"-"&amp;VLOOKUP(Table3[[#This Row],[Agen id]],A:B,2,0)&amp;"("&amp;Table3[[#This Row],[Short]]&amp;")")</f>
        <v/>
      </c>
      <c r="J1262" s="7">
        <f>VLOOKUP(Table3[[#This Row],[Agen id]],Agen!A:C,3,0)</f>
        <v/>
      </c>
      <c r="K1262" s="37">
        <f>TRIM(LEFT(Table3[[#This Row],[Group]],2))</f>
        <v/>
      </c>
      <c r="L1262" s="3" t="inlineStr">
        <is>
          <t>NON SALES</t>
        </is>
      </c>
    </row>
    <row r="1263">
      <c r="A1263" s="5" t="inlineStr">
        <is>
          <t>OP08086</t>
        </is>
      </c>
      <c r="B1263" s="6" t="inlineStr">
        <is>
          <t>Amarullah</t>
        </is>
      </c>
      <c r="C1263" s="7" t="inlineStr">
        <is>
          <t>A - Agen</t>
        </is>
      </c>
      <c r="D1263" s="1" t="inlineStr">
        <is>
          <t>OP00002</t>
        </is>
      </c>
      <c r="E1263" s="8" t="n">
        <v>45139.76666666667</v>
      </c>
      <c r="F1263" s="7" t="inlineStr">
        <is>
          <t>AGEN</t>
        </is>
      </c>
      <c r="G1263" s="18" t="inlineStr">
        <is>
          <t>OP08086</t>
        </is>
      </c>
      <c r="H1263" s="19">
        <f>UPPER(Table3[[#This Row],[Agen id]]&amp;"-"&amp;VLOOKUP(Table3[[#This Row],[Agen id]],A:B,2,0)&amp;"("&amp;Table3[[#This Row],[Short]]&amp;")")</f>
        <v/>
      </c>
      <c r="J1263" s="7">
        <f>VLOOKUP(Table3[[#This Row],[Agen id]],Agen!A:C,3,0)</f>
        <v/>
      </c>
      <c r="K1263" s="37">
        <f>TRIM(LEFT(Table3[[#This Row],[Group]],2))</f>
        <v/>
      </c>
      <c r="L1263" s="3" t="inlineStr">
        <is>
          <t>NON SALES</t>
        </is>
      </c>
    </row>
    <row r="1264">
      <c r="A1264" s="5" t="inlineStr">
        <is>
          <t>OP08088</t>
        </is>
      </c>
      <c r="B1264" s="6" t="inlineStr">
        <is>
          <t>FOTASINTESA.ID</t>
        </is>
      </c>
      <c r="C1264" s="7" t="inlineStr">
        <is>
          <t>AV - Agen Verified</t>
        </is>
      </c>
      <c r="D1264" s="1" t="inlineStr">
        <is>
          <t>OP00002</t>
        </is>
      </c>
      <c r="E1264" s="8" t="n">
        <v>45140.0125</v>
      </c>
      <c r="F1264" s="7" t="inlineStr">
        <is>
          <t>AGEN</t>
        </is>
      </c>
      <c r="G1264" s="18" t="inlineStr">
        <is>
          <t>OP08088</t>
        </is>
      </c>
      <c r="H1264" s="19">
        <f>UPPER(Table3[[#This Row],[Agen id]]&amp;"-"&amp;VLOOKUP(Table3[[#This Row],[Agen id]],A:B,2,0)&amp;"("&amp;Table3[[#This Row],[Short]]&amp;")")</f>
        <v/>
      </c>
      <c r="J1264" s="7">
        <f>VLOOKUP(Table3[[#This Row],[Agen id]],Agen!A:C,3,0)</f>
        <v/>
      </c>
      <c r="K1264" s="37">
        <f>TRIM(LEFT(Table3[[#This Row],[Group]],2))</f>
        <v/>
      </c>
      <c r="L1264" s="3" t="inlineStr">
        <is>
          <t>NON SALES</t>
        </is>
      </c>
    </row>
    <row r="1265">
      <c r="A1265" s="5" t="inlineStr">
        <is>
          <t>OP08090</t>
        </is>
      </c>
      <c r="B1265" s="6" t="inlineStr">
        <is>
          <t>Buton</t>
        </is>
      </c>
      <c r="C1265" s="7" t="inlineStr">
        <is>
          <t>AV - Agen Verified</t>
        </is>
      </c>
      <c r="D1265" s="1" t="inlineStr">
        <is>
          <t>OP00002</t>
        </is>
      </c>
      <c r="E1265" s="8" t="n">
        <v>45140.23472222222</v>
      </c>
      <c r="F1265" s="7" t="inlineStr">
        <is>
          <t>AGEN</t>
        </is>
      </c>
      <c r="G1265" s="18" t="inlineStr">
        <is>
          <t>OP08090</t>
        </is>
      </c>
      <c r="H1265" s="19">
        <f>UPPER(Table3[[#This Row],[Agen id]]&amp;"-"&amp;VLOOKUP(Table3[[#This Row],[Agen id]],A:B,2,0)&amp;"("&amp;Table3[[#This Row],[Short]]&amp;")")</f>
        <v/>
      </c>
      <c r="J1265" s="7">
        <f>VLOOKUP(Table3[[#This Row],[Agen id]],Agen!A:C,3,0)</f>
        <v/>
      </c>
      <c r="K1265" s="37">
        <f>TRIM(LEFT(Table3[[#This Row],[Group]],2))</f>
        <v/>
      </c>
      <c r="L1265" s="3" t="inlineStr">
        <is>
          <t>NON SALES</t>
        </is>
      </c>
    </row>
    <row r="1266">
      <c r="A1266" s="5" t="inlineStr">
        <is>
          <t>OP08093</t>
        </is>
      </c>
      <c r="B1266" s="6" t="inlineStr">
        <is>
          <t>Rejeki</t>
        </is>
      </c>
      <c r="C1266" s="7" t="inlineStr">
        <is>
          <t>A - Agen</t>
        </is>
      </c>
      <c r="D1266" s="1" t="inlineStr">
        <is>
          <t>OP00996</t>
        </is>
      </c>
      <c r="E1266" s="8" t="n">
        <v>45140.39930555555</v>
      </c>
      <c r="F1266" s="7" t="inlineStr">
        <is>
          <t>DOWNLINE</t>
        </is>
      </c>
      <c r="G1266" s="18" t="inlineStr">
        <is>
          <t>OP00996</t>
        </is>
      </c>
      <c r="H1266" s="19">
        <f>UPPER(Table3[[#This Row],[Agen id]]&amp;"-"&amp;VLOOKUP(Table3[[#This Row],[Agen id]],A:B,2,0)&amp;"("&amp;Table3[[#This Row],[Short]]&amp;")")</f>
        <v/>
      </c>
      <c r="J1266" s="7">
        <f>VLOOKUP(Table3[[#This Row],[Agen id]],Agen!A:C,3,0)</f>
        <v/>
      </c>
      <c r="K1266" s="37">
        <f>TRIM(LEFT(Table3[[#This Row],[Group]],2))</f>
        <v/>
      </c>
      <c r="L1266" s="3" t="inlineStr">
        <is>
          <t>NON SALES</t>
        </is>
      </c>
    </row>
    <row r="1267">
      <c r="A1267" s="5" t="inlineStr">
        <is>
          <t>OP08097</t>
        </is>
      </c>
      <c r="B1267" s="6" t="inlineStr">
        <is>
          <t>Mega cell</t>
        </is>
      </c>
      <c r="C1267" s="7" t="inlineStr">
        <is>
          <t>AB1 - Agen Kab Bogor</t>
        </is>
      </c>
      <c r="D1267" s="1" t="inlineStr">
        <is>
          <t>OP07367</t>
        </is>
      </c>
      <c r="E1267" s="8" t="n">
        <v>45140.47569444445</v>
      </c>
      <c r="F1267" s="7" t="inlineStr">
        <is>
          <t>AGEN</t>
        </is>
      </c>
      <c r="G1267" s="18" t="inlineStr">
        <is>
          <t>OP08097</t>
        </is>
      </c>
      <c r="H1267" s="19">
        <f>UPPER(Table3[[#This Row],[Agen id]]&amp;"-"&amp;VLOOKUP(Table3[[#This Row],[Agen id]],A:B,2,0)&amp;"("&amp;Table3[[#This Row],[Short]]&amp;")")</f>
        <v/>
      </c>
      <c r="J1267" s="7">
        <f>VLOOKUP(Table3[[#This Row],[Agen id]],Agen!A:C,3,0)</f>
        <v/>
      </c>
      <c r="K1267" s="37">
        <f>TRIM(LEFT(Table3[[#This Row],[Group]],2))</f>
        <v/>
      </c>
      <c r="L1267" s="3" t="inlineStr">
        <is>
          <t>ARIS</t>
        </is>
      </c>
    </row>
    <row r="1268">
      <c r="A1268" s="5" t="inlineStr">
        <is>
          <t>OP08106</t>
        </is>
      </c>
      <c r="B1268" s="6" t="inlineStr">
        <is>
          <t>Reno</t>
        </is>
      </c>
      <c r="C1268" s="7" t="inlineStr">
        <is>
          <t>A - Agen</t>
        </is>
      </c>
      <c r="D1268" s="1" t="inlineStr">
        <is>
          <t>OP00002</t>
        </is>
      </c>
      <c r="E1268" s="8" t="n">
        <v>45140.63125</v>
      </c>
      <c r="F1268" s="7" t="inlineStr">
        <is>
          <t>AGEN</t>
        </is>
      </c>
      <c r="G1268" s="18" t="inlineStr">
        <is>
          <t>OP08106</t>
        </is>
      </c>
      <c r="H1268" s="19">
        <f>UPPER(Table3[[#This Row],[Agen id]]&amp;"-"&amp;VLOOKUP(Table3[[#This Row],[Agen id]],A:B,2,0)&amp;"("&amp;Table3[[#This Row],[Short]]&amp;")")</f>
        <v/>
      </c>
      <c r="J1268" s="7">
        <f>VLOOKUP(Table3[[#This Row],[Agen id]],Agen!A:C,3,0)</f>
        <v/>
      </c>
      <c r="K1268" s="37">
        <f>TRIM(LEFT(Table3[[#This Row],[Group]],2))</f>
        <v/>
      </c>
      <c r="L1268" s="3" t="inlineStr">
        <is>
          <t>NON SALES</t>
        </is>
      </c>
    </row>
    <row r="1269">
      <c r="A1269" s="5" t="inlineStr">
        <is>
          <t>OP08107</t>
        </is>
      </c>
      <c r="B1269" s="6" t="inlineStr">
        <is>
          <t>AZRI CELL</t>
        </is>
      </c>
      <c r="C1269" s="7" t="inlineStr">
        <is>
          <t>AB1 - Agen Kab Bogor</t>
        </is>
      </c>
      <c r="D1269" s="1" t="inlineStr">
        <is>
          <t>OP07367</t>
        </is>
      </c>
      <c r="E1269" s="8" t="n">
        <v>45140.64652777778</v>
      </c>
      <c r="F1269" s="7" t="inlineStr">
        <is>
          <t>AGEN</t>
        </is>
      </c>
      <c r="G1269" s="18" t="inlineStr">
        <is>
          <t>OP08107</t>
        </is>
      </c>
      <c r="H1269" s="19">
        <f>UPPER(Table3[[#This Row],[Agen id]]&amp;"-"&amp;VLOOKUP(Table3[[#This Row],[Agen id]],A:B,2,0)&amp;"("&amp;Table3[[#This Row],[Short]]&amp;")")</f>
        <v/>
      </c>
      <c r="J1269" s="7">
        <f>VLOOKUP(Table3[[#This Row],[Agen id]],Agen!A:C,3,0)</f>
        <v/>
      </c>
      <c r="K1269" s="37">
        <f>TRIM(LEFT(Table3[[#This Row],[Group]],2))</f>
        <v/>
      </c>
      <c r="L1269" s="3" t="inlineStr">
        <is>
          <t>ARIS</t>
        </is>
      </c>
    </row>
    <row r="1270">
      <c r="A1270" s="5" t="inlineStr">
        <is>
          <t>OP08109</t>
        </is>
      </c>
      <c r="B1270" s="6" t="inlineStr">
        <is>
          <t>Arya</t>
        </is>
      </c>
      <c r="C1270" s="7" t="inlineStr">
        <is>
          <t>AV - Agen Verified</t>
        </is>
      </c>
      <c r="D1270" s="1" t="inlineStr">
        <is>
          <t>OP00002</t>
        </is>
      </c>
      <c r="E1270" s="8" t="n">
        <v>45140.74444444444</v>
      </c>
      <c r="F1270" s="7" t="inlineStr">
        <is>
          <t>AGEN</t>
        </is>
      </c>
      <c r="G1270" s="18" t="inlineStr">
        <is>
          <t>OP08109</t>
        </is>
      </c>
      <c r="H1270" s="19">
        <f>UPPER(Table3[[#This Row],[Agen id]]&amp;"-"&amp;VLOOKUP(Table3[[#This Row],[Agen id]],A:B,2,0)&amp;"("&amp;Table3[[#This Row],[Short]]&amp;")")</f>
        <v/>
      </c>
      <c r="J1270" s="7">
        <f>VLOOKUP(Table3[[#This Row],[Agen id]],Agen!A:C,3,0)</f>
        <v/>
      </c>
      <c r="K1270" s="37">
        <f>TRIM(LEFT(Table3[[#This Row],[Group]],2))</f>
        <v/>
      </c>
      <c r="L1270" s="3" t="inlineStr">
        <is>
          <t>NON SALES</t>
        </is>
      </c>
    </row>
    <row r="1271">
      <c r="A1271" s="5" t="inlineStr">
        <is>
          <t>OP08111</t>
        </is>
      </c>
      <c r="B1271" s="6" t="inlineStr">
        <is>
          <t>Muzzadi</t>
        </is>
      </c>
      <c r="C1271" s="7" t="inlineStr">
        <is>
          <t>A - Agen</t>
        </is>
      </c>
      <c r="D1271" s="1" t="inlineStr">
        <is>
          <t>OP00002</t>
        </is>
      </c>
      <c r="E1271" s="8" t="n">
        <v>45140.75277777778</v>
      </c>
      <c r="F1271" s="7" t="inlineStr">
        <is>
          <t>AGEN</t>
        </is>
      </c>
      <c r="G1271" s="18" t="inlineStr">
        <is>
          <t>OP08111</t>
        </is>
      </c>
      <c r="H1271" s="19">
        <f>UPPER(Table3[[#This Row],[Agen id]]&amp;"-"&amp;VLOOKUP(Table3[[#This Row],[Agen id]],A:B,2,0)&amp;"("&amp;Table3[[#This Row],[Short]]&amp;")")</f>
        <v/>
      </c>
      <c r="J1271" s="7">
        <f>VLOOKUP(Table3[[#This Row],[Agen id]],Agen!A:C,3,0)</f>
        <v/>
      </c>
      <c r="K1271" s="37">
        <f>TRIM(LEFT(Table3[[#This Row],[Group]],2))</f>
        <v/>
      </c>
      <c r="L1271" s="3" t="inlineStr">
        <is>
          <t>NON SALES</t>
        </is>
      </c>
    </row>
    <row r="1272">
      <c r="A1272" s="5" t="inlineStr">
        <is>
          <t>OP08114</t>
        </is>
      </c>
      <c r="B1272" s="6" t="inlineStr">
        <is>
          <t>suyitno</t>
        </is>
      </c>
      <c r="C1272" s="7" t="inlineStr">
        <is>
          <t>AB1 - Agen Kab Bogor</t>
        </is>
      </c>
      <c r="D1272" s="1" t="inlineStr">
        <is>
          <t>OP07367</t>
        </is>
      </c>
      <c r="E1272" s="8" t="n">
        <v>45140.81041666667</v>
      </c>
      <c r="F1272" s="7" t="inlineStr">
        <is>
          <t>AGEN</t>
        </is>
      </c>
      <c r="G1272" s="18" t="inlineStr">
        <is>
          <t>OP08114</t>
        </is>
      </c>
      <c r="H1272" s="19">
        <f>UPPER(Table3[[#This Row],[Agen id]]&amp;"-"&amp;VLOOKUP(Table3[[#This Row],[Agen id]],A:B,2,0)&amp;"("&amp;Table3[[#This Row],[Short]]&amp;")")</f>
        <v/>
      </c>
      <c r="J1272" s="7">
        <f>VLOOKUP(Table3[[#This Row],[Agen id]],Agen!A:C,3,0)</f>
        <v/>
      </c>
      <c r="K1272" s="37">
        <f>TRIM(LEFT(Table3[[#This Row],[Group]],2))</f>
        <v/>
      </c>
      <c r="L1272" s="3" t="inlineStr">
        <is>
          <t>ARIS</t>
        </is>
      </c>
    </row>
    <row r="1273">
      <c r="A1273" s="5" t="inlineStr">
        <is>
          <t>OP08122</t>
        </is>
      </c>
      <c r="B1273" s="6" t="inlineStr">
        <is>
          <t>amila cell</t>
        </is>
      </c>
      <c r="C1273" s="7" t="inlineStr">
        <is>
          <t>AV - Agen Verified</t>
        </is>
      </c>
      <c r="D1273" s="1" t="inlineStr">
        <is>
          <t>OP03216</t>
        </is>
      </c>
      <c r="E1273" s="8" t="n">
        <v>45141.425</v>
      </c>
      <c r="F1273" s="7" t="inlineStr">
        <is>
          <t>DOWNLINE</t>
        </is>
      </c>
      <c r="G1273" s="18" t="inlineStr">
        <is>
          <t>OP00049</t>
        </is>
      </c>
      <c r="H1273" s="19">
        <f>UPPER(Table3[[#This Row],[Agen id]]&amp;"-"&amp;VLOOKUP(Table3[[#This Row],[Agen id]],A:B,2,0)&amp;"("&amp;Table3[[#This Row],[Short]]&amp;")")</f>
        <v/>
      </c>
      <c r="J1273" s="7">
        <f>VLOOKUP(Table3[[#This Row],[Agen id]],Agen!A:C,3,0)</f>
        <v/>
      </c>
      <c r="K1273" s="37">
        <f>TRIM(LEFT(Table3[[#This Row],[Group]],2))</f>
        <v/>
      </c>
      <c r="L1273" s="3" t="inlineStr">
        <is>
          <t>NON SALES</t>
        </is>
      </c>
    </row>
    <row r="1274">
      <c r="A1274" s="5" t="inlineStr">
        <is>
          <t>OP08123</t>
        </is>
      </c>
      <c r="B1274" s="6" t="inlineStr">
        <is>
          <t>Cici</t>
        </is>
      </c>
      <c r="C1274" s="7" t="inlineStr">
        <is>
          <t>A - Agen</t>
        </is>
      </c>
      <c r="D1274" s="1" t="inlineStr">
        <is>
          <t>OP00002</t>
        </is>
      </c>
      <c r="E1274" s="8" t="n">
        <v>45141.43888888889</v>
      </c>
      <c r="F1274" s="7" t="inlineStr">
        <is>
          <t>AGEN</t>
        </is>
      </c>
      <c r="G1274" s="18" t="inlineStr">
        <is>
          <t>OP08123</t>
        </is>
      </c>
      <c r="H1274" s="19">
        <f>UPPER(Table3[[#This Row],[Agen id]]&amp;"-"&amp;VLOOKUP(Table3[[#This Row],[Agen id]],A:B,2,0)&amp;"("&amp;Table3[[#This Row],[Short]]&amp;")")</f>
        <v/>
      </c>
      <c r="J1274" s="7">
        <f>VLOOKUP(Table3[[#This Row],[Agen id]],Agen!A:C,3,0)</f>
        <v/>
      </c>
      <c r="K1274" s="37">
        <f>TRIM(LEFT(Table3[[#This Row],[Group]],2))</f>
        <v/>
      </c>
      <c r="L1274" s="3" t="inlineStr">
        <is>
          <t>NON SALES</t>
        </is>
      </c>
    </row>
    <row r="1275">
      <c r="A1275" s="5" t="inlineStr">
        <is>
          <t>OP08131</t>
        </is>
      </c>
      <c r="B1275" s="6" t="inlineStr">
        <is>
          <t>Centrall</t>
        </is>
      </c>
      <c r="C1275" s="7" t="inlineStr">
        <is>
          <t>A - Agen</t>
        </is>
      </c>
      <c r="D1275" s="1" t="inlineStr">
        <is>
          <t>OP00002</t>
        </is>
      </c>
      <c r="E1275" s="8" t="n">
        <v>45141.72361111111</v>
      </c>
      <c r="F1275" s="7" t="inlineStr">
        <is>
          <t>AGEN</t>
        </is>
      </c>
      <c r="G1275" s="18" t="inlineStr">
        <is>
          <t>OP08131</t>
        </is>
      </c>
      <c r="H1275" s="19">
        <f>UPPER(Table3[[#This Row],[Agen id]]&amp;"-"&amp;VLOOKUP(Table3[[#This Row],[Agen id]],A:B,2,0)&amp;"("&amp;Table3[[#This Row],[Short]]&amp;")")</f>
        <v/>
      </c>
      <c r="J1275" s="7">
        <f>VLOOKUP(Table3[[#This Row],[Agen id]],Agen!A:C,3,0)</f>
        <v/>
      </c>
      <c r="K1275" s="37">
        <f>TRIM(LEFT(Table3[[#This Row],[Group]],2))</f>
        <v/>
      </c>
      <c r="L1275" s="3" t="inlineStr">
        <is>
          <t>NON SALES</t>
        </is>
      </c>
    </row>
    <row r="1276">
      <c r="A1276" s="5" t="inlineStr">
        <is>
          <t>OP08163</t>
        </is>
      </c>
      <c r="B1276" s="6" t="inlineStr">
        <is>
          <t>erna</t>
        </is>
      </c>
      <c r="C1276" s="7" t="inlineStr">
        <is>
          <t>AV - Agen Verified</t>
        </is>
      </c>
      <c r="D1276" s="1" t="inlineStr">
        <is>
          <t>OP00002</t>
        </is>
      </c>
      <c r="E1276" s="8" t="n">
        <v>45144.04722222222</v>
      </c>
      <c r="F1276" s="7" t="inlineStr">
        <is>
          <t>AGEN</t>
        </is>
      </c>
      <c r="G1276" s="18" t="inlineStr">
        <is>
          <t>OP08163</t>
        </is>
      </c>
      <c r="H1276" s="19">
        <f>UPPER(Table3[[#This Row],[Agen id]]&amp;"-"&amp;VLOOKUP(Table3[[#This Row],[Agen id]],A:B,2,0)&amp;"("&amp;Table3[[#This Row],[Short]]&amp;")")</f>
        <v/>
      </c>
      <c r="J1276" s="7">
        <f>VLOOKUP(Table3[[#This Row],[Agen id]],Agen!A:C,3,0)</f>
        <v/>
      </c>
      <c r="K1276" s="37">
        <f>TRIM(LEFT(Table3[[#This Row],[Group]],2))</f>
        <v/>
      </c>
      <c r="L1276" s="3" t="inlineStr">
        <is>
          <t>NON SALES</t>
        </is>
      </c>
    </row>
    <row r="1277">
      <c r="A1277" s="5" t="inlineStr">
        <is>
          <t>OP08189</t>
        </is>
      </c>
      <c r="B1277" s="6" t="inlineStr">
        <is>
          <t>Zona cell</t>
        </is>
      </c>
      <c r="C1277" s="7" t="inlineStr">
        <is>
          <t>AB1 - Agen Kab Bogor</t>
        </is>
      </c>
      <c r="D1277" s="1" t="inlineStr">
        <is>
          <t>OP07367</t>
        </is>
      </c>
      <c r="E1277" s="8" t="n">
        <v>45146.42291666667</v>
      </c>
      <c r="F1277" s="7" t="inlineStr">
        <is>
          <t>AGEN</t>
        </is>
      </c>
      <c r="G1277" s="18" t="inlineStr">
        <is>
          <t>OP08189</t>
        </is>
      </c>
      <c r="H1277" s="19">
        <f>UPPER(Table3[[#This Row],[Agen id]]&amp;"-"&amp;VLOOKUP(Table3[[#This Row],[Agen id]],A:B,2,0)&amp;"("&amp;Table3[[#This Row],[Short]]&amp;")")</f>
        <v/>
      </c>
      <c r="J1277" s="7">
        <f>VLOOKUP(Table3[[#This Row],[Agen id]],Agen!A:C,3,0)</f>
        <v/>
      </c>
      <c r="K1277" s="37">
        <f>TRIM(LEFT(Table3[[#This Row],[Group]],2))</f>
        <v/>
      </c>
      <c r="L1277" s="3" t="inlineStr">
        <is>
          <t>ARIS</t>
        </is>
      </c>
    </row>
    <row r="1278">
      <c r="A1278" s="5" t="inlineStr">
        <is>
          <t>OP08190</t>
        </is>
      </c>
      <c r="B1278" s="6" t="inlineStr">
        <is>
          <t>Nizarsyam</t>
        </is>
      </c>
      <c r="C1278" s="7" t="inlineStr">
        <is>
          <t>A - Agen</t>
        </is>
      </c>
      <c r="D1278" s="1" t="inlineStr">
        <is>
          <t>OP00002</t>
        </is>
      </c>
      <c r="E1278" s="8" t="n">
        <v>45146.43819444445</v>
      </c>
      <c r="F1278" s="7" t="inlineStr">
        <is>
          <t>AGEN</t>
        </is>
      </c>
      <c r="G1278" s="18" t="inlineStr">
        <is>
          <t>OP08190</t>
        </is>
      </c>
      <c r="H1278" s="19">
        <f>UPPER(Table3[[#This Row],[Agen id]]&amp;"-"&amp;VLOOKUP(Table3[[#This Row],[Agen id]],A:B,2,0)&amp;"("&amp;Table3[[#This Row],[Short]]&amp;")")</f>
        <v/>
      </c>
      <c r="J1278" s="7">
        <f>VLOOKUP(Table3[[#This Row],[Agen id]],Agen!A:C,3,0)</f>
        <v/>
      </c>
      <c r="K1278" s="37">
        <f>TRIM(LEFT(Table3[[#This Row],[Group]],2))</f>
        <v/>
      </c>
      <c r="L1278" s="3" t="inlineStr">
        <is>
          <t>NON SALES</t>
        </is>
      </c>
    </row>
    <row r="1279">
      <c r="A1279" s="5" t="inlineStr">
        <is>
          <t>OP08191</t>
        </is>
      </c>
      <c r="B1279" s="6" t="inlineStr">
        <is>
          <t>Zona Cell 1999</t>
        </is>
      </c>
      <c r="C1279" s="7" t="inlineStr">
        <is>
          <t>AB1 - Agen Kab Bogor</t>
        </is>
      </c>
      <c r="D1279" s="1" t="inlineStr">
        <is>
          <t>OP07367</t>
        </is>
      </c>
      <c r="E1279" s="8" t="n">
        <v>45146.49305555555</v>
      </c>
      <c r="F1279" s="7" t="inlineStr">
        <is>
          <t>AGEN</t>
        </is>
      </c>
      <c r="G1279" s="18" t="inlineStr">
        <is>
          <t>OP08191</t>
        </is>
      </c>
      <c r="H1279" s="19">
        <f>UPPER(Table3[[#This Row],[Agen id]]&amp;"-"&amp;VLOOKUP(Table3[[#This Row],[Agen id]],A:B,2,0)&amp;"("&amp;Table3[[#This Row],[Short]]&amp;")")</f>
        <v/>
      </c>
      <c r="J1279" s="7">
        <f>VLOOKUP(Table3[[#This Row],[Agen id]],Agen!A:C,3,0)</f>
        <v/>
      </c>
      <c r="K1279" s="37">
        <f>TRIM(LEFT(Table3[[#This Row],[Group]],2))</f>
        <v/>
      </c>
      <c r="L1279" s="3" t="inlineStr">
        <is>
          <t>ARIS</t>
        </is>
      </c>
    </row>
    <row r="1280">
      <c r="A1280" s="5" t="inlineStr">
        <is>
          <t>OP08192</t>
        </is>
      </c>
      <c r="B1280" s="6" t="inlineStr">
        <is>
          <t>AW CELL</t>
        </is>
      </c>
      <c r="C1280" s="7" t="inlineStr">
        <is>
          <t>AB1 - Agen Kab Bogor</t>
        </is>
      </c>
      <c r="D1280" s="1" t="inlineStr">
        <is>
          <t>OP07367</t>
        </is>
      </c>
      <c r="E1280" s="8" t="n">
        <v>45146.55625</v>
      </c>
      <c r="F1280" s="7" t="inlineStr">
        <is>
          <t>AGEN</t>
        </is>
      </c>
      <c r="G1280" s="18" t="inlineStr">
        <is>
          <t>OP08192</t>
        </is>
      </c>
      <c r="H1280" s="19">
        <f>UPPER(Table3[[#This Row],[Agen id]]&amp;"-"&amp;VLOOKUP(Table3[[#This Row],[Agen id]],A:B,2,0)&amp;"("&amp;Table3[[#This Row],[Short]]&amp;")")</f>
        <v/>
      </c>
      <c r="J1280" s="7">
        <f>VLOOKUP(Table3[[#This Row],[Agen id]],Agen!A:C,3,0)</f>
        <v/>
      </c>
      <c r="K1280" s="37">
        <f>TRIM(LEFT(Table3[[#This Row],[Group]],2))</f>
        <v/>
      </c>
      <c r="L1280" s="3" t="inlineStr">
        <is>
          <t>ARIS</t>
        </is>
      </c>
    </row>
    <row r="1281">
      <c r="A1281" s="5" t="inlineStr">
        <is>
          <t>OP08200</t>
        </is>
      </c>
      <c r="B1281" s="6" t="inlineStr">
        <is>
          <t>velyn</t>
        </is>
      </c>
      <c r="C1281" s="7" t="inlineStr">
        <is>
          <t>AB1 - Agen Kab Bogor</t>
        </is>
      </c>
      <c r="D1281" s="1" t="inlineStr">
        <is>
          <t>OP00002</t>
        </is>
      </c>
      <c r="E1281" s="8" t="n">
        <v>45146.93680555555</v>
      </c>
      <c r="F1281" s="7" t="inlineStr">
        <is>
          <t>AGEN</t>
        </is>
      </c>
      <c r="G1281" s="18" t="inlineStr">
        <is>
          <t>OP08200</t>
        </is>
      </c>
      <c r="H1281" s="19">
        <f>UPPER(Table3[[#This Row],[Agen id]]&amp;"-"&amp;VLOOKUP(Table3[[#This Row],[Agen id]],A:B,2,0)&amp;"("&amp;Table3[[#This Row],[Short]]&amp;")")</f>
        <v/>
      </c>
      <c r="J1281" s="7">
        <f>VLOOKUP(Table3[[#This Row],[Agen id]],Agen!A:C,3,0)</f>
        <v/>
      </c>
      <c r="K1281" s="37">
        <f>TRIM(LEFT(Table3[[#This Row],[Group]],2))</f>
        <v/>
      </c>
      <c r="L1281" s="3" t="inlineStr">
        <is>
          <t>NON SALES</t>
        </is>
      </c>
    </row>
    <row r="1282">
      <c r="A1282" s="5" t="inlineStr">
        <is>
          <t>OP08204</t>
        </is>
      </c>
      <c r="B1282" s="6" t="inlineStr">
        <is>
          <t>maimun</t>
        </is>
      </c>
      <c r="C1282" s="7" t="inlineStr">
        <is>
          <t>AV - Agen Verified</t>
        </is>
      </c>
      <c r="D1282" s="1" t="inlineStr">
        <is>
          <t>OP00825</t>
        </is>
      </c>
      <c r="E1282" s="8" t="n">
        <v>45147.39444444444</v>
      </c>
      <c r="F1282" s="7" t="inlineStr">
        <is>
          <t>DOWNLINE</t>
        </is>
      </c>
      <c r="G1282" s="18" t="inlineStr">
        <is>
          <t>OP00014</t>
        </is>
      </c>
      <c r="H1282" s="19">
        <f>UPPER(Table3[[#This Row],[Agen id]]&amp;"-"&amp;VLOOKUP(Table3[[#This Row],[Agen id]],A:B,2,0)&amp;"("&amp;Table3[[#This Row],[Short]]&amp;")")</f>
        <v/>
      </c>
      <c r="J1282" s="7">
        <f>VLOOKUP(Table3[[#This Row],[Agen id]],Agen!A:C,3,0)</f>
        <v/>
      </c>
      <c r="K1282" s="37">
        <f>TRIM(LEFT(Table3[[#This Row],[Group]],2))</f>
        <v/>
      </c>
      <c r="L1282" s="3" t="inlineStr">
        <is>
          <t>NON SALES</t>
        </is>
      </c>
    </row>
    <row r="1283">
      <c r="A1283" s="5" t="inlineStr">
        <is>
          <t>OP08206</t>
        </is>
      </c>
      <c r="B1283" s="6" t="inlineStr">
        <is>
          <t>MY CELL</t>
        </is>
      </c>
      <c r="C1283" s="7" t="inlineStr">
        <is>
          <t>AB1 - Agen Kab Bogor</t>
        </is>
      </c>
      <c r="D1283" s="1" t="inlineStr">
        <is>
          <t>OP07367</t>
        </is>
      </c>
      <c r="E1283" s="8" t="n">
        <v>45147.50277777778</v>
      </c>
      <c r="F1283" s="7" t="inlineStr">
        <is>
          <t>AGEN</t>
        </is>
      </c>
      <c r="G1283" s="18" t="inlineStr">
        <is>
          <t>OP08206</t>
        </is>
      </c>
      <c r="H1283" s="19">
        <f>UPPER(Table3[[#This Row],[Agen id]]&amp;"-"&amp;VLOOKUP(Table3[[#This Row],[Agen id]],A:B,2,0)&amp;"("&amp;Table3[[#This Row],[Short]]&amp;")")</f>
        <v/>
      </c>
      <c r="J1283" s="7">
        <f>VLOOKUP(Table3[[#This Row],[Agen id]],Agen!A:C,3,0)</f>
        <v/>
      </c>
      <c r="K1283" s="37">
        <f>TRIM(LEFT(Table3[[#This Row],[Group]],2))</f>
        <v/>
      </c>
      <c r="L1283" s="3" t="inlineStr">
        <is>
          <t>ARIS</t>
        </is>
      </c>
    </row>
    <row r="1284">
      <c r="A1284" s="5" t="inlineStr">
        <is>
          <t>OP08207</t>
        </is>
      </c>
      <c r="B1284" s="6" t="inlineStr">
        <is>
          <t>Endang</t>
        </is>
      </c>
      <c r="C1284" s="7" t="inlineStr">
        <is>
          <t>AT1 - Agen Tangerang</t>
        </is>
      </c>
      <c r="D1284" s="1" t="inlineStr">
        <is>
          <t>OP07683</t>
        </is>
      </c>
      <c r="E1284" s="8" t="n">
        <v>45147.52847222222</v>
      </c>
      <c r="F1284" s="7" t="inlineStr">
        <is>
          <t>AGEN</t>
        </is>
      </c>
      <c r="G1284" s="18" t="inlineStr">
        <is>
          <t>OP08207</t>
        </is>
      </c>
      <c r="H1284" s="19">
        <f>UPPER(Table3[[#This Row],[Agen id]]&amp;"-"&amp;VLOOKUP(Table3[[#This Row],[Agen id]],A:B,2,0)&amp;"("&amp;Table3[[#This Row],[Short]]&amp;")")</f>
        <v/>
      </c>
      <c r="J1284" s="7">
        <f>VLOOKUP(Table3[[#This Row],[Agen id]],Agen!A:C,3,0)</f>
        <v/>
      </c>
      <c r="K1284" s="37">
        <f>TRIM(LEFT(Table3[[#This Row],[Group]],2))</f>
        <v/>
      </c>
      <c r="L1284" s="3" t="inlineStr">
        <is>
          <t>AZIZ</t>
        </is>
      </c>
    </row>
    <row r="1285">
      <c r="A1285" s="5" t="inlineStr">
        <is>
          <t>OP08210</t>
        </is>
      </c>
      <c r="B1285" s="6" t="inlineStr">
        <is>
          <t>DE CHELFA CELL</t>
        </is>
      </c>
      <c r="C1285" s="7" t="inlineStr">
        <is>
          <t>AB1 - Agen Kab Bogor</t>
        </is>
      </c>
      <c r="D1285" s="1" t="inlineStr">
        <is>
          <t>OP07367</t>
        </is>
      </c>
      <c r="E1285" s="8" t="n">
        <v>45147.63611111111</v>
      </c>
      <c r="F1285" s="7" t="inlineStr">
        <is>
          <t>AGEN</t>
        </is>
      </c>
      <c r="G1285" s="18" t="inlineStr">
        <is>
          <t>OP08210</t>
        </is>
      </c>
      <c r="H1285" s="19">
        <f>UPPER(Table3[[#This Row],[Agen id]]&amp;"-"&amp;VLOOKUP(Table3[[#This Row],[Agen id]],A:B,2,0)&amp;"("&amp;Table3[[#This Row],[Short]]&amp;")")</f>
        <v/>
      </c>
      <c r="J1285" s="7">
        <f>VLOOKUP(Table3[[#This Row],[Agen id]],Agen!A:C,3,0)</f>
        <v/>
      </c>
      <c r="K1285" s="37">
        <f>TRIM(LEFT(Table3[[#This Row],[Group]],2))</f>
        <v/>
      </c>
      <c r="L1285" s="3" t="inlineStr">
        <is>
          <t>ARIS</t>
        </is>
      </c>
    </row>
    <row r="1286">
      <c r="A1286" s="5" t="inlineStr">
        <is>
          <t>OP08211</t>
        </is>
      </c>
      <c r="B1286" s="6" t="inlineStr">
        <is>
          <t>Naifa</t>
        </is>
      </c>
      <c r="C1286" s="7" t="inlineStr">
        <is>
          <t>AV - Agen Verified</t>
        </is>
      </c>
      <c r="D1286" s="1" t="inlineStr">
        <is>
          <t>OP00023</t>
        </is>
      </c>
      <c r="E1286" s="8" t="n">
        <v>45147.94097222222</v>
      </c>
      <c r="F1286" s="7" t="inlineStr">
        <is>
          <t>DOWNLINE</t>
        </is>
      </c>
      <c r="G1286" s="18" t="inlineStr">
        <is>
          <t>OP00023</t>
        </is>
      </c>
      <c r="H1286" s="19">
        <f>UPPER(Table3[[#This Row],[Agen id]]&amp;"-"&amp;VLOOKUP(Table3[[#This Row],[Agen id]],A:B,2,0)&amp;"("&amp;Table3[[#This Row],[Short]]&amp;")")</f>
        <v/>
      </c>
      <c r="J1286" s="7">
        <f>VLOOKUP(Table3[[#This Row],[Agen id]],Agen!A:C,3,0)</f>
        <v/>
      </c>
      <c r="K1286" s="37">
        <f>TRIM(LEFT(Table3[[#This Row],[Group]],2))</f>
        <v/>
      </c>
      <c r="L1286" s="3" t="inlineStr">
        <is>
          <t>NON SALES</t>
        </is>
      </c>
    </row>
    <row r="1287">
      <c r="A1287" s="5" t="inlineStr">
        <is>
          <t>OP08214</t>
        </is>
      </c>
      <c r="B1287" s="6" t="inlineStr">
        <is>
          <t>Ujang Sumarna</t>
        </is>
      </c>
      <c r="C1287" s="7" t="inlineStr">
        <is>
          <t>AV - Agen Verified</t>
        </is>
      </c>
      <c r="D1287" s="1" t="inlineStr">
        <is>
          <t>OP00002</t>
        </is>
      </c>
      <c r="E1287" s="8" t="n">
        <v>45148.03333333333</v>
      </c>
      <c r="F1287" s="7" t="inlineStr">
        <is>
          <t>AGEN</t>
        </is>
      </c>
      <c r="G1287" s="18" t="inlineStr">
        <is>
          <t>OP08214</t>
        </is>
      </c>
      <c r="H1287" s="19">
        <f>UPPER(Table3[[#This Row],[Agen id]]&amp;"-"&amp;VLOOKUP(Table3[[#This Row],[Agen id]],A:B,2,0)&amp;"("&amp;Table3[[#This Row],[Short]]&amp;")")</f>
        <v/>
      </c>
      <c r="J1287" s="7">
        <f>VLOOKUP(Table3[[#This Row],[Agen id]],Agen!A:C,3,0)</f>
        <v/>
      </c>
      <c r="K1287" s="37">
        <f>TRIM(LEFT(Table3[[#This Row],[Group]],2))</f>
        <v/>
      </c>
      <c r="L1287" s="3" t="inlineStr">
        <is>
          <t>NON SALES</t>
        </is>
      </c>
    </row>
    <row r="1288">
      <c r="A1288" s="5" t="inlineStr">
        <is>
          <t>OP08218</t>
        </is>
      </c>
      <c r="B1288" s="6" t="inlineStr">
        <is>
          <t>RESTOEBUMI Cell</t>
        </is>
      </c>
      <c r="C1288" s="7" t="inlineStr">
        <is>
          <t>AB1 - Agen Kab Bogor</t>
        </is>
      </c>
      <c r="D1288" s="1" t="inlineStr">
        <is>
          <t>OP07367</t>
        </is>
      </c>
      <c r="E1288" s="8" t="n">
        <v>45148.45625</v>
      </c>
      <c r="F1288" s="7" t="inlineStr">
        <is>
          <t>AGEN</t>
        </is>
      </c>
      <c r="G1288" s="18" t="inlineStr">
        <is>
          <t>OP08218</t>
        </is>
      </c>
      <c r="H1288" s="19">
        <f>UPPER(Table3[[#This Row],[Agen id]]&amp;"-"&amp;VLOOKUP(Table3[[#This Row],[Agen id]],A:B,2,0)&amp;"("&amp;Table3[[#This Row],[Short]]&amp;")")</f>
        <v/>
      </c>
      <c r="J1288" s="7">
        <f>VLOOKUP(Table3[[#This Row],[Agen id]],Agen!A:C,3,0)</f>
        <v/>
      </c>
      <c r="K1288" s="37">
        <f>TRIM(LEFT(Table3[[#This Row],[Group]],2))</f>
        <v/>
      </c>
      <c r="L1288" s="3" t="inlineStr">
        <is>
          <t>ARIS</t>
        </is>
      </c>
    </row>
    <row r="1289">
      <c r="A1289" s="5" t="inlineStr">
        <is>
          <t>OP08228</t>
        </is>
      </c>
      <c r="B1289" s="6" t="inlineStr">
        <is>
          <t>Badru</t>
        </is>
      </c>
      <c r="C1289" s="7" t="inlineStr">
        <is>
          <t>A - Agen</t>
        </is>
      </c>
      <c r="D1289" s="1" t="inlineStr">
        <is>
          <t>OP00002</t>
        </is>
      </c>
      <c r="E1289" s="8" t="n">
        <v>45149.23194444444</v>
      </c>
      <c r="F1289" s="7" t="inlineStr">
        <is>
          <t>AGEN</t>
        </is>
      </c>
      <c r="G1289" s="18" t="inlineStr">
        <is>
          <t>OP08228</t>
        </is>
      </c>
      <c r="H1289" s="19">
        <f>UPPER(Table3[[#This Row],[Agen id]]&amp;"-"&amp;VLOOKUP(Table3[[#This Row],[Agen id]],A:B,2,0)&amp;"("&amp;Table3[[#This Row],[Short]]&amp;")")</f>
        <v/>
      </c>
      <c r="J1289" s="7">
        <f>VLOOKUP(Table3[[#This Row],[Agen id]],Agen!A:C,3,0)</f>
        <v/>
      </c>
      <c r="K1289" s="37">
        <f>TRIM(LEFT(Table3[[#This Row],[Group]],2))</f>
        <v/>
      </c>
      <c r="L1289" s="3" t="inlineStr">
        <is>
          <t>NON SALES</t>
        </is>
      </c>
    </row>
    <row r="1290">
      <c r="A1290" s="5" t="inlineStr">
        <is>
          <t>OP08233</t>
        </is>
      </c>
      <c r="B1290" s="6" t="inlineStr">
        <is>
          <t>RD CELL</t>
        </is>
      </c>
      <c r="C1290" s="7" t="inlineStr">
        <is>
          <t>AB1 - Agen Kab Bogor</t>
        </is>
      </c>
      <c r="D1290" s="1" t="inlineStr">
        <is>
          <t>OP07367</t>
        </is>
      </c>
      <c r="E1290" s="8" t="n">
        <v>45149.58680555555</v>
      </c>
      <c r="F1290" s="7" t="inlineStr">
        <is>
          <t>AGEN</t>
        </is>
      </c>
      <c r="G1290" s="18" t="inlineStr">
        <is>
          <t>OP08233</t>
        </is>
      </c>
      <c r="H1290" s="19">
        <f>UPPER(Table3[[#This Row],[Agen id]]&amp;"-"&amp;VLOOKUP(Table3[[#This Row],[Agen id]],A:B,2,0)&amp;"("&amp;Table3[[#This Row],[Short]]&amp;")")</f>
        <v/>
      </c>
      <c r="J1290" s="7">
        <f>VLOOKUP(Table3[[#This Row],[Agen id]],Agen!A:C,3,0)</f>
        <v/>
      </c>
      <c r="K1290" s="37">
        <f>TRIM(LEFT(Table3[[#This Row],[Group]],2))</f>
        <v/>
      </c>
      <c r="L1290" s="3" t="inlineStr">
        <is>
          <t>ARIS</t>
        </is>
      </c>
    </row>
    <row r="1291">
      <c r="A1291" s="5" t="inlineStr">
        <is>
          <t>OP08242</t>
        </is>
      </c>
      <c r="B1291" s="6" t="inlineStr">
        <is>
          <t>Jauzy</t>
        </is>
      </c>
      <c r="C1291" s="7" t="inlineStr">
        <is>
          <t>AT1 - Agen Tangerang</t>
        </is>
      </c>
      <c r="D1291" s="1" t="inlineStr">
        <is>
          <t>OP07683</t>
        </is>
      </c>
      <c r="E1291" s="8" t="n">
        <v>45150.54097222222</v>
      </c>
      <c r="F1291" s="7" t="inlineStr">
        <is>
          <t>AGEN</t>
        </is>
      </c>
      <c r="G1291" s="18" t="inlineStr">
        <is>
          <t>OP08242</t>
        </is>
      </c>
      <c r="H1291" s="19">
        <f>UPPER(Table3[[#This Row],[Agen id]]&amp;"-"&amp;VLOOKUP(Table3[[#This Row],[Agen id]],A:B,2,0)&amp;"("&amp;Table3[[#This Row],[Short]]&amp;")")</f>
        <v/>
      </c>
      <c r="J1291" s="7">
        <f>VLOOKUP(Table3[[#This Row],[Agen id]],Agen!A:C,3,0)</f>
        <v/>
      </c>
      <c r="K1291" s="37">
        <f>TRIM(LEFT(Table3[[#This Row],[Group]],2))</f>
        <v/>
      </c>
      <c r="L1291" s="3" t="inlineStr">
        <is>
          <t>AZIZ</t>
        </is>
      </c>
    </row>
    <row r="1292">
      <c r="A1292" s="5" t="inlineStr">
        <is>
          <t>OP08244</t>
        </is>
      </c>
      <c r="B1292" s="6" t="inlineStr">
        <is>
          <t>Rizki Cell</t>
        </is>
      </c>
      <c r="C1292" s="7" t="inlineStr">
        <is>
          <t>AB1 - Agen Kab Bogor</t>
        </is>
      </c>
      <c r="D1292" s="1" t="inlineStr">
        <is>
          <t>OP07367</t>
        </is>
      </c>
      <c r="E1292" s="8" t="n">
        <v>45150.57986111111</v>
      </c>
      <c r="F1292" s="7" t="inlineStr">
        <is>
          <t>AGEN</t>
        </is>
      </c>
      <c r="G1292" s="18" t="inlineStr">
        <is>
          <t>OP08244</t>
        </is>
      </c>
      <c r="H1292" s="19">
        <f>UPPER(Table3[[#This Row],[Agen id]]&amp;"-"&amp;VLOOKUP(Table3[[#This Row],[Agen id]],A:B,2,0)&amp;"("&amp;Table3[[#This Row],[Short]]&amp;")")</f>
        <v/>
      </c>
      <c r="J1292" s="7">
        <f>VLOOKUP(Table3[[#This Row],[Agen id]],Agen!A:C,3,0)</f>
        <v/>
      </c>
      <c r="K1292" s="37">
        <f>TRIM(LEFT(Table3[[#This Row],[Group]],2))</f>
        <v/>
      </c>
      <c r="L1292" s="3" t="inlineStr">
        <is>
          <t>ARIS</t>
        </is>
      </c>
    </row>
    <row r="1293">
      <c r="A1293" s="5" t="inlineStr">
        <is>
          <t>OP08245</t>
        </is>
      </c>
      <c r="B1293" s="6" t="inlineStr">
        <is>
          <t>BENITA CELL</t>
        </is>
      </c>
      <c r="C1293" s="7" t="inlineStr">
        <is>
          <t>AV - Agen Verified</t>
        </is>
      </c>
      <c r="D1293" s="1" t="inlineStr">
        <is>
          <t>OP08088</t>
        </is>
      </c>
      <c r="E1293" s="8" t="n">
        <v>45150.81388888889</v>
      </c>
      <c r="F1293" s="7" t="inlineStr">
        <is>
          <t>DOWNLINE</t>
        </is>
      </c>
      <c r="G1293" s="18" t="inlineStr">
        <is>
          <t>OP08088</t>
        </is>
      </c>
      <c r="H1293" s="19">
        <f>UPPER(Table3[[#This Row],[Agen id]]&amp;"-"&amp;VLOOKUP(Table3[[#This Row],[Agen id]],A:B,2,0)&amp;"("&amp;Table3[[#This Row],[Short]]&amp;")")</f>
        <v/>
      </c>
      <c r="J1293" s="7">
        <f>VLOOKUP(Table3[[#This Row],[Agen id]],Agen!A:C,3,0)</f>
        <v/>
      </c>
      <c r="K1293" s="37">
        <f>TRIM(LEFT(Table3[[#This Row],[Group]],2))</f>
        <v/>
      </c>
      <c r="L1293" s="3" t="inlineStr">
        <is>
          <t>NON SALES</t>
        </is>
      </c>
    </row>
    <row r="1294">
      <c r="A1294" s="5" t="inlineStr">
        <is>
          <t>OP08250</t>
        </is>
      </c>
      <c r="B1294" s="6" t="inlineStr">
        <is>
          <t>Nur sahama</t>
        </is>
      </c>
      <c r="C1294" s="7" t="inlineStr">
        <is>
          <t>AV - Agen Verified</t>
        </is>
      </c>
      <c r="D1294" s="1" t="inlineStr">
        <is>
          <t>OP00002</t>
        </is>
      </c>
      <c r="E1294" s="8" t="n">
        <v>45150.90625</v>
      </c>
      <c r="F1294" s="7" t="inlineStr">
        <is>
          <t>AGEN</t>
        </is>
      </c>
      <c r="G1294" s="18" t="inlineStr">
        <is>
          <t>OP08250</t>
        </is>
      </c>
      <c r="H1294" s="19">
        <f>UPPER(Table3[[#This Row],[Agen id]]&amp;"-"&amp;VLOOKUP(Table3[[#This Row],[Agen id]],A:B,2,0)&amp;"("&amp;Table3[[#This Row],[Short]]&amp;")")</f>
        <v/>
      </c>
      <c r="J1294" s="7">
        <f>VLOOKUP(Table3[[#This Row],[Agen id]],Agen!A:C,3,0)</f>
        <v/>
      </c>
      <c r="K1294" s="37">
        <f>TRIM(LEFT(Table3[[#This Row],[Group]],2))</f>
        <v/>
      </c>
      <c r="L1294" s="3" t="inlineStr">
        <is>
          <t>NON SALES</t>
        </is>
      </c>
    </row>
    <row r="1295">
      <c r="A1295" s="5" t="inlineStr">
        <is>
          <t>OP08257</t>
        </is>
      </c>
      <c r="B1295" s="6" t="inlineStr">
        <is>
          <t>Lutfia putri</t>
        </is>
      </c>
      <c r="C1295" s="7" t="inlineStr">
        <is>
          <t>A - Agen</t>
        </is>
      </c>
      <c r="D1295" s="1" t="inlineStr">
        <is>
          <t>OP00996</t>
        </is>
      </c>
      <c r="E1295" s="8" t="n">
        <v>45151.59236111111</v>
      </c>
      <c r="F1295" s="7" t="inlineStr">
        <is>
          <t>DOWNLINE</t>
        </is>
      </c>
      <c r="G1295" s="18" t="inlineStr">
        <is>
          <t>OP00996</t>
        </is>
      </c>
      <c r="H1295" s="19">
        <f>UPPER(Table3[[#This Row],[Agen id]]&amp;"-"&amp;VLOOKUP(Table3[[#This Row],[Agen id]],A:B,2,0)&amp;"("&amp;Table3[[#This Row],[Short]]&amp;")")</f>
        <v/>
      </c>
      <c r="J1295" s="7">
        <f>VLOOKUP(Table3[[#This Row],[Agen id]],Agen!A:C,3,0)</f>
        <v/>
      </c>
      <c r="K1295" s="37">
        <f>TRIM(LEFT(Table3[[#This Row],[Group]],2))</f>
        <v/>
      </c>
      <c r="L1295" s="3" t="inlineStr">
        <is>
          <t>NON SALES</t>
        </is>
      </c>
    </row>
    <row r="1296">
      <c r="A1296" s="5" t="inlineStr">
        <is>
          <t>OP08266</t>
        </is>
      </c>
      <c r="B1296" s="6" t="inlineStr">
        <is>
          <t>Harmen</t>
        </is>
      </c>
      <c r="C1296" s="7" t="inlineStr">
        <is>
          <t>AV - Agen Verified</t>
        </is>
      </c>
      <c r="D1296" s="1" t="inlineStr">
        <is>
          <t>OP00002</t>
        </is>
      </c>
      <c r="E1296" s="8" t="n">
        <v>45152.41944444444</v>
      </c>
      <c r="F1296" s="7" t="inlineStr">
        <is>
          <t>AGEN</t>
        </is>
      </c>
      <c r="G1296" s="18" t="inlineStr">
        <is>
          <t>OP08266</t>
        </is>
      </c>
      <c r="H1296" s="19">
        <f>UPPER(Table3[[#This Row],[Agen id]]&amp;"-"&amp;VLOOKUP(Table3[[#This Row],[Agen id]],A:B,2,0)&amp;"("&amp;Table3[[#This Row],[Short]]&amp;")")</f>
        <v/>
      </c>
      <c r="J1296" s="7">
        <f>VLOOKUP(Table3[[#This Row],[Agen id]],Agen!A:C,3,0)</f>
        <v/>
      </c>
      <c r="K1296" s="37">
        <f>TRIM(LEFT(Table3[[#This Row],[Group]],2))</f>
        <v/>
      </c>
      <c r="L1296" s="3" t="inlineStr">
        <is>
          <t>NON SALES</t>
        </is>
      </c>
    </row>
    <row r="1297">
      <c r="A1297" s="5" t="inlineStr">
        <is>
          <t>OP08270</t>
        </is>
      </c>
      <c r="B1297" s="6" t="inlineStr">
        <is>
          <t>Putri</t>
        </is>
      </c>
      <c r="C1297" s="7" t="inlineStr">
        <is>
          <t>AV - Agen Verified</t>
        </is>
      </c>
      <c r="D1297" s="1" t="inlineStr">
        <is>
          <t>OP00002</t>
        </is>
      </c>
      <c r="E1297" s="8" t="n">
        <v>45152.55486111111</v>
      </c>
      <c r="F1297" s="7" t="inlineStr">
        <is>
          <t>AGEN</t>
        </is>
      </c>
      <c r="G1297" s="18" t="inlineStr">
        <is>
          <t>OP08270</t>
        </is>
      </c>
      <c r="H1297" s="19">
        <f>UPPER(Table3[[#This Row],[Agen id]]&amp;"-"&amp;VLOOKUP(Table3[[#This Row],[Agen id]],A:B,2,0)&amp;"("&amp;Table3[[#This Row],[Short]]&amp;")")</f>
        <v/>
      </c>
      <c r="J1297" s="7">
        <f>VLOOKUP(Table3[[#This Row],[Agen id]],Agen!A:C,3,0)</f>
        <v/>
      </c>
      <c r="K1297" s="37">
        <f>TRIM(LEFT(Table3[[#This Row],[Group]],2))</f>
        <v/>
      </c>
      <c r="L1297" s="3" t="inlineStr">
        <is>
          <t>NON SALES</t>
        </is>
      </c>
    </row>
    <row r="1298">
      <c r="A1298" s="5" t="inlineStr">
        <is>
          <t>OP08271</t>
        </is>
      </c>
      <c r="B1298" s="6" t="inlineStr">
        <is>
          <t>Rizky</t>
        </is>
      </c>
      <c r="C1298" s="7" t="inlineStr">
        <is>
          <t>AV - Agen Verified</t>
        </is>
      </c>
      <c r="D1298" s="1" t="inlineStr">
        <is>
          <t>OP01502</t>
        </is>
      </c>
      <c r="E1298" s="8" t="n">
        <v>45152.56805555556</v>
      </c>
      <c r="F1298" s="7" t="inlineStr">
        <is>
          <t>DOWNLINE</t>
        </is>
      </c>
      <c r="G1298" s="18" t="inlineStr">
        <is>
          <t>OP01502</t>
        </is>
      </c>
      <c r="H1298" s="19">
        <f>UPPER(Table3[[#This Row],[Agen id]]&amp;"-"&amp;VLOOKUP(Table3[[#This Row],[Agen id]],A:B,2,0)&amp;"("&amp;Table3[[#This Row],[Short]]&amp;")")</f>
        <v/>
      </c>
      <c r="J1298" s="7">
        <f>VLOOKUP(Table3[[#This Row],[Agen id]],Agen!A:C,3,0)</f>
        <v/>
      </c>
      <c r="K1298" s="37">
        <f>TRIM(LEFT(Table3[[#This Row],[Group]],2))</f>
        <v/>
      </c>
      <c r="L1298" s="3" t="inlineStr">
        <is>
          <t>NON SALES</t>
        </is>
      </c>
    </row>
    <row r="1299">
      <c r="A1299" s="5" t="inlineStr">
        <is>
          <t>OP08272</t>
        </is>
      </c>
      <c r="B1299" s="6" t="inlineStr">
        <is>
          <t>Iyan</t>
        </is>
      </c>
      <c r="C1299" s="7" t="inlineStr">
        <is>
          <t>AV - Agen Verified</t>
        </is>
      </c>
      <c r="D1299" s="1" t="inlineStr">
        <is>
          <t>OP00002</t>
        </is>
      </c>
      <c r="E1299" s="8" t="n">
        <v>45152.58541666667</v>
      </c>
      <c r="F1299" s="7" t="inlineStr">
        <is>
          <t>AGEN</t>
        </is>
      </c>
      <c r="G1299" s="18" t="inlineStr">
        <is>
          <t>OP08272</t>
        </is>
      </c>
      <c r="H1299" s="19">
        <f>UPPER(Table3[[#This Row],[Agen id]]&amp;"-"&amp;VLOOKUP(Table3[[#This Row],[Agen id]],A:B,2,0)&amp;"("&amp;Table3[[#This Row],[Short]]&amp;")")</f>
        <v/>
      </c>
      <c r="J1299" s="7">
        <f>VLOOKUP(Table3[[#This Row],[Agen id]],Agen!A:C,3,0)</f>
        <v/>
      </c>
      <c r="K1299" s="37">
        <f>TRIM(LEFT(Table3[[#This Row],[Group]],2))</f>
        <v/>
      </c>
      <c r="L1299" s="3" t="inlineStr">
        <is>
          <t>NON SALES</t>
        </is>
      </c>
    </row>
    <row r="1300">
      <c r="A1300" s="5" t="inlineStr">
        <is>
          <t>OP08273</t>
        </is>
      </c>
      <c r="B1300" s="6" t="inlineStr">
        <is>
          <t>Adnan</t>
        </is>
      </c>
      <c r="C1300" s="7" t="inlineStr">
        <is>
          <t>AT1 - Agen Tangerang</t>
        </is>
      </c>
      <c r="D1300" s="1" t="inlineStr">
        <is>
          <t>OP07683</t>
        </is>
      </c>
      <c r="E1300" s="8" t="n">
        <v>45152.59861111111</v>
      </c>
      <c r="F1300" s="7" t="inlineStr">
        <is>
          <t>AGEN</t>
        </is>
      </c>
      <c r="G1300" s="18" t="inlineStr">
        <is>
          <t>OP08273</t>
        </is>
      </c>
      <c r="H1300" s="19">
        <f>UPPER(Table3[[#This Row],[Agen id]]&amp;"-"&amp;VLOOKUP(Table3[[#This Row],[Agen id]],A:B,2,0)&amp;"("&amp;Table3[[#This Row],[Short]]&amp;")")</f>
        <v/>
      </c>
      <c r="J1300" s="7">
        <f>VLOOKUP(Table3[[#This Row],[Agen id]],Agen!A:C,3,0)</f>
        <v/>
      </c>
      <c r="K1300" s="37">
        <f>TRIM(LEFT(Table3[[#This Row],[Group]],2))</f>
        <v/>
      </c>
      <c r="L1300" s="3" t="inlineStr">
        <is>
          <t>AZIZ</t>
        </is>
      </c>
    </row>
    <row r="1301">
      <c r="A1301" s="5" t="inlineStr">
        <is>
          <t>OP08277</t>
        </is>
      </c>
      <c r="B1301" s="6" t="inlineStr">
        <is>
          <t>AHMAD J</t>
        </is>
      </c>
      <c r="C1301" s="7" t="inlineStr">
        <is>
          <t>A - Agen</t>
        </is>
      </c>
      <c r="D1301" s="1" t="inlineStr">
        <is>
          <t>OP00002</t>
        </is>
      </c>
      <c r="E1301" s="8" t="n">
        <v>45152.84236111111</v>
      </c>
      <c r="F1301" s="7" t="inlineStr">
        <is>
          <t>AGEN</t>
        </is>
      </c>
      <c r="G1301" s="18" t="inlineStr">
        <is>
          <t>OP08277</t>
        </is>
      </c>
      <c r="H1301" s="19">
        <f>UPPER(Table3[[#This Row],[Agen id]]&amp;"-"&amp;VLOOKUP(Table3[[#This Row],[Agen id]],A:B,2,0)&amp;"("&amp;Table3[[#This Row],[Short]]&amp;")")</f>
        <v/>
      </c>
      <c r="J1301" s="7">
        <f>VLOOKUP(Table3[[#This Row],[Agen id]],Agen!A:C,3,0)</f>
        <v/>
      </c>
      <c r="K1301" s="37">
        <f>TRIM(LEFT(Table3[[#This Row],[Group]],2))</f>
        <v/>
      </c>
      <c r="L1301" s="3" t="inlineStr">
        <is>
          <t>NON SALES</t>
        </is>
      </c>
    </row>
    <row r="1302">
      <c r="A1302" s="5" t="inlineStr">
        <is>
          <t>OP08278</t>
        </is>
      </c>
      <c r="B1302" s="6" t="inlineStr">
        <is>
          <t>ujangsu964</t>
        </is>
      </c>
      <c r="C1302" s="7" t="inlineStr">
        <is>
          <t>A - Agen</t>
        </is>
      </c>
      <c r="D1302" s="1" t="inlineStr">
        <is>
          <t>OP00002</t>
        </is>
      </c>
      <c r="E1302" s="8" t="n">
        <v>45152.84930555556</v>
      </c>
      <c r="F1302" s="7" t="inlineStr">
        <is>
          <t>AGEN</t>
        </is>
      </c>
      <c r="G1302" s="18" t="inlineStr">
        <is>
          <t>OP08278</t>
        </is>
      </c>
      <c r="H1302" s="19">
        <f>UPPER(Table3[[#This Row],[Agen id]]&amp;"-"&amp;VLOOKUP(Table3[[#This Row],[Agen id]],A:B,2,0)&amp;"("&amp;Table3[[#This Row],[Short]]&amp;")")</f>
        <v/>
      </c>
      <c r="J1302" s="7">
        <f>VLOOKUP(Table3[[#This Row],[Agen id]],Agen!A:C,3,0)</f>
        <v/>
      </c>
      <c r="K1302" s="37">
        <f>TRIM(LEFT(Table3[[#This Row],[Group]],2))</f>
        <v/>
      </c>
      <c r="L1302" s="3" t="inlineStr">
        <is>
          <t>NON SALES</t>
        </is>
      </c>
    </row>
    <row r="1303">
      <c r="A1303" s="5" t="inlineStr">
        <is>
          <t>OP08284</t>
        </is>
      </c>
      <c r="B1303" s="6" t="inlineStr">
        <is>
          <t>Rian</t>
        </is>
      </c>
      <c r="C1303" s="7" t="inlineStr">
        <is>
          <t>AT1 - Agen Tangerang</t>
        </is>
      </c>
      <c r="D1303" s="1" t="inlineStr">
        <is>
          <t>OP07683</t>
        </is>
      </c>
      <c r="E1303" s="8" t="n">
        <v>45153.61597222222</v>
      </c>
      <c r="F1303" s="7" t="inlineStr">
        <is>
          <t>AGEN</t>
        </is>
      </c>
      <c r="G1303" s="18" t="inlineStr">
        <is>
          <t>OP08284</t>
        </is>
      </c>
      <c r="H1303" s="19">
        <f>UPPER(Table3[[#This Row],[Agen id]]&amp;"-"&amp;VLOOKUP(Table3[[#This Row],[Agen id]],A:B,2,0)&amp;"("&amp;Table3[[#This Row],[Short]]&amp;")")</f>
        <v/>
      </c>
      <c r="J1303" s="7">
        <f>VLOOKUP(Table3[[#This Row],[Agen id]],Agen!A:C,3,0)</f>
        <v/>
      </c>
      <c r="K1303" s="37">
        <f>TRIM(LEFT(Table3[[#This Row],[Group]],2))</f>
        <v/>
      </c>
      <c r="L1303" s="3" t="inlineStr">
        <is>
          <t>AZIZ</t>
        </is>
      </c>
    </row>
    <row r="1304">
      <c r="A1304" s="5" t="inlineStr">
        <is>
          <t>OP08286</t>
        </is>
      </c>
      <c r="B1304" s="6" t="inlineStr">
        <is>
          <t>Wrg Kuningan</t>
        </is>
      </c>
      <c r="C1304" s="7" t="inlineStr">
        <is>
          <t>AV - Agen Verified</t>
        </is>
      </c>
      <c r="D1304" s="1" t="inlineStr">
        <is>
          <t>OP02182</t>
        </is>
      </c>
      <c r="E1304" s="8" t="n">
        <v>45153.7</v>
      </c>
      <c r="F1304" s="7" t="inlineStr">
        <is>
          <t>DOWNLINE</t>
        </is>
      </c>
      <c r="G1304" s="18" t="inlineStr">
        <is>
          <t>OP02182</t>
        </is>
      </c>
      <c r="H1304" s="19">
        <f>UPPER(Table3[[#This Row],[Agen id]]&amp;"-"&amp;VLOOKUP(Table3[[#This Row],[Agen id]],A:B,2,0)&amp;"("&amp;Table3[[#This Row],[Short]]&amp;")")</f>
        <v/>
      </c>
      <c r="J1304" s="7">
        <f>VLOOKUP(Table3[[#This Row],[Agen id]],Agen!A:C,3,0)</f>
        <v/>
      </c>
      <c r="K1304" s="37">
        <f>TRIM(LEFT(Table3[[#This Row],[Group]],2))</f>
        <v/>
      </c>
      <c r="L1304" s="3" t="inlineStr">
        <is>
          <t>NON SALES</t>
        </is>
      </c>
    </row>
    <row r="1305">
      <c r="A1305" s="5" t="inlineStr">
        <is>
          <t>OP08289</t>
        </is>
      </c>
      <c r="B1305" s="6" t="inlineStr">
        <is>
          <t>Rani Aryanti</t>
        </is>
      </c>
      <c r="C1305" s="7" t="inlineStr">
        <is>
          <t>AV - Agen Verified</t>
        </is>
      </c>
      <c r="D1305" s="1" t="inlineStr">
        <is>
          <t>OP00002</t>
        </is>
      </c>
      <c r="E1305" s="8" t="n">
        <v>45153.77152777778</v>
      </c>
      <c r="F1305" s="7" t="inlineStr">
        <is>
          <t>AGEN</t>
        </is>
      </c>
      <c r="G1305" s="18" t="inlineStr">
        <is>
          <t>OP08289</t>
        </is>
      </c>
      <c r="H1305" s="19">
        <f>UPPER(Table3[[#This Row],[Agen id]]&amp;"-"&amp;VLOOKUP(Table3[[#This Row],[Agen id]],A:B,2,0)&amp;"("&amp;Table3[[#This Row],[Short]]&amp;")")</f>
        <v/>
      </c>
      <c r="J1305" s="7">
        <f>VLOOKUP(Table3[[#This Row],[Agen id]],Agen!A:C,3,0)</f>
        <v/>
      </c>
      <c r="K1305" s="37">
        <f>TRIM(LEFT(Table3[[#This Row],[Group]],2))</f>
        <v/>
      </c>
      <c r="L1305" s="3" t="inlineStr">
        <is>
          <t>NON SALES</t>
        </is>
      </c>
    </row>
    <row r="1306">
      <c r="A1306" s="5" t="inlineStr">
        <is>
          <t>OP08298</t>
        </is>
      </c>
      <c r="B1306" s="6" t="inlineStr">
        <is>
          <t>TOKO SEJAHTERA</t>
        </is>
      </c>
      <c r="C1306" s="7" t="inlineStr">
        <is>
          <t>AV - Agen Verified</t>
        </is>
      </c>
      <c r="D1306" s="1" t="inlineStr">
        <is>
          <t>OP00304</t>
        </is>
      </c>
      <c r="E1306" s="8" t="n">
        <v>45154.53472222222</v>
      </c>
      <c r="F1306" s="7" t="inlineStr">
        <is>
          <t>DOWNLINE</t>
        </is>
      </c>
      <c r="G1306" s="18" t="inlineStr">
        <is>
          <t>OP00304</t>
        </is>
      </c>
      <c r="H1306" s="19">
        <f>UPPER(Table3[[#This Row],[Agen id]]&amp;"-"&amp;VLOOKUP(Table3[[#This Row],[Agen id]],A:B,2,0)&amp;"("&amp;Table3[[#This Row],[Short]]&amp;")")</f>
        <v/>
      </c>
      <c r="J1306" s="7">
        <f>VLOOKUP(Table3[[#This Row],[Agen id]],Agen!A:C,3,0)</f>
        <v/>
      </c>
      <c r="K1306" s="37">
        <f>TRIM(LEFT(Table3[[#This Row],[Group]],2))</f>
        <v/>
      </c>
      <c r="L1306" s="3" t="inlineStr">
        <is>
          <t>NON SALES</t>
        </is>
      </c>
    </row>
    <row r="1307">
      <c r="A1307" s="5" t="inlineStr">
        <is>
          <t>OP08304</t>
        </is>
      </c>
      <c r="B1307" s="6" t="inlineStr">
        <is>
          <t>tirta kencana</t>
        </is>
      </c>
      <c r="C1307" s="7" t="inlineStr">
        <is>
          <t>A - Agen</t>
        </is>
      </c>
      <c r="D1307" s="1" t="inlineStr">
        <is>
          <t>OP00036</t>
        </is>
      </c>
      <c r="E1307" s="8" t="n">
        <v>45154.66736111111</v>
      </c>
      <c r="F1307" s="7" t="inlineStr">
        <is>
          <t>DOWNLINE</t>
        </is>
      </c>
      <c r="G1307" s="18" t="inlineStr">
        <is>
          <t>OP00036</t>
        </is>
      </c>
      <c r="H1307" s="19">
        <f>UPPER(Table3[[#This Row],[Agen id]]&amp;"-"&amp;VLOOKUP(Table3[[#This Row],[Agen id]],A:B,2,0)&amp;"("&amp;Table3[[#This Row],[Short]]&amp;")")</f>
        <v/>
      </c>
      <c r="J1307" s="7">
        <f>VLOOKUP(Table3[[#This Row],[Agen id]],Agen!A:C,3,0)</f>
        <v/>
      </c>
      <c r="K1307" s="37">
        <f>TRIM(LEFT(Table3[[#This Row],[Group]],2))</f>
        <v/>
      </c>
      <c r="L1307" s="3" t="inlineStr">
        <is>
          <t>NON SALES</t>
        </is>
      </c>
    </row>
    <row r="1308">
      <c r="A1308" s="5" t="inlineStr">
        <is>
          <t>OP08305</t>
        </is>
      </c>
      <c r="B1308" s="6" t="inlineStr">
        <is>
          <t>Berkah cell</t>
        </is>
      </c>
      <c r="C1308" s="7" t="inlineStr">
        <is>
          <t>A - Agen</t>
        </is>
      </c>
      <c r="D1308" s="1" t="inlineStr">
        <is>
          <t>OP00002</t>
        </is>
      </c>
      <c r="E1308" s="8" t="n">
        <v>45154.67361111111</v>
      </c>
      <c r="F1308" s="7" t="inlineStr">
        <is>
          <t>AGEN</t>
        </is>
      </c>
      <c r="G1308" s="18" t="inlineStr">
        <is>
          <t>OP08305</t>
        </is>
      </c>
      <c r="H1308" s="19">
        <f>UPPER(Table3[[#This Row],[Agen id]]&amp;"-"&amp;VLOOKUP(Table3[[#This Row],[Agen id]],A:B,2,0)&amp;"("&amp;Table3[[#This Row],[Short]]&amp;")")</f>
        <v/>
      </c>
      <c r="J1308" s="7">
        <f>VLOOKUP(Table3[[#This Row],[Agen id]],Agen!A:C,3,0)</f>
        <v/>
      </c>
      <c r="K1308" s="37">
        <f>TRIM(LEFT(Table3[[#This Row],[Group]],2))</f>
        <v/>
      </c>
      <c r="L1308" s="3" t="inlineStr">
        <is>
          <t>NON SALES</t>
        </is>
      </c>
    </row>
    <row r="1309">
      <c r="A1309" s="5" t="inlineStr">
        <is>
          <t>OP08308</t>
        </is>
      </c>
      <c r="B1309" s="6" t="inlineStr">
        <is>
          <t>Gazamra cell</t>
        </is>
      </c>
      <c r="C1309" s="7" t="inlineStr">
        <is>
          <t>A - Agen</t>
        </is>
      </c>
      <c r="D1309" s="1" t="inlineStr">
        <is>
          <t>OP00002</t>
        </is>
      </c>
      <c r="E1309" s="8" t="n">
        <v>45154.73888888889</v>
      </c>
      <c r="F1309" s="7" t="inlineStr">
        <is>
          <t>AGEN</t>
        </is>
      </c>
      <c r="G1309" s="18" t="inlineStr">
        <is>
          <t>OP08308</t>
        </is>
      </c>
      <c r="H1309" s="19">
        <f>UPPER(Table3[[#This Row],[Agen id]]&amp;"-"&amp;VLOOKUP(Table3[[#This Row],[Agen id]],A:B,2,0)&amp;"("&amp;Table3[[#This Row],[Short]]&amp;")")</f>
        <v/>
      </c>
      <c r="J1309" s="7">
        <f>VLOOKUP(Table3[[#This Row],[Agen id]],Agen!A:C,3,0)</f>
        <v/>
      </c>
      <c r="K1309" s="37">
        <f>TRIM(LEFT(Table3[[#This Row],[Group]],2))</f>
        <v/>
      </c>
      <c r="L1309" s="3" t="inlineStr">
        <is>
          <t>NON SALES</t>
        </is>
      </c>
    </row>
    <row r="1310">
      <c r="A1310" s="5" t="inlineStr">
        <is>
          <t>OP08311</t>
        </is>
      </c>
      <c r="B1310" s="6" t="inlineStr">
        <is>
          <t>Fatir Cell</t>
        </is>
      </c>
      <c r="C1310" s="7" t="inlineStr">
        <is>
          <t>A - Agen</t>
        </is>
      </c>
      <c r="D1310" s="1" t="inlineStr">
        <is>
          <t>OP00002</t>
        </is>
      </c>
      <c r="E1310" s="8" t="n">
        <v>45154.77291666667</v>
      </c>
      <c r="F1310" s="7" t="inlineStr">
        <is>
          <t>AGEN</t>
        </is>
      </c>
      <c r="G1310" s="18" t="inlineStr">
        <is>
          <t>OP08311</t>
        </is>
      </c>
      <c r="H1310" s="19">
        <f>UPPER(Table3[[#This Row],[Agen id]]&amp;"-"&amp;VLOOKUP(Table3[[#This Row],[Agen id]],A:B,2,0)&amp;"("&amp;Table3[[#This Row],[Short]]&amp;")")</f>
        <v/>
      </c>
      <c r="J1310" s="7">
        <f>VLOOKUP(Table3[[#This Row],[Agen id]],Agen!A:C,3,0)</f>
        <v/>
      </c>
      <c r="K1310" s="37">
        <f>TRIM(LEFT(Table3[[#This Row],[Group]],2))</f>
        <v/>
      </c>
      <c r="L1310" s="3" t="inlineStr">
        <is>
          <t>NON SALES</t>
        </is>
      </c>
    </row>
    <row r="1311">
      <c r="A1311" s="5" t="inlineStr">
        <is>
          <t>OP08312</t>
        </is>
      </c>
      <c r="B1311" s="6" t="inlineStr">
        <is>
          <t>Andhika Ariandi Pratama</t>
        </is>
      </c>
      <c r="C1311" s="7" t="inlineStr">
        <is>
          <t>AV - Agen Verified</t>
        </is>
      </c>
      <c r="D1311" s="1" t="inlineStr">
        <is>
          <t>OP00002</t>
        </is>
      </c>
      <c r="E1311" s="8" t="n">
        <v>45154.77361111111</v>
      </c>
      <c r="F1311" s="7" t="inlineStr">
        <is>
          <t>AGEN</t>
        </is>
      </c>
      <c r="G1311" s="18" t="inlineStr">
        <is>
          <t>OP08312</t>
        </is>
      </c>
      <c r="H1311" s="19">
        <f>UPPER(Table3[[#This Row],[Agen id]]&amp;"-"&amp;VLOOKUP(Table3[[#This Row],[Agen id]],A:B,2,0)&amp;"("&amp;Table3[[#This Row],[Short]]&amp;")")</f>
        <v/>
      </c>
      <c r="J1311" s="7">
        <f>VLOOKUP(Table3[[#This Row],[Agen id]],Agen!A:C,3,0)</f>
        <v/>
      </c>
      <c r="K1311" s="37">
        <f>TRIM(LEFT(Table3[[#This Row],[Group]],2))</f>
        <v/>
      </c>
      <c r="L1311" s="3" t="inlineStr">
        <is>
          <t>NON SALES</t>
        </is>
      </c>
    </row>
    <row r="1312">
      <c r="A1312" s="5" t="inlineStr">
        <is>
          <t>OP08320</t>
        </is>
      </c>
      <c r="B1312" s="6" t="inlineStr">
        <is>
          <t>Hendra Faturahman</t>
        </is>
      </c>
      <c r="C1312" s="7" t="inlineStr">
        <is>
          <t>A - Agen</t>
        </is>
      </c>
      <c r="D1312" s="1" t="inlineStr">
        <is>
          <t>OP00003</t>
        </is>
      </c>
      <c r="E1312" s="8" t="n">
        <v>45155.24722222222</v>
      </c>
      <c r="F1312" s="7" t="inlineStr">
        <is>
          <t>AGEN</t>
        </is>
      </c>
      <c r="G1312" s="18" t="inlineStr">
        <is>
          <t>OP08320</t>
        </is>
      </c>
      <c r="H1312" s="19">
        <f>UPPER(Table3[[#This Row],[Agen id]]&amp;"-"&amp;VLOOKUP(Table3[[#This Row],[Agen id]],A:B,2,0)&amp;"("&amp;Table3[[#This Row],[Short]]&amp;")")</f>
        <v/>
      </c>
      <c r="J1312" s="7">
        <f>VLOOKUP(Table3[[#This Row],[Agen id]],Agen!A:C,3,0)</f>
        <v/>
      </c>
      <c r="K1312" s="37">
        <f>TRIM(LEFT(Table3[[#This Row],[Group]],2))</f>
        <v/>
      </c>
      <c r="L1312" s="3" t="inlineStr">
        <is>
          <t>NON SALES</t>
        </is>
      </c>
    </row>
    <row r="1313">
      <c r="A1313" s="5" t="inlineStr">
        <is>
          <t>OP08334</t>
        </is>
      </c>
      <c r="B1313" s="6" t="inlineStr">
        <is>
          <t>Siska</t>
        </is>
      </c>
      <c r="C1313" s="7" t="inlineStr">
        <is>
          <t>A - Agen</t>
        </is>
      </c>
      <c r="D1313" s="1" t="inlineStr">
        <is>
          <t>OP00996</t>
        </is>
      </c>
      <c r="E1313" s="8" t="n">
        <v>45155.81597222222</v>
      </c>
      <c r="F1313" s="7" t="inlineStr">
        <is>
          <t>DOWNLINE</t>
        </is>
      </c>
      <c r="G1313" s="18" t="inlineStr">
        <is>
          <t>OP00996</t>
        </is>
      </c>
      <c r="H1313" s="19">
        <f>UPPER(Table3[[#This Row],[Agen id]]&amp;"-"&amp;VLOOKUP(Table3[[#This Row],[Agen id]],A:B,2,0)&amp;"("&amp;Table3[[#This Row],[Short]]&amp;")")</f>
        <v/>
      </c>
      <c r="J1313" s="7">
        <f>VLOOKUP(Table3[[#This Row],[Agen id]],Agen!A:C,3,0)</f>
        <v/>
      </c>
      <c r="K1313" s="37">
        <f>TRIM(LEFT(Table3[[#This Row],[Group]],2))</f>
        <v/>
      </c>
      <c r="L1313" s="3" t="inlineStr">
        <is>
          <t>NON SALES</t>
        </is>
      </c>
    </row>
    <row r="1314">
      <c r="A1314" s="5" t="inlineStr">
        <is>
          <t>OP08353</t>
        </is>
      </c>
      <c r="B1314" s="6" t="inlineStr">
        <is>
          <t>Vira Cell</t>
        </is>
      </c>
      <c r="C1314" s="7" t="inlineStr">
        <is>
          <t>AB1 - Agen Kab Bogor</t>
        </is>
      </c>
      <c r="D1314" s="1" t="inlineStr">
        <is>
          <t>OP07367</t>
        </is>
      </c>
      <c r="E1314" s="8" t="n">
        <v>45156.59027777778</v>
      </c>
      <c r="F1314" s="7" t="inlineStr">
        <is>
          <t>AGEN</t>
        </is>
      </c>
      <c r="G1314" s="18" t="inlineStr">
        <is>
          <t>OP08353</t>
        </is>
      </c>
      <c r="H1314" s="19">
        <f>UPPER(Table3[[#This Row],[Agen id]]&amp;"-"&amp;VLOOKUP(Table3[[#This Row],[Agen id]],A:B,2,0)&amp;"("&amp;Table3[[#This Row],[Short]]&amp;")")</f>
        <v/>
      </c>
      <c r="J1314" s="7">
        <f>VLOOKUP(Table3[[#This Row],[Agen id]],Agen!A:C,3,0)</f>
        <v/>
      </c>
      <c r="K1314" s="37">
        <f>TRIM(LEFT(Table3[[#This Row],[Group]],2))</f>
        <v/>
      </c>
      <c r="L1314" s="3" t="inlineStr">
        <is>
          <t>ARIS</t>
        </is>
      </c>
    </row>
    <row r="1315">
      <c r="A1315" s="5" t="inlineStr">
        <is>
          <t>OP08359</t>
        </is>
      </c>
      <c r="B1315" s="6" t="inlineStr">
        <is>
          <t>Hengki sanjaya</t>
        </is>
      </c>
      <c r="C1315" s="7" t="inlineStr">
        <is>
          <t>A - Agen</t>
        </is>
      </c>
      <c r="D1315" s="1" t="inlineStr">
        <is>
          <t>OP00002</t>
        </is>
      </c>
      <c r="E1315" s="8" t="n">
        <v>45156.81319444445</v>
      </c>
      <c r="F1315" s="7" t="inlineStr">
        <is>
          <t>AGEN</t>
        </is>
      </c>
      <c r="G1315" s="18" t="inlineStr">
        <is>
          <t>OP08359</t>
        </is>
      </c>
      <c r="H1315" s="19">
        <f>UPPER(Table3[[#This Row],[Agen id]]&amp;"-"&amp;VLOOKUP(Table3[[#This Row],[Agen id]],A:B,2,0)&amp;"("&amp;Table3[[#This Row],[Short]]&amp;")")</f>
        <v/>
      </c>
      <c r="J1315" s="7">
        <f>VLOOKUP(Table3[[#This Row],[Agen id]],Agen!A:C,3,0)</f>
        <v/>
      </c>
      <c r="K1315" s="37">
        <f>TRIM(LEFT(Table3[[#This Row],[Group]],2))</f>
        <v/>
      </c>
      <c r="L1315" s="3" t="inlineStr">
        <is>
          <t>NON SALES</t>
        </is>
      </c>
    </row>
    <row r="1316">
      <c r="A1316" s="5" t="inlineStr">
        <is>
          <t>OP08379</t>
        </is>
      </c>
      <c r="B1316" s="6" t="inlineStr">
        <is>
          <t>AIL CELL</t>
        </is>
      </c>
      <c r="C1316" s="7" t="inlineStr">
        <is>
          <t>AB1 - Agen Kab Bogor</t>
        </is>
      </c>
      <c r="D1316" s="1" t="inlineStr">
        <is>
          <t>OP07367</t>
        </is>
      </c>
      <c r="E1316" s="8" t="n">
        <v>45157.41736111111</v>
      </c>
      <c r="F1316" s="7" t="inlineStr">
        <is>
          <t>AGEN</t>
        </is>
      </c>
      <c r="G1316" s="18" t="inlineStr">
        <is>
          <t>OP08379</t>
        </is>
      </c>
      <c r="H1316" s="19">
        <f>UPPER(Table3[[#This Row],[Agen id]]&amp;"-"&amp;VLOOKUP(Table3[[#This Row],[Agen id]],A:B,2,0)&amp;"("&amp;Table3[[#This Row],[Short]]&amp;")")</f>
        <v/>
      </c>
      <c r="J1316" s="7">
        <f>VLOOKUP(Table3[[#This Row],[Agen id]],Agen!A:C,3,0)</f>
        <v/>
      </c>
      <c r="K1316" s="37">
        <f>TRIM(LEFT(Table3[[#This Row],[Group]],2))</f>
        <v/>
      </c>
      <c r="L1316" s="3" t="inlineStr">
        <is>
          <t>ARIS</t>
        </is>
      </c>
    </row>
    <row r="1317">
      <c r="A1317" s="5" t="inlineStr">
        <is>
          <t>OP08380</t>
        </is>
      </c>
      <c r="B1317" s="6" t="inlineStr">
        <is>
          <t>Desy</t>
        </is>
      </c>
      <c r="C1317" s="7" t="inlineStr">
        <is>
          <t>A - Agen</t>
        </is>
      </c>
      <c r="D1317" s="1" t="inlineStr">
        <is>
          <t>OP00002</t>
        </is>
      </c>
      <c r="E1317" s="8" t="n">
        <v>45157.42222222222</v>
      </c>
      <c r="F1317" s="7" t="inlineStr">
        <is>
          <t>AGEN</t>
        </is>
      </c>
      <c r="G1317" s="18" t="inlineStr">
        <is>
          <t>OP08380</t>
        </is>
      </c>
      <c r="H1317" s="19">
        <f>UPPER(Table3[[#This Row],[Agen id]]&amp;"-"&amp;VLOOKUP(Table3[[#This Row],[Agen id]],A:B,2,0)&amp;"("&amp;Table3[[#This Row],[Short]]&amp;")")</f>
        <v/>
      </c>
      <c r="J1317" s="7">
        <f>VLOOKUP(Table3[[#This Row],[Agen id]],Agen!A:C,3,0)</f>
        <v/>
      </c>
      <c r="K1317" s="37">
        <f>TRIM(LEFT(Table3[[#This Row],[Group]],2))</f>
        <v/>
      </c>
      <c r="L1317" s="3" t="inlineStr">
        <is>
          <t>NON SALES</t>
        </is>
      </c>
    </row>
    <row r="1318">
      <c r="A1318" s="5" t="inlineStr">
        <is>
          <t>OP08383</t>
        </is>
      </c>
      <c r="B1318" s="6" t="inlineStr">
        <is>
          <t>Yanticell</t>
        </is>
      </c>
      <c r="C1318" s="7" t="inlineStr">
        <is>
          <t>A - Agen</t>
        </is>
      </c>
      <c r="D1318" s="1" t="inlineStr">
        <is>
          <t>OP00091</t>
        </is>
      </c>
      <c r="E1318" s="8" t="n">
        <v>45157.48333333333</v>
      </c>
      <c r="F1318" s="7" t="inlineStr">
        <is>
          <t>DOWNLINE</t>
        </is>
      </c>
      <c r="G1318" s="18" t="inlineStr">
        <is>
          <t>OP00091</t>
        </is>
      </c>
      <c r="H1318" s="19">
        <f>UPPER(Table3[[#This Row],[Agen id]]&amp;"-"&amp;VLOOKUP(Table3[[#This Row],[Agen id]],A:B,2,0)&amp;"("&amp;Table3[[#This Row],[Short]]&amp;")")</f>
        <v/>
      </c>
      <c r="J1318" s="7">
        <f>VLOOKUP(Table3[[#This Row],[Agen id]],Agen!A:C,3,0)</f>
        <v/>
      </c>
      <c r="K1318" s="37">
        <f>TRIM(LEFT(Table3[[#This Row],[Group]],2))</f>
        <v/>
      </c>
      <c r="L1318" s="3" t="inlineStr">
        <is>
          <t>NON SALES</t>
        </is>
      </c>
    </row>
    <row r="1319">
      <c r="A1319" s="5" t="inlineStr">
        <is>
          <t>OP08392</t>
        </is>
      </c>
      <c r="B1319" s="6" t="inlineStr">
        <is>
          <t>rigina</t>
        </is>
      </c>
      <c r="C1319" s="7" t="inlineStr">
        <is>
          <t>AT1 - Agen Tangerang</t>
        </is>
      </c>
      <c r="D1319" s="1" t="inlineStr">
        <is>
          <t>OP07683</t>
        </is>
      </c>
      <c r="E1319" s="8" t="n">
        <v>45157.66805555556</v>
      </c>
      <c r="F1319" s="7" t="inlineStr">
        <is>
          <t>AGEN</t>
        </is>
      </c>
      <c r="G1319" s="18" t="inlineStr">
        <is>
          <t>OP08392</t>
        </is>
      </c>
      <c r="H1319" s="19">
        <f>UPPER(Table3[[#This Row],[Agen id]]&amp;"-"&amp;VLOOKUP(Table3[[#This Row],[Agen id]],A:B,2,0)&amp;"("&amp;Table3[[#This Row],[Short]]&amp;")")</f>
        <v/>
      </c>
      <c r="J1319" s="7">
        <f>VLOOKUP(Table3[[#This Row],[Agen id]],Agen!A:C,3,0)</f>
        <v/>
      </c>
      <c r="K1319" s="37">
        <f>TRIM(LEFT(Table3[[#This Row],[Group]],2))</f>
        <v/>
      </c>
      <c r="L1319" s="3" t="inlineStr">
        <is>
          <t>AZIZ</t>
        </is>
      </c>
    </row>
    <row r="1320">
      <c r="A1320" s="5" t="inlineStr">
        <is>
          <t>OP08398</t>
        </is>
      </c>
      <c r="B1320" s="6" t="inlineStr">
        <is>
          <t>MusMustofa67</t>
        </is>
      </c>
      <c r="C1320" s="7" t="inlineStr">
        <is>
          <t>A - Agen</t>
        </is>
      </c>
      <c r="D1320" s="1" t="inlineStr">
        <is>
          <t>OP00002</t>
        </is>
      </c>
      <c r="E1320" s="8" t="n">
        <v>45158.01805555556</v>
      </c>
      <c r="F1320" s="7" t="inlineStr">
        <is>
          <t>AGEN</t>
        </is>
      </c>
      <c r="G1320" s="18" t="inlineStr">
        <is>
          <t>OP08398</t>
        </is>
      </c>
      <c r="H1320" s="19">
        <f>UPPER(Table3[[#This Row],[Agen id]]&amp;"-"&amp;VLOOKUP(Table3[[#This Row],[Agen id]],A:B,2,0)&amp;"("&amp;Table3[[#This Row],[Short]]&amp;")")</f>
        <v/>
      </c>
      <c r="J1320" s="7">
        <f>VLOOKUP(Table3[[#This Row],[Agen id]],Agen!A:C,3,0)</f>
        <v/>
      </c>
      <c r="K1320" s="37">
        <f>TRIM(LEFT(Table3[[#This Row],[Group]],2))</f>
        <v/>
      </c>
      <c r="L1320" s="3" t="inlineStr">
        <is>
          <t>NON SALES</t>
        </is>
      </c>
    </row>
    <row r="1321">
      <c r="A1321" s="5" t="inlineStr">
        <is>
          <t>OP08405</t>
        </is>
      </c>
      <c r="B1321" s="6" t="inlineStr">
        <is>
          <t>FI PONSEL</t>
        </is>
      </c>
      <c r="C1321" s="7" t="inlineStr">
        <is>
          <t>A - Agen</t>
        </is>
      </c>
      <c r="D1321" s="1" t="inlineStr">
        <is>
          <t>OP00002</t>
        </is>
      </c>
      <c r="E1321" s="8" t="n">
        <v>45158.28472222222</v>
      </c>
      <c r="F1321" s="7" t="inlineStr">
        <is>
          <t>AGEN</t>
        </is>
      </c>
      <c r="G1321" s="18" t="inlineStr">
        <is>
          <t>OP08405</t>
        </is>
      </c>
      <c r="H1321" s="19">
        <f>UPPER(Table3[[#This Row],[Agen id]]&amp;"-"&amp;VLOOKUP(Table3[[#This Row],[Agen id]],A:B,2,0)&amp;"("&amp;Table3[[#This Row],[Short]]&amp;")")</f>
        <v/>
      </c>
      <c r="J1321" s="7">
        <f>VLOOKUP(Table3[[#This Row],[Agen id]],Agen!A:C,3,0)</f>
        <v/>
      </c>
      <c r="K1321" s="37">
        <f>TRIM(LEFT(Table3[[#This Row],[Group]],2))</f>
        <v/>
      </c>
      <c r="L1321" s="3" t="inlineStr">
        <is>
          <t>NON SALES</t>
        </is>
      </c>
    </row>
    <row r="1322">
      <c r="A1322" s="5" t="inlineStr">
        <is>
          <t>OP08452</t>
        </is>
      </c>
      <c r="B1322" s="6" t="inlineStr">
        <is>
          <t>KIOS BERKAT 2</t>
        </is>
      </c>
      <c r="C1322" s="7" t="inlineStr">
        <is>
          <t>MK - Marketing</t>
        </is>
      </c>
      <c r="D1322" s="1" t="inlineStr">
        <is>
          <t>OP01928</t>
        </is>
      </c>
      <c r="E1322" s="8" t="n">
        <v>45159.74791666667</v>
      </c>
      <c r="F1322" s="7" t="inlineStr">
        <is>
          <t>DOWNLINE</t>
        </is>
      </c>
      <c r="G1322" s="18" t="inlineStr">
        <is>
          <t>OP01928</t>
        </is>
      </c>
      <c r="H1322" s="19">
        <f>UPPER(Table3[[#This Row],[Agen id]]&amp;"-"&amp;VLOOKUP(Table3[[#This Row],[Agen id]],A:B,2,0)&amp;"("&amp;Table3[[#This Row],[Short]]&amp;")")</f>
        <v/>
      </c>
      <c r="J1322" s="7">
        <f>VLOOKUP(Table3[[#This Row],[Agen id]],Agen!A:C,3,0)</f>
        <v/>
      </c>
      <c r="K1322" s="37">
        <f>TRIM(LEFT(Table3[[#This Row],[Group]],2))</f>
        <v/>
      </c>
      <c r="L1322" s="3" t="inlineStr">
        <is>
          <t>NON SALES</t>
        </is>
      </c>
    </row>
    <row r="1323">
      <c r="A1323" s="5" t="inlineStr">
        <is>
          <t>OP08458</t>
        </is>
      </c>
      <c r="B1323" s="6" t="inlineStr">
        <is>
          <t>Winda rahayu</t>
        </is>
      </c>
      <c r="C1323" s="7" t="inlineStr">
        <is>
          <t>AB1 - Agen Kab Bogor</t>
        </is>
      </c>
      <c r="D1323" s="1" t="inlineStr">
        <is>
          <t>OP07367</t>
        </is>
      </c>
      <c r="E1323" s="8" t="n">
        <v>45159.84791666667</v>
      </c>
      <c r="F1323" s="7" t="inlineStr">
        <is>
          <t>AGEN</t>
        </is>
      </c>
      <c r="G1323" s="18" t="inlineStr">
        <is>
          <t>OP08458</t>
        </is>
      </c>
      <c r="H1323" s="19">
        <f>UPPER(Table3[[#This Row],[Agen id]]&amp;"-"&amp;VLOOKUP(Table3[[#This Row],[Agen id]],A:B,2,0)&amp;"("&amp;Table3[[#This Row],[Short]]&amp;")")</f>
        <v/>
      </c>
      <c r="J1323" s="7">
        <f>VLOOKUP(Table3[[#This Row],[Agen id]],Agen!A:C,3,0)</f>
        <v/>
      </c>
      <c r="K1323" s="37">
        <f>TRIM(LEFT(Table3[[#This Row],[Group]],2))</f>
        <v/>
      </c>
      <c r="L1323" s="3" t="inlineStr">
        <is>
          <t>ARIS</t>
        </is>
      </c>
    </row>
    <row r="1324">
      <c r="A1324" s="5" t="inlineStr">
        <is>
          <t>OP08482</t>
        </is>
      </c>
      <c r="B1324" s="6" t="inlineStr">
        <is>
          <t>Dede Apriyanti</t>
        </is>
      </c>
      <c r="C1324" s="7" t="inlineStr">
        <is>
          <t>A - Agen</t>
        </is>
      </c>
      <c r="D1324" s="1" t="inlineStr">
        <is>
          <t>OP00002</t>
        </is>
      </c>
      <c r="E1324" s="8" t="n">
        <v>45160.45277777778</v>
      </c>
      <c r="F1324" s="7" t="inlineStr">
        <is>
          <t>AGEN</t>
        </is>
      </c>
      <c r="G1324" s="18" t="inlineStr">
        <is>
          <t>OP08482</t>
        </is>
      </c>
      <c r="H1324" s="19">
        <f>UPPER(Table3[[#This Row],[Agen id]]&amp;"-"&amp;VLOOKUP(Table3[[#This Row],[Agen id]],A:B,2,0)&amp;"("&amp;Table3[[#This Row],[Short]]&amp;")")</f>
        <v/>
      </c>
      <c r="J1324" s="7">
        <f>VLOOKUP(Table3[[#This Row],[Agen id]],Agen!A:C,3,0)</f>
        <v/>
      </c>
      <c r="K1324" s="37">
        <f>TRIM(LEFT(Table3[[#This Row],[Group]],2))</f>
        <v/>
      </c>
      <c r="L1324" s="3" t="inlineStr">
        <is>
          <t>NON SALES</t>
        </is>
      </c>
    </row>
    <row r="1325">
      <c r="A1325" s="5" t="inlineStr">
        <is>
          <t>OP08487</t>
        </is>
      </c>
      <c r="B1325" s="6" t="inlineStr">
        <is>
          <t>Wildan</t>
        </is>
      </c>
      <c r="C1325" s="7" t="inlineStr">
        <is>
          <t>A - Agen</t>
        </is>
      </c>
      <c r="D1325" s="1" t="inlineStr">
        <is>
          <t>OP00284</t>
        </is>
      </c>
      <c r="E1325" s="8" t="n">
        <v>45160.56388888889</v>
      </c>
      <c r="F1325" s="7" t="inlineStr">
        <is>
          <t>DOWNLINE</t>
        </is>
      </c>
      <c r="G1325" s="18" t="inlineStr">
        <is>
          <t>OP00014</t>
        </is>
      </c>
      <c r="H1325" s="19">
        <f>UPPER(Table3[[#This Row],[Agen id]]&amp;"-"&amp;VLOOKUP(Table3[[#This Row],[Agen id]],A:B,2,0)&amp;"("&amp;Table3[[#This Row],[Short]]&amp;")")</f>
        <v/>
      </c>
      <c r="J1325" s="7">
        <f>VLOOKUP(Table3[[#This Row],[Agen id]],Agen!A:C,3,0)</f>
        <v/>
      </c>
      <c r="K1325" s="37">
        <f>TRIM(LEFT(Table3[[#This Row],[Group]],2))</f>
        <v/>
      </c>
      <c r="L1325" s="3" t="inlineStr">
        <is>
          <t>NON SALES</t>
        </is>
      </c>
    </row>
    <row r="1326">
      <c r="A1326" s="5" t="inlineStr">
        <is>
          <t>OP08488</t>
        </is>
      </c>
      <c r="B1326" s="6" t="inlineStr">
        <is>
          <t>Tazqirotul mualifah</t>
        </is>
      </c>
      <c r="C1326" s="7" t="inlineStr">
        <is>
          <t>AV - Agen Verified</t>
        </is>
      </c>
      <c r="D1326" s="1" t="inlineStr">
        <is>
          <t>OP00002</t>
        </is>
      </c>
      <c r="E1326" s="8" t="n">
        <v>45160.57986111111</v>
      </c>
      <c r="F1326" s="7" t="inlineStr">
        <is>
          <t>AGEN</t>
        </is>
      </c>
      <c r="G1326" s="18" t="inlineStr">
        <is>
          <t>OP08488</t>
        </is>
      </c>
      <c r="H1326" s="19">
        <f>UPPER(Table3[[#This Row],[Agen id]]&amp;"-"&amp;VLOOKUP(Table3[[#This Row],[Agen id]],A:B,2,0)&amp;"("&amp;Table3[[#This Row],[Short]]&amp;")")</f>
        <v/>
      </c>
      <c r="J1326" s="7">
        <f>VLOOKUP(Table3[[#This Row],[Agen id]],Agen!A:C,3,0)</f>
        <v/>
      </c>
      <c r="K1326" s="37">
        <f>TRIM(LEFT(Table3[[#This Row],[Group]],2))</f>
        <v/>
      </c>
      <c r="L1326" s="3" t="inlineStr">
        <is>
          <t>NON SALES</t>
        </is>
      </c>
    </row>
    <row r="1327">
      <c r="A1327" s="5" t="inlineStr">
        <is>
          <t>OP08489</t>
        </is>
      </c>
      <c r="B1327" s="6" t="inlineStr">
        <is>
          <t>Dhidhi Ahmad</t>
        </is>
      </c>
      <c r="C1327" s="7" t="inlineStr">
        <is>
          <t>AV - Agen Verified</t>
        </is>
      </c>
      <c r="D1327" s="1" t="inlineStr">
        <is>
          <t>OP00002</t>
        </is>
      </c>
      <c r="E1327" s="8" t="n">
        <v>45160.60069444445</v>
      </c>
      <c r="F1327" s="7" t="inlineStr">
        <is>
          <t>AGEN</t>
        </is>
      </c>
      <c r="G1327" s="18" t="inlineStr">
        <is>
          <t>OP08489</t>
        </is>
      </c>
      <c r="H1327" s="19">
        <f>UPPER(Table3[[#This Row],[Agen id]]&amp;"-"&amp;VLOOKUP(Table3[[#This Row],[Agen id]],A:B,2,0)&amp;"("&amp;Table3[[#This Row],[Short]]&amp;")")</f>
        <v/>
      </c>
      <c r="J1327" s="7">
        <f>VLOOKUP(Table3[[#This Row],[Agen id]],Agen!A:C,3,0)</f>
        <v/>
      </c>
      <c r="K1327" s="37">
        <f>TRIM(LEFT(Table3[[#This Row],[Group]],2))</f>
        <v/>
      </c>
      <c r="L1327" s="3" t="inlineStr">
        <is>
          <t>NON SALES</t>
        </is>
      </c>
    </row>
    <row r="1328">
      <c r="A1328" s="5" t="inlineStr">
        <is>
          <t>OP08491</t>
        </is>
      </c>
      <c r="B1328" s="6" t="inlineStr">
        <is>
          <t>Shaheer</t>
        </is>
      </c>
      <c r="C1328" s="7" t="inlineStr">
        <is>
          <t>AT1 - Agen Tangerang</t>
        </is>
      </c>
      <c r="D1328" s="1" t="inlineStr">
        <is>
          <t>OP07683</t>
        </is>
      </c>
      <c r="E1328" s="8" t="n">
        <v>45160.64652777778</v>
      </c>
      <c r="F1328" s="7" t="inlineStr">
        <is>
          <t>AGEN</t>
        </is>
      </c>
      <c r="G1328" s="18" t="inlineStr">
        <is>
          <t>OP08491</t>
        </is>
      </c>
      <c r="H1328" s="19">
        <f>UPPER(Table3[[#This Row],[Agen id]]&amp;"-"&amp;VLOOKUP(Table3[[#This Row],[Agen id]],A:B,2,0)&amp;"("&amp;Table3[[#This Row],[Short]]&amp;")")</f>
        <v/>
      </c>
      <c r="J1328" s="7">
        <f>VLOOKUP(Table3[[#This Row],[Agen id]],Agen!A:C,3,0)</f>
        <v/>
      </c>
      <c r="K1328" s="37">
        <f>TRIM(LEFT(Table3[[#This Row],[Group]],2))</f>
        <v/>
      </c>
      <c r="L1328" s="3" t="inlineStr">
        <is>
          <t>NON SALES</t>
        </is>
      </c>
    </row>
    <row r="1329">
      <c r="A1329" s="5" t="inlineStr">
        <is>
          <t>OP08498</t>
        </is>
      </c>
      <c r="B1329" s="6" t="inlineStr">
        <is>
          <t>KIOS BERKAT 3</t>
        </is>
      </c>
      <c r="C1329" s="7" t="inlineStr">
        <is>
          <t>A - Agen</t>
        </is>
      </c>
      <c r="D1329" s="1" t="inlineStr">
        <is>
          <t>OP01928</t>
        </is>
      </c>
      <c r="E1329" s="8" t="n">
        <v>45160.74861111111</v>
      </c>
      <c r="F1329" s="7" t="inlineStr">
        <is>
          <t>DOWNLINE</t>
        </is>
      </c>
      <c r="G1329" s="18" t="inlineStr">
        <is>
          <t>OP01928</t>
        </is>
      </c>
      <c r="H1329" s="19">
        <f>UPPER(Table3[[#This Row],[Agen id]]&amp;"-"&amp;VLOOKUP(Table3[[#This Row],[Agen id]],A:B,2,0)&amp;"("&amp;Table3[[#This Row],[Short]]&amp;")")</f>
        <v/>
      </c>
      <c r="J1329" s="7">
        <f>VLOOKUP(Table3[[#This Row],[Agen id]],Agen!A:C,3,0)</f>
        <v/>
      </c>
      <c r="K1329" s="37">
        <f>TRIM(LEFT(Table3[[#This Row],[Group]],2))</f>
        <v/>
      </c>
      <c r="L1329" s="3" t="inlineStr">
        <is>
          <t>NON SALES</t>
        </is>
      </c>
    </row>
    <row r="1330">
      <c r="A1330" s="5" t="inlineStr">
        <is>
          <t>OP08499</t>
        </is>
      </c>
      <c r="B1330" s="6" t="inlineStr">
        <is>
          <t>KIOS BERKAT 4</t>
        </is>
      </c>
      <c r="C1330" s="7" t="inlineStr">
        <is>
          <t>A - Agen</t>
        </is>
      </c>
      <c r="D1330" s="1" t="inlineStr">
        <is>
          <t>OP01928</t>
        </is>
      </c>
      <c r="E1330" s="8" t="n">
        <v>45160.75694444445</v>
      </c>
      <c r="F1330" s="7" t="inlineStr">
        <is>
          <t>DOWNLINE</t>
        </is>
      </c>
      <c r="G1330" s="18" t="inlineStr">
        <is>
          <t>OP01928</t>
        </is>
      </c>
      <c r="H1330" s="19">
        <f>UPPER(Table3[[#This Row],[Agen id]]&amp;"-"&amp;VLOOKUP(Table3[[#This Row],[Agen id]],A:B,2,0)&amp;"("&amp;Table3[[#This Row],[Short]]&amp;")")</f>
        <v/>
      </c>
      <c r="J1330" s="7">
        <f>VLOOKUP(Table3[[#This Row],[Agen id]],Agen!A:C,3,0)</f>
        <v/>
      </c>
      <c r="K1330" s="37">
        <f>TRIM(LEFT(Table3[[#This Row],[Group]],2))</f>
        <v/>
      </c>
      <c r="L1330" s="3" t="inlineStr">
        <is>
          <t>NON SALES</t>
        </is>
      </c>
    </row>
    <row r="1331">
      <c r="A1331" s="5" t="inlineStr">
        <is>
          <t>OP08506</t>
        </is>
      </c>
      <c r="B1331" s="6" t="inlineStr">
        <is>
          <t>CS PONSEL</t>
        </is>
      </c>
      <c r="C1331" s="7" t="inlineStr">
        <is>
          <t>A - Agen</t>
        </is>
      </c>
      <c r="D1331" s="1" t="inlineStr">
        <is>
          <t>OP00002</t>
        </is>
      </c>
      <c r="E1331" s="8" t="n">
        <v>45161.08680555555</v>
      </c>
      <c r="F1331" s="7" t="inlineStr">
        <is>
          <t>AGEN</t>
        </is>
      </c>
      <c r="G1331" s="18" t="inlineStr">
        <is>
          <t>OP08506</t>
        </is>
      </c>
      <c r="H1331" s="19">
        <f>UPPER(Table3[[#This Row],[Agen id]]&amp;"-"&amp;VLOOKUP(Table3[[#This Row],[Agen id]],A:B,2,0)&amp;"("&amp;Table3[[#This Row],[Short]]&amp;")")</f>
        <v/>
      </c>
      <c r="J1331" s="7">
        <f>VLOOKUP(Table3[[#This Row],[Agen id]],Agen!A:C,3,0)</f>
        <v/>
      </c>
      <c r="K1331" s="37">
        <f>TRIM(LEFT(Table3[[#This Row],[Group]],2))</f>
        <v/>
      </c>
      <c r="L1331" s="3" t="inlineStr">
        <is>
          <t>NON SALES</t>
        </is>
      </c>
    </row>
    <row r="1332">
      <c r="A1332" s="5" t="inlineStr">
        <is>
          <t>OP08507</t>
        </is>
      </c>
      <c r="B1332" s="6" t="inlineStr">
        <is>
          <t>Milah</t>
        </is>
      </c>
      <c r="C1332" s="7" t="inlineStr">
        <is>
          <t>A - Agen</t>
        </is>
      </c>
      <c r="D1332" s="1" t="inlineStr">
        <is>
          <t>OP00002</t>
        </is>
      </c>
      <c r="E1332" s="8" t="n">
        <v>45161.17777777778</v>
      </c>
      <c r="F1332" s="7" t="inlineStr">
        <is>
          <t>AGEN</t>
        </is>
      </c>
      <c r="G1332" s="18" t="inlineStr">
        <is>
          <t>OP08507</t>
        </is>
      </c>
      <c r="H1332" s="19">
        <f>UPPER(Table3[[#This Row],[Agen id]]&amp;"-"&amp;VLOOKUP(Table3[[#This Row],[Agen id]],A:B,2,0)&amp;"("&amp;Table3[[#This Row],[Short]]&amp;")")</f>
        <v/>
      </c>
      <c r="J1332" s="7">
        <f>VLOOKUP(Table3[[#This Row],[Agen id]],Agen!A:C,3,0)</f>
        <v/>
      </c>
      <c r="K1332" s="37">
        <f>TRIM(LEFT(Table3[[#This Row],[Group]],2))</f>
        <v/>
      </c>
      <c r="L1332" s="3" t="inlineStr">
        <is>
          <t>NON SALES</t>
        </is>
      </c>
    </row>
    <row r="1333">
      <c r="A1333" s="5" t="inlineStr">
        <is>
          <t>OP08511</t>
        </is>
      </c>
      <c r="B1333" s="6" t="inlineStr">
        <is>
          <t>Fahmi</t>
        </is>
      </c>
      <c r="C1333" s="7" t="inlineStr">
        <is>
          <t>A - Agen</t>
        </is>
      </c>
      <c r="D1333" s="1" t="inlineStr">
        <is>
          <t>OP00002</t>
        </is>
      </c>
      <c r="E1333" s="8" t="n">
        <v>45161.23888888889</v>
      </c>
      <c r="F1333" s="7" t="inlineStr">
        <is>
          <t>AGEN</t>
        </is>
      </c>
      <c r="G1333" s="18" t="inlineStr">
        <is>
          <t>OP08511</t>
        </is>
      </c>
      <c r="H1333" s="19">
        <f>UPPER(Table3[[#This Row],[Agen id]]&amp;"-"&amp;VLOOKUP(Table3[[#This Row],[Agen id]],A:B,2,0)&amp;"("&amp;Table3[[#This Row],[Short]]&amp;")")</f>
        <v/>
      </c>
      <c r="J1333" s="7">
        <f>VLOOKUP(Table3[[#This Row],[Agen id]],Agen!A:C,3,0)</f>
        <v/>
      </c>
      <c r="K1333" s="37">
        <f>TRIM(LEFT(Table3[[#This Row],[Group]],2))</f>
        <v/>
      </c>
      <c r="L1333" s="3" t="inlineStr">
        <is>
          <t>NON SALES</t>
        </is>
      </c>
    </row>
    <row r="1334">
      <c r="A1334" s="5" t="inlineStr">
        <is>
          <t>OP08517</t>
        </is>
      </c>
      <c r="B1334" s="6" t="inlineStr">
        <is>
          <t>Adida</t>
        </is>
      </c>
      <c r="C1334" s="7" t="inlineStr">
        <is>
          <t>AB1 - Agen Kab Bogor</t>
        </is>
      </c>
      <c r="D1334" s="1" t="inlineStr">
        <is>
          <t>OP00002</t>
        </is>
      </c>
      <c r="E1334" s="8" t="n">
        <v>45161.325</v>
      </c>
      <c r="F1334" s="7" t="inlineStr">
        <is>
          <t>AGEN</t>
        </is>
      </c>
      <c r="G1334" s="18" t="inlineStr">
        <is>
          <t>OP08517</t>
        </is>
      </c>
      <c r="H1334" s="19">
        <f>UPPER(Table3[[#This Row],[Agen id]]&amp;"-"&amp;VLOOKUP(Table3[[#This Row],[Agen id]],A:B,2,0)&amp;"("&amp;Table3[[#This Row],[Short]]&amp;")")</f>
        <v/>
      </c>
      <c r="J1334" s="7">
        <f>VLOOKUP(Table3[[#This Row],[Agen id]],Agen!A:C,3,0)</f>
        <v/>
      </c>
      <c r="K1334" s="37">
        <f>TRIM(LEFT(Table3[[#This Row],[Group]],2))</f>
        <v/>
      </c>
      <c r="L1334" s="3" t="inlineStr">
        <is>
          <t>NON SALES</t>
        </is>
      </c>
    </row>
    <row r="1335">
      <c r="A1335" s="5" t="inlineStr">
        <is>
          <t>OP08522</t>
        </is>
      </c>
      <c r="B1335" s="6" t="inlineStr">
        <is>
          <t>Cantika</t>
        </is>
      </c>
      <c r="C1335" s="7" t="inlineStr">
        <is>
          <t>A - Agen</t>
        </is>
      </c>
      <c r="D1335" s="1" t="inlineStr">
        <is>
          <t>OP00003</t>
        </is>
      </c>
      <c r="E1335" s="8" t="n">
        <v>45161.375</v>
      </c>
      <c r="F1335" s="7" t="inlineStr">
        <is>
          <t>AGEN</t>
        </is>
      </c>
      <c r="G1335" s="18" t="inlineStr">
        <is>
          <t>OP08522</t>
        </is>
      </c>
      <c r="H1335" s="19">
        <f>UPPER(Table3[[#This Row],[Agen id]]&amp;"-"&amp;VLOOKUP(Table3[[#This Row],[Agen id]],A:B,2,0)&amp;"("&amp;Table3[[#This Row],[Short]]&amp;")")</f>
        <v/>
      </c>
      <c r="J1335" s="7">
        <f>VLOOKUP(Table3[[#This Row],[Agen id]],Agen!A:C,3,0)</f>
        <v/>
      </c>
      <c r="K1335" s="37">
        <f>TRIM(LEFT(Table3[[#This Row],[Group]],2))</f>
        <v/>
      </c>
      <c r="L1335" s="3" t="inlineStr">
        <is>
          <t>NON SALES</t>
        </is>
      </c>
    </row>
    <row r="1336">
      <c r="A1336" s="5" t="inlineStr">
        <is>
          <t>OP08530</t>
        </is>
      </c>
      <c r="B1336" s="6" t="inlineStr">
        <is>
          <t>Ilham yuda prasetyo</t>
        </is>
      </c>
      <c r="C1336" s="7" t="inlineStr">
        <is>
          <t>AV - Agen Verified</t>
        </is>
      </c>
      <c r="D1336" s="1" t="inlineStr">
        <is>
          <t>OP00002</t>
        </is>
      </c>
      <c r="E1336" s="8" t="n">
        <v>45161.51666666667</v>
      </c>
      <c r="F1336" s="7" t="inlineStr">
        <is>
          <t>AGEN</t>
        </is>
      </c>
      <c r="G1336" s="18" t="inlineStr">
        <is>
          <t>OP08530</t>
        </is>
      </c>
      <c r="H1336" s="19">
        <f>UPPER(Table3[[#This Row],[Agen id]]&amp;"-"&amp;VLOOKUP(Table3[[#This Row],[Agen id]],A:B,2,0)&amp;"("&amp;Table3[[#This Row],[Short]]&amp;")")</f>
        <v/>
      </c>
      <c r="J1336" s="7">
        <f>VLOOKUP(Table3[[#This Row],[Agen id]],Agen!A:C,3,0)</f>
        <v/>
      </c>
      <c r="K1336" s="37">
        <f>TRIM(LEFT(Table3[[#This Row],[Group]],2))</f>
        <v/>
      </c>
      <c r="L1336" s="3" t="inlineStr">
        <is>
          <t>NON SALES</t>
        </is>
      </c>
    </row>
    <row r="1337">
      <c r="A1337" s="5" t="inlineStr">
        <is>
          <t>OP08544</t>
        </is>
      </c>
      <c r="B1337" s="6" t="inlineStr">
        <is>
          <t>Irwansyah</t>
        </is>
      </c>
      <c r="C1337" s="7" t="inlineStr">
        <is>
          <t>AV - Agen Verified</t>
        </is>
      </c>
      <c r="D1337" s="1" t="inlineStr">
        <is>
          <t>OP00002</t>
        </is>
      </c>
      <c r="E1337" s="8" t="n">
        <v>45161.72083333333</v>
      </c>
      <c r="F1337" s="7" t="inlineStr">
        <is>
          <t>AGEN</t>
        </is>
      </c>
      <c r="G1337" s="18" t="inlineStr">
        <is>
          <t>OP08544</t>
        </is>
      </c>
      <c r="H1337" s="19">
        <f>UPPER(Table3[[#This Row],[Agen id]]&amp;"-"&amp;VLOOKUP(Table3[[#This Row],[Agen id]],A:B,2,0)&amp;"("&amp;Table3[[#This Row],[Short]]&amp;")")</f>
        <v/>
      </c>
      <c r="J1337" s="7">
        <f>VLOOKUP(Table3[[#This Row],[Agen id]],Agen!A:C,3,0)</f>
        <v/>
      </c>
      <c r="K1337" s="37">
        <f>TRIM(LEFT(Table3[[#This Row],[Group]],2))</f>
        <v/>
      </c>
      <c r="L1337" s="3" t="inlineStr">
        <is>
          <t>NON SALES</t>
        </is>
      </c>
    </row>
    <row r="1338">
      <c r="A1338" s="5" t="inlineStr">
        <is>
          <t>OP08548</t>
        </is>
      </c>
      <c r="B1338" s="6" t="inlineStr">
        <is>
          <t>Mindawati</t>
        </is>
      </c>
      <c r="C1338" s="7" t="inlineStr">
        <is>
          <t>A - Agen</t>
        </is>
      </c>
      <c r="D1338" s="1" t="inlineStr">
        <is>
          <t>OP00002</t>
        </is>
      </c>
      <c r="E1338" s="8" t="n">
        <v>45161.775</v>
      </c>
      <c r="F1338" s="7" t="inlineStr">
        <is>
          <t>AGEN</t>
        </is>
      </c>
      <c r="G1338" s="18" t="inlineStr">
        <is>
          <t>OP08548</t>
        </is>
      </c>
      <c r="H1338" s="19">
        <f>UPPER(Table3[[#This Row],[Agen id]]&amp;"-"&amp;VLOOKUP(Table3[[#This Row],[Agen id]],A:B,2,0)&amp;"("&amp;Table3[[#This Row],[Short]]&amp;")")</f>
        <v/>
      </c>
      <c r="J1338" s="7">
        <f>VLOOKUP(Table3[[#This Row],[Agen id]],Agen!A:C,3,0)</f>
        <v/>
      </c>
      <c r="K1338" s="37">
        <f>TRIM(LEFT(Table3[[#This Row],[Group]],2))</f>
        <v/>
      </c>
      <c r="L1338" s="3" t="inlineStr">
        <is>
          <t>NON SALES</t>
        </is>
      </c>
    </row>
    <row r="1339">
      <c r="A1339" s="5" t="inlineStr">
        <is>
          <t>OP08549</t>
        </is>
      </c>
      <c r="B1339" s="6" t="inlineStr">
        <is>
          <t>Centrall</t>
        </is>
      </c>
      <c r="C1339" s="7" t="inlineStr">
        <is>
          <t>AV - Agen Verified</t>
        </is>
      </c>
      <c r="D1339" s="1" t="inlineStr">
        <is>
          <t>OP00002</t>
        </is>
      </c>
      <c r="E1339" s="8" t="n">
        <v>45161.81458333333</v>
      </c>
      <c r="F1339" s="7" t="inlineStr">
        <is>
          <t>AGEN</t>
        </is>
      </c>
      <c r="G1339" s="18" t="inlineStr">
        <is>
          <t>OP08549</t>
        </is>
      </c>
      <c r="H1339" s="19">
        <f>UPPER(Table3[[#This Row],[Agen id]]&amp;"-"&amp;VLOOKUP(Table3[[#This Row],[Agen id]],A:B,2,0)&amp;"("&amp;Table3[[#This Row],[Short]]&amp;")")</f>
        <v/>
      </c>
      <c r="J1339" s="7">
        <f>VLOOKUP(Table3[[#This Row],[Agen id]],Agen!A:C,3,0)</f>
        <v/>
      </c>
      <c r="K1339" s="37">
        <f>TRIM(LEFT(Table3[[#This Row],[Group]],2))</f>
        <v/>
      </c>
      <c r="L1339" s="3" t="inlineStr">
        <is>
          <t>NON SALES</t>
        </is>
      </c>
    </row>
    <row r="1340">
      <c r="A1340" s="5" t="inlineStr">
        <is>
          <t>OP08551</t>
        </is>
      </c>
      <c r="B1340" s="6" t="inlineStr">
        <is>
          <t>SEKAR - CELL</t>
        </is>
      </c>
      <c r="C1340" s="7" t="inlineStr">
        <is>
          <t>MK - Marketing</t>
        </is>
      </c>
      <c r="D1340" s="1" t="inlineStr">
        <is>
          <t>OP00002</t>
        </is>
      </c>
      <c r="E1340" s="8" t="n">
        <v>45161.89930555555</v>
      </c>
      <c r="F1340" s="7" t="inlineStr">
        <is>
          <t>AGEN</t>
        </is>
      </c>
      <c r="G1340" s="18" t="inlineStr">
        <is>
          <t>OP08551</t>
        </is>
      </c>
      <c r="H1340" s="19">
        <f>UPPER(Table3[[#This Row],[Agen id]]&amp;"-"&amp;VLOOKUP(Table3[[#This Row],[Agen id]],A:B,2,0)&amp;"("&amp;Table3[[#This Row],[Short]]&amp;")")</f>
        <v/>
      </c>
      <c r="J1340" s="7">
        <f>VLOOKUP(Table3[[#This Row],[Agen id]],Agen!A:C,3,0)</f>
        <v/>
      </c>
      <c r="K1340" s="37">
        <f>TRIM(LEFT(Table3[[#This Row],[Group]],2))</f>
        <v/>
      </c>
      <c r="L1340" s="3" t="inlineStr">
        <is>
          <t>NON SALES</t>
        </is>
      </c>
    </row>
    <row r="1341">
      <c r="A1341" s="5" t="inlineStr">
        <is>
          <t>OP08576</t>
        </is>
      </c>
      <c r="B1341" s="6" t="inlineStr">
        <is>
          <t>BANG PITUNG</t>
        </is>
      </c>
      <c r="C1341" s="7" t="inlineStr">
        <is>
          <t>A - Agen</t>
        </is>
      </c>
      <c r="D1341" s="1" t="inlineStr">
        <is>
          <t>OP00091</t>
        </is>
      </c>
      <c r="E1341" s="8" t="n">
        <v>45162.54305555556</v>
      </c>
      <c r="F1341" s="7" t="inlineStr">
        <is>
          <t>DOWNLINE</t>
        </is>
      </c>
      <c r="G1341" s="18" t="inlineStr">
        <is>
          <t>OP00091</t>
        </is>
      </c>
      <c r="H1341" s="19">
        <f>UPPER(Table3[[#This Row],[Agen id]]&amp;"-"&amp;VLOOKUP(Table3[[#This Row],[Agen id]],A:B,2,0)&amp;"("&amp;Table3[[#This Row],[Short]]&amp;")")</f>
        <v/>
      </c>
      <c r="J1341" s="7">
        <f>VLOOKUP(Table3[[#This Row],[Agen id]],Agen!A:C,3,0)</f>
        <v/>
      </c>
      <c r="K1341" s="37">
        <f>TRIM(LEFT(Table3[[#This Row],[Group]],2))</f>
        <v/>
      </c>
      <c r="L1341" s="3" t="inlineStr">
        <is>
          <t>NON SALES</t>
        </is>
      </c>
    </row>
    <row r="1342">
      <c r="A1342" s="5" t="inlineStr">
        <is>
          <t>OP08582</t>
        </is>
      </c>
      <c r="B1342" s="6" t="inlineStr">
        <is>
          <t>Bima</t>
        </is>
      </c>
      <c r="C1342" s="7" t="inlineStr">
        <is>
          <t>AT1 - Agen Tangerang</t>
        </is>
      </c>
      <c r="D1342" s="1" t="inlineStr">
        <is>
          <t>OP07683</t>
        </is>
      </c>
      <c r="E1342" s="8" t="n">
        <v>45162.68263888889</v>
      </c>
      <c r="F1342" s="7" t="inlineStr">
        <is>
          <t>AGEN</t>
        </is>
      </c>
      <c r="G1342" s="18" t="inlineStr">
        <is>
          <t>OP08582</t>
        </is>
      </c>
      <c r="H1342" s="19">
        <f>UPPER(Table3[[#This Row],[Agen id]]&amp;"-"&amp;VLOOKUP(Table3[[#This Row],[Agen id]],A:B,2,0)&amp;"("&amp;Table3[[#This Row],[Short]]&amp;")")</f>
        <v/>
      </c>
      <c r="J1342" s="7">
        <f>VLOOKUP(Table3[[#This Row],[Agen id]],Agen!A:C,3,0)</f>
        <v/>
      </c>
      <c r="K1342" s="37">
        <f>TRIM(LEFT(Table3[[#This Row],[Group]],2))</f>
        <v/>
      </c>
      <c r="L1342" s="3" t="inlineStr">
        <is>
          <t>AZIZ</t>
        </is>
      </c>
    </row>
    <row r="1343">
      <c r="A1343" s="5" t="inlineStr">
        <is>
          <t>OP08644</t>
        </is>
      </c>
      <c r="B1343" s="6" t="inlineStr">
        <is>
          <t>Rafi cell</t>
        </is>
      </c>
      <c r="C1343" s="7" t="inlineStr">
        <is>
          <t>AB1 - Agen Kab Bogor</t>
        </is>
      </c>
      <c r="D1343" s="1" t="inlineStr">
        <is>
          <t>OP07367</t>
        </is>
      </c>
      <c r="E1343" s="8" t="n">
        <v>45164.57847222222</v>
      </c>
      <c r="F1343" s="7" t="inlineStr">
        <is>
          <t>AGEN</t>
        </is>
      </c>
      <c r="G1343" s="18" t="inlineStr">
        <is>
          <t>OP08644</t>
        </is>
      </c>
      <c r="H1343" s="19">
        <f>UPPER(Table3[[#This Row],[Agen id]]&amp;"-"&amp;VLOOKUP(Table3[[#This Row],[Agen id]],A:B,2,0)&amp;"("&amp;Table3[[#This Row],[Short]]&amp;")")</f>
        <v/>
      </c>
      <c r="J1343" s="7">
        <f>VLOOKUP(Table3[[#This Row],[Agen id]],Agen!A:C,3,0)</f>
        <v/>
      </c>
      <c r="K1343" s="37">
        <f>TRIM(LEFT(Table3[[#This Row],[Group]],2))</f>
        <v/>
      </c>
      <c r="L1343" s="3" t="inlineStr">
        <is>
          <t>ARIS</t>
        </is>
      </c>
    </row>
    <row r="1344">
      <c r="A1344" s="5" t="inlineStr">
        <is>
          <t>OP08655</t>
        </is>
      </c>
      <c r="B1344" s="6" t="inlineStr">
        <is>
          <t>Melisa cell</t>
        </is>
      </c>
      <c r="C1344" s="7" t="inlineStr">
        <is>
          <t>A - Agen</t>
        </is>
      </c>
      <c r="D1344" s="1" t="inlineStr">
        <is>
          <t>OP00002</t>
        </is>
      </c>
      <c r="E1344" s="8" t="n">
        <v>45164.81666666667</v>
      </c>
      <c r="F1344" s="7" t="inlineStr">
        <is>
          <t>AGEN</t>
        </is>
      </c>
      <c r="G1344" s="18" t="inlineStr">
        <is>
          <t>OP08655</t>
        </is>
      </c>
      <c r="H1344" s="19">
        <f>UPPER(Table3[[#This Row],[Agen id]]&amp;"-"&amp;VLOOKUP(Table3[[#This Row],[Agen id]],A:B,2,0)&amp;"("&amp;Table3[[#This Row],[Short]]&amp;")")</f>
        <v/>
      </c>
      <c r="J1344" s="7">
        <f>VLOOKUP(Table3[[#This Row],[Agen id]],Agen!A:C,3,0)</f>
        <v/>
      </c>
      <c r="K1344" s="37">
        <f>TRIM(LEFT(Table3[[#This Row],[Group]],2))</f>
        <v/>
      </c>
      <c r="L1344" s="3" t="inlineStr">
        <is>
          <t>NON SALES</t>
        </is>
      </c>
    </row>
    <row r="1345">
      <c r="A1345" s="5" t="inlineStr">
        <is>
          <t>OP08656</t>
        </is>
      </c>
      <c r="B1345" s="6" t="inlineStr">
        <is>
          <t>chelshy</t>
        </is>
      </c>
      <c r="C1345" s="7" t="inlineStr">
        <is>
          <t>AV - Agen Verified</t>
        </is>
      </c>
      <c r="D1345" s="1" t="inlineStr">
        <is>
          <t>OP08210</t>
        </is>
      </c>
      <c r="E1345" s="8" t="n">
        <v>45164.81666666667</v>
      </c>
      <c r="F1345" s="7" t="inlineStr">
        <is>
          <t>DOWNLINE</t>
        </is>
      </c>
      <c r="G1345" s="18" t="inlineStr">
        <is>
          <t>OP08210</t>
        </is>
      </c>
      <c r="H1345" s="19">
        <f>UPPER(Table3[[#This Row],[Agen id]]&amp;"-"&amp;VLOOKUP(Table3[[#This Row],[Agen id]],A:B,2,0)&amp;"("&amp;Table3[[#This Row],[Short]]&amp;")")</f>
        <v/>
      </c>
      <c r="J1345" s="7">
        <f>VLOOKUP(Table3[[#This Row],[Agen id]],Agen!A:C,3,0)</f>
        <v/>
      </c>
      <c r="K1345" s="37">
        <f>TRIM(LEFT(Table3[[#This Row],[Group]],2))</f>
        <v/>
      </c>
      <c r="L1345" s="3" t="inlineStr">
        <is>
          <t>NON SALES</t>
        </is>
      </c>
    </row>
    <row r="1346">
      <c r="A1346" s="5" t="inlineStr">
        <is>
          <t>OP08663</t>
        </is>
      </c>
      <c r="B1346" s="6" t="inlineStr">
        <is>
          <t>nanank</t>
        </is>
      </c>
      <c r="C1346" s="7" t="inlineStr">
        <is>
          <t>A - Agen</t>
        </is>
      </c>
      <c r="D1346" s="1" t="inlineStr">
        <is>
          <t>OP00002</t>
        </is>
      </c>
      <c r="E1346" s="8" t="n">
        <v>45165.33472222222</v>
      </c>
      <c r="F1346" s="7" t="inlineStr">
        <is>
          <t>AGEN</t>
        </is>
      </c>
      <c r="G1346" s="18" t="inlineStr">
        <is>
          <t>OP08663</t>
        </is>
      </c>
      <c r="H1346" s="19">
        <f>UPPER(Table3[[#This Row],[Agen id]]&amp;"-"&amp;VLOOKUP(Table3[[#This Row],[Agen id]],A:B,2,0)&amp;"("&amp;Table3[[#This Row],[Short]]&amp;")")</f>
        <v/>
      </c>
      <c r="J1346" s="7">
        <f>VLOOKUP(Table3[[#This Row],[Agen id]],Agen!A:C,3,0)</f>
        <v/>
      </c>
      <c r="K1346" s="37">
        <f>TRIM(LEFT(Table3[[#This Row],[Group]],2))</f>
        <v/>
      </c>
      <c r="L1346" s="3" t="inlineStr">
        <is>
          <t>NON SALES</t>
        </is>
      </c>
    </row>
    <row r="1347">
      <c r="A1347" s="5" t="inlineStr">
        <is>
          <t>OP08665</t>
        </is>
      </c>
      <c r="B1347" s="6" t="inlineStr">
        <is>
          <t>Rahmat Krishadi</t>
        </is>
      </c>
      <c r="C1347" s="7" t="inlineStr">
        <is>
          <t>AV - Agen Verified</t>
        </is>
      </c>
      <c r="D1347" s="1" t="inlineStr">
        <is>
          <t>OP00002</t>
        </is>
      </c>
      <c r="E1347" s="8" t="n">
        <v>45165.36319444444</v>
      </c>
      <c r="F1347" s="7" t="inlineStr">
        <is>
          <t>AGEN</t>
        </is>
      </c>
      <c r="G1347" s="18" t="inlineStr">
        <is>
          <t>OP08665</t>
        </is>
      </c>
      <c r="H1347" s="19">
        <f>UPPER(Table3[[#This Row],[Agen id]]&amp;"-"&amp;VLOOKUP(Table3[[#This Row],[Agen id]],A:B,2,0)&amp;"("&amp;Table3[[#This Row],[Short]]&amp;")")</f>
        <v/>
      </c>
      <c r="J1347" s="7">
        <f>VLOOKUP(Table3[[#This Row],[Agen id]],Agen!A:C,3,0)</f>
        <v/>
      </c>
      <c r="K1347" s="37">
        <f>TRIM(LEFT(Table3[[#This Row],[Group]],2))</f>
        <v/>
      </c>
      <c r="L1347" s="3" t="inlineStr">
        <is>
          <t>NON SALES</t>
        </is>
      </c>
    </row>
    <row r="1348">
      <c r="A1348" s="5" t="inlineStr">
        <is>
          <t>OP08695</t>
        </is>
      </c>
      <c r="B1348" s="6" t="inlineStr">
        <is>
          <t>Pathor rohman</t>
        </is>
      </c>
      <c r="C1348" s="7" t="inlineStr">
        <is>
          <t>A - Agen</t>
        </is>
      </c>
      <c r="D1348" s="1" t="inlineStr">
        <is>
          <t>OP00002</t>
        </is>
      </c>
      <c r="E1348" s="8" t="n">
        <v>45166.44166666667</v>
      </c>
      <c r="F1348" s="7" t="inlineStr">
        <is>
          <t>AGEN</t>
        </is>
      </c>
      <c r="G1348" s="18" t="inlineStr">
        <is>
          <t>OP08695</t>
        </is>
      </c>
      <c r="H1348" s="19">
        <f>UPPER(Table3[[#This Row],[Agen id]]&amp;"-"&amp;VLOOKUP(Table3[[#This Row],[Agen id]],A:B,2,0)&amp;"("&amp;Table3[[#This Row],[Short]]&amp;")")</f>
        <v/>
      </c>
      <c r="J1348" s="7">
        <f>VLOOKUP(Table3[[#This Row],[Agen id]],Agen!A:C,3,0)</f>
        <v/>
      </c>
      <c r="K1348" s="37">
        <f>TRIM(LEFT(Table3[[#This Row],[Group]],2))</f>
        <v/>
      </c>
      <c r="L1348" s="3" t="inlineStr">
        <is>
          <t>NON SALES</t>
        </is>
      </c>
    </row>
    <row r="1349">
      <c r="A1349" s="5" t="inlineStr">
        <is>
          <t>OP08701</t>
        </is>
      </c>
      <c r="B1349" s="6" t="inlineStr">
        <is>
          <t>Ujang sudirman</t>
        </is>
      </c>
      <c r="C1349" s="7" t="inlineStr">
        <is>
          <t>A - Agen</t>
        </is>
      </c>
      <c r="D1349" s="1" t="inlineStr">
        <is>
          <t>OP00002</t>
        </is>
      </c>
      <c r="E1349" s="8" t="n">
        <v>45166.59305555555</v>
      </c>
      <c r="F1349" s="7" t="inlineStr">
        <is>
          <t>AGEN</t>
        </is>
      </c>
      <c r="G1349" s="18" t="inlineStr">
        <is>
          <t>OP08701</t>
        </is>
      </c>
      <c r="H1349" s="19">
        <f>UPPER(Table3[[#This Row],[Agen id]]&amp;"-"&amp;VLOOKUP(Table3[[#This Row],[Agen id]],A:B,2,0)&amp;"("&amp;Table3[[#This Row],[Short]]&amp;")")</f>
        <v/>
      </c>
      <c r="J1349" s="7">
        <f>VLOOKUP(Table3[[#This Row],[Agen id]],Agen!A:C,3,0)</f>
        <v/>
      </c>
      <c r="K1349" s="37">
        <f>TRIM(LEFT(Table3[[#This Row],[Group]],2))</f>
        <v/>
      </c>
      <c r="L1349" s="3" t="inlineStr">
        <is>
          <t>NON SALES</t>
        </is>
      </c>
    </row>
    <row r="1350">
      <c r="A1350" s="5" t="inlineStr">
        <is>
          <t>OP08724</t>
        </is>
      </c>
      <c r="B1350" s="6" t="inlineStr">
        <is>
          <t>wahid cell</t>
        </is>
      </c>
      <c r="C1350" s="7" t="inlineStr">
        <is>
          <t>AV - Agen Verified</t>
        </is>
      </c>
      <c r="D1350" s="1" t="inlineStr">
        <is>
          <t>OP07584</t>
        </is>
      </c>
      <c r="E1350" s="8" t="n">
        <v>45167.80625</v>
      </c>
      <c r="F1350" s="7" t="inlineStr">
        <is>
          <t>DOWNLINE</t>
        </is>
      </c>
      <c r="G1350" s="18" t="inlineStr">
        <is>
          <t>OP07584</t>
        </is>
      </c>
      <c r="H1350" s="19">
        <f>UPPER(Table3[[#This Row],[Agen id]]&amp;"-"&amp;VLOOKUP(Table3[[#This Row],[Agen id]],A:B,2,0)&amp;"("&amp;Table3[[#This Row],[Short]]&amp;")")</f>
        <v/>
      </c>
      <c r="J1350" s="7">
        <f>VLOOKUP(Table3[[#This Row],[Agen id]],Agen!A:C,3,0)</f>
        <v/>
      </c>
      <c r="K1350" s="37">
        <f>TRIM(LEFT(Table3[[#This Row],[Group]],2))</f>
        <v/>
      </c>
      <c r="L1350" s="3" t="inlineStr">
        <is>
          <t>NON SALES</t>
        </is>
      </c>
    </row>
    <row r="1351">
      <c r="A1351" s="5" t="inlineStr">
        <is>
          <t>OP08727</t>
        </is>
      </c>
      <c r="B1351" s="6" t="inlineStr">
        <is>
          <t>Iffah badar</t>
        </is>
      </c>
      <c r="C1351" s="7" t="inlineStr">
        <is>
          <t>AV - Agen Verified</t>
        </is>
      </c>
      <c r="D1351" s="1" t="inlineStr">
        <is>
          <t>OP06973</t>
        </is>
      </c>
      <c r="E1351" s="8" t="n">
        <v>45168.42430555556</v>
      </c>
      <c r="F1351" s="7" t="inlineStr">
        <is>
          <t>DOWNLINE</t>
        </is>
      </c>
      <c r="G1351" s="18" t="inlineStr">
        <is>
          <t>OP06973</t>
        </is>
      </c>
      <c r="H1351" s="19">
        <f>UPPER(Table3[[#This Row],[Agen id]]&amp;"-"&amp;VLOOKUP(Table3[[#This Row],[Agen id]],A:B,2,0)&amp;"("&amp;Table3[[#This Row],[Short]]&amp;")")</f>
        <v/>
      </c>
      <c r="J1351" s="7">
        <f>VLOOKUP(Table3[[#This Row],[Agen id]],Agen!A:C,3,0)</f>
        <v/>
      </c>
      <c r="K1351" s="37">
        <f>TRIM(LEFT(Table3[[#This Row],[Group]],2))</f>
        <v/>
      </c>
      <c r="L1351" s="3" t="inlineStr">
        <is>
          <t>NON SALES</t>
        </is>
      </c>
    </row>
    <row r="1352">
      <c r="A1352" s="5" t="inlineStr">
        <is>
          <t>OP08728</t>
        </is>
      </c>
      <c r="B1352" s="6" t="inlineStr">
        <is>
          <t>Putra Cell</t>
        </is>
      </c>
      <c r="C1352" s="7" t="inlineStr">
        <is>
          <t>AB1 - Agen Kab Bogor</t>
        </is>
      </c>
      <c r="D1352" s="1" t="inlineStr">
        <is>
          <t>OP07367</t>
        </is>
      </c>
      <c r="E1352" s="8" t="n">
        <v>45168.44166666667</v>
      </c>
      <c r="F1352" s="7" t="inlineStr">
        <is>
          <t>AGEN</t>
        </is>
      </c>
      <c r="G1352" s="18" t="inlineStr">
        <is>
          <t>OP08728</t>
        </is>
      </c>
      <c r="H1352" s="19">
        <f>UPPER(Table3[[#This Row],[Agen id]]&amp;"-"&amp;VLOOKUP(Table3[[#This Row],[Agen id]],A:B,2,0)&amp;"("&amp;Table3[[#This Row],[Short]]&amp;")")</f>
        <v/>
      </c>
      <c r="J1352" s="7">
        <f>VLOOKUP(Table3[[#This Row],[Agen id]],Agen!A:C,3,0)</f>
        <v/>
      </c>
      <c r="K1352" s="37">
        <f>TRIM(LEFT(Table3[[#This Row],[Group]],2))</f>
        <v/>
      </c>
      <c r="L1352" s="3" t="inlineStr">
        <is>
          <t>ARIS</t>
        </is>
      </c>
    </row>
    <row r="1353">
      <c r="A1353" s="5" t="inlineStr">
        <is>
          <t>OP08732</t>
        </is>
      </c>
      <c r="B1353" s="6" t="inlineStr">
        <is>
          <t>Keyla</t>
        </is>
      </c>
      <c r="C1353" s="7" t="inlineStr">
        <is>
          <t>AV - Agen Verified</t>
        </is>
      </c>
      <c r="D1353" s="1" t="inlineStr">
        <is>
          <t>OP00002</t>
        </is>
      </c>
      <c r="E1353" s="8" t="n">
        <v>45169.36319444444</v>
      </c>
      <c r="F1353" s="7" t="inlineStr">
        <is>
          <t>AGEN</t>
        </is>
      </c>
      <c r="G1353" s="18" t="inlineStr">
        <is>
          <t>OP08732</t>
        </is>
      </c>
      <c r="H1353" s="19">
        <f>UPPER(Table3[[#This Row],[Agen id]]&amp;"-"&amp;VLOOKUP(Table3[[#This Row],[Agen id]],A:B,2,0)&amp;"("&amp;Table3[[#This Row],[Short]]&amp;")")</f>
        <v/>
      </c>
      <c r="J1353" s="7">
        <f>VLOOKUP(Table3[[#This Row],[Agen id]],Agen!A:C,3,0)</f>
        <v/>
      </c>
      <c r="K1353" s="37">
        <f>TRIM(LEFT(Table3[[#This Row],[Group]],2))</f>
        <v/>
      </c>
      <c r="L1353" s="3" t="inlineStr">
        <is>
          <t>NON SALES</t>
        </is>
      </c>
    </row>
    <row r="1354">
      <c r="A1354" s="5" t="inlineStr">
        <is>
          <t>OP08733</t>
        </is>
      </c>
      <c r="B1354" s="6" t="inlineStr">
        <is>
          <t>Elvina</t>
        </is>
      </c>
      <c r="C1354" s="7" t="inlineStr">
        <is>
          <t>A - Agen</t>
        </is>
      </c>
      <c r="D1354" s="1" t="inlineStr">
        <is>
          <t>OP00002</t>
        </is>
      </c>
      <c r="E1354" s="8" t="n">
        <v>45169.44375</v>
      </c>
      <c r="F1354" s="7" t="inlineStr">
        <is>
          <t>AGEN</t>
        </is>
      </c>
      <c r="G1354" s="18" t="inlineStr">
        <is>
          <t>OP08733</t>
        </is>
      </c>
      <c r="H1354" s="19">
        <f>UPPER(Table3[[#This Row],[Agen id]]&amp;"-"&amp;VLOOKUP(Table3[[#This Row],[Agen id]],A:B,2,0)&amp;"("&amp;Table3[[#This Row],[Short]]&amp;")")</f>
        <v/>
      </c>
      <c r="J1354" s="7">
        <f>VLOOKUP(Table3[[#This Row],[Agen id]],Agen!A:C,3,0)</f>
        <v/>
      </c>
      <c r="K1354" s="37">
        <f>TRIM(LEFT(Table3[[#This Row],[Group]],2))</f>
        <v/>
      </c>
      <c r="L1354" s="3" t="inlineStr">
        <is>
          <t>NON SALES</t>
        </is>
      </c>
    </row>
    <row r="1355">
      <c r="A1355" s="5" t="inlineStr">
        <is>
          <t>OP08738</t>
        </is>
      </c>
      <c r="B1355" s="6" t="inlineStr">
        <is>
          <t>menisacell</t>
        </is>
      </c>
      <c r="C1355" s="7" t="inlineStr">
        <is>
          <t>A - Agen</t>
        </is>
      </c>
      <c r="D1355" s="1" t="inlineStr">
        <is>
          <t>OP00049</t>
        </is>
      </c>
      <c r="E1355" s="8" t="n">
        <v>45170.53194444445</v>
      </c>
      <c r="F1355" s="7" t="inlineStr">
        <is>
          <t>DOWNLINE</t>
        </is>
      </c>
      <c r="G1355" s="18" t="inlineStr">
        <is>
          <t>OP00049</t>
        </is>
      </c>
      <c r="H1355" s="19">
        <f>UPPER(Table3[[#This Row],[Agen id]]&amp;"-"&amp;VLOOKUP(Table3[[#This Row],[Agen id]],A:B,2,0)&amp;"("&amp;Table3[[#This Row],[Short]]&amp;")")</f>
        <v/>
      </c>
      <c r="J1355" s="7">
        <f>VLOOKUP(Table3[[#This Row],[Agen id]],Agen!A:C,3,0)</f>
        <v/>
      </c>
      <c r="K1355" s="37">
        <f>TRIM(LEFT(Table3[[#This Row],[Group]],2))</f>
        <v/>
      </c>
      <c r="L1355" s="3" t="inlineStr">
        <is>
          <t>NON SALES</t>
        </is>
      </c>
    </row>
    <row r="1356">
      <c r="A1356" s="5" t="inlineStr">
        <is>
          <t>OP08740</t>
        </is>
      </c>
      <c r="B1356" s="6" t="inlineStr">
        <is>
          <t>Hanifa Cell</t>
        </is>
      </c>
      <c r="C1356" s="7" t="inlineStr">
        <is>
          <t>AB1 - Agen Kab Bogor</t>
        </is>
      </c>
      <c r="D1356" s="1" t="inlineStr">
        <is>
          <t>OP07367</t>
        </is>
      </c>
      <c r="E1356" s="8" t="n">
        <v>45170.54861111111</v>
      </c>
      <c r="F1356" s="7" t="inlineStr">
        <is>
          <t>AGEN</t>
        </is>
      </c>
      <c r="G1356" s="18" t="inlineStr">
        <is>
          <t>OP08740</t>
        </is>
      </c>
      <c r="H1356" s="19">
        <f>UPPER(Table3[[#This Row],[Agen id]]&amp;"-"&amp;VLOOKUP(Table3[[#This Row],[Agen id]],A:B,2,0)&amp;"("&amp;Table3[[#This Row],[Short]]&amp;")")</f>
        <v/>
      </c>
      <c r="J1356" s="7">
        <f>VLOOKUP(Table3[[#This Row],[Agen id]],Agen!A:C,3,0)</f>
        <v/>
      </c>
      <c r="K1356" s="37">
        <f>TRIM(LEFT(Table3[[#This Row],[Group]],2))</f>
        <v/>
      </c>
      <c r="L1356" s="3" t="inlineStr">
        <is>
          <t>ARIS</t>
        </is>
      </c>
    </row>
    <row r="1357">
      <c r="A1357" s="5" t="inlineStr">
        <is>
          <t>OP08741</t>
        </is>
      </c>
      <c r="B1357" s="6" t="inlineStr">
        <is>
          <t>Tia</t>
        </is>
      </c>
      <c r="C1357" s="7" t="inlineStr">
        <is>
          <t>A - Agen</t>
        </is>
      </c>
      <c r="D1357" s="1" t="inlineStr">
        <is>
          <t>OP00002</t>
        </is>
      </c>
      <c r="E1357" s="8" t="n">
        <v>45170.5625</v>
      </c>
      <c r="F1357" s="7" t="inlineStr">
        <is>
          <t>AGEN</t>
        </is>
      </c>
      <c r="G1357" s="18" t="inlineStr">
        <is>
          <t>OP08741</t>
        </is>
      </c>
      <c r="H1357" s="19">
        <f>UPPER(Table3[[#This Row],[Agen id]]&amp;"-"&amp;VLOOKUP(Table3[[#This Row],[Agen id]],A:B,2,0)&amp;"("&amp;Table3[[#This Row],[Short]]&amp;")")</f>
        <v/>
      </c>
      <c r="J1357" s="7">
        <f>VLOOKUP(Table3[[#This Row],[Agen id]],Agen!A:C,3,0)</f>
        <v/>
      </c>
      <c r="K1357" s="37">
        <f>TRIM(LEFT(Table3[[#This Row],[Group]],2))</f>
        <v/>
      </c>
      <c r="L1357" s="3" t="inlineStr">
        <is>
          <t>NON SALES</t>
        </is>
      </c>
    </row>
    <row r="1358">
      <c r="A1358" s="5" t="inlineStr">
        <is>
          <t>OP08743</t>
        </is>
      </c>
      <c r="B1358" s="6" t="inlineStr">
        <is>
          <t>Reni</t>
        </is>
      </c>
      <c r="C1358" s="7" t="inlineStr">
        <is>
          <t>A - Agen</t>
        </is>
      </c>
      <c r="D1358" s="1" t="inlineStr">
        <is>
          <t>OP00002</t>
        </is>
      </c>
      <c r="E1358" s="8" t="n">
        <v>45170.59791666667</v>
      </c>
      <c r="F1358" s="7" t="inlineStr">
        <is>
          <t>AGEN</t>
        </is>
      </c>
      <c r="G1358" s="18" t="inlineStr">
        <is>
          <t>OP08743</t>
        </is>
      </c>
      <c r="H1358" s="19">
        <f>UPPER(Table3[[#This Row],[Agen id]]&amp;"-"&amp;VLOOKUP(Table3[[#This Row],[Agen id]],A:B,2,0)&amp;"("&amp;Table3[[#This Row],[Short]]&amp;")")</f>
        <v/>
      </c>
      <c r="J1358" s="7">
        <f>VLOOKUP(Table3[[#This Row],[Agen id]],Agen!A:C,3,0)</f>
        <v/>
      </c>
      <c r="K1358" s="37">
        <f>TRIM(LEFT(Table3[[#This Row],[Group]],2))</f>
        <v/>
      </c>
      <c r="L1358" s="3" t="inlineStr">
        <is>
          <t>NON SALES</t>
        </is>
      </c>
    </row>
    <row r="1359">
      <c r="A1359" s="5" t="inlineStr">
        <is>
          <t>OP08746</t>
        </is>
      </c>
      <c r="B1359" s="6" t="inlineStr">
        <is>
          <t>CooL ceLL</t>
        </is>
      </c>
      <c r="C1359" s="7" t="inlineStr">
        <is>
          <t>AT1 - Agen Tangerang</t>
        </is>
      </c>
      <c r="D1359" s="1" t="inlineStr">
        <is>
          <t>OP07683</t>
        </is>
      </c>
      <c r="E1359" s="8" t="n">
        <v>45170.66736111111</v>
      </c>
      <c r="F1359" s="7" t="inlineStr">
        <is>
          <t>AGEN</t>
        </is>
      </c>
      <c r="G1359" s="18" t="inlineStr">
        <is>
          <t>OP08746</t>
        </is>
      </c>
      <c r="H1359" s="19">
        <f>UPPER(Table3[[#This Row],[Agen id]]&amp;"-"&amp;VLOOKUP(Table3[[#This Row],[Agen id]],A:B,2,0)&amp;"("&amp;Table3[[#This Row],[Short]]&amp;")")</f>
        <v/>
      </c>
      <c r="J1359" s="7">
        <f>VLOOKUP(Table3[[#This Row],[Agen id]],Agen!A:C,3,0)</f>
        <v/>
      </c>
      <c r="K1359" s="37">
        <f>TRIM(LEFT(Table3[[#This Row],[Group]],2))</f>
        <v/>
      </c>
      <c r="L1359" s="3" t="inlineStr">
        <is>
          <t>AZIZ</t>
        </is>
      </c>
    </row>
    <row r="1360">
      <c r="A1360" s="5" t="inlineStr">
        <is>
          <t>OP08767</t>
        </is>
      </c>
      <c r="B1360" s="6" t="inlineStr">
        <is>
          <t>Dini novi</t>
        </is>
      </c>
      <c r="C1360" s="7" t="inlineStr">
        <is>
          <t>AV - Agen Verified</t>
        </is>
      </c>
      <c r="D1360" s="1" t="inlineStr">
        <is>
          <t>OP00051</t>
        </is>
      </c>
      <c r="E1360" s="8" t="n">
        <v>45171.32569444444</v>
      </c>
      <c r="F1360" s="7" t="inlineStr">
        <is>
          <t>DOWNLINE</t>
        </is>
      </c>
      <c r="G1360" s="18" t="inlineStr">
        <is>
          <t>OP00051</t>
        </is>
      </c>
      <c r="H1360" s="19">
        <f>UPPER(Table3[[#This Row],[Agen id]]&amp;"-"&amp;VLOOKUP(Table3[[#This Row],[Agen id]],A:B,2,0)&amp;"("&amp;Table3[[#This Row],[Short]]&amp;")")</f>
        <v/>
      </c>
      <c r="J1360" s="7">
        <f>VLOOKUP(Table3[[#This Row],[Agen id]],Agen!A:C,3,0)</f>
        <v/>
      </c>
      <c r="K1360" s="37">
        <f>TRIM(LEFT(Table3[[#This Row],[Group]],2))</f>
        <v/>
      </c>
      <c r="L1360" s="3" t="inlineStr">
        <is>
          <t>NON SALES</t>
        </is>
      </c>
    </row>
    <row r="1361">
      <c r="A1361" s="5" t="inlineStr">
        <is>
          <t>OP08774</t>
        </is>
      </c>
      <c r="B1361" s="6" t="inlineStr">
        <is>
          <t>Nujumuz zahiroh</t>
        </is>
      </c>
      <c r="C1361" s="7" t="inlineStr">
        <is>
          <t>A - Agen</t>
        </is>
      </c>
      <c r="D1361" s="1" t="inlineStr">
        <is>
          <t>OP00002</t>
        </is>
      </c>
      <c r="E1361" s="8" t="n">
        <v>45171.41388888889</v>
      </c>
      <c r="F1361" s="7" t="inlineStr">
        <is>
          <t>AGEN</t>
        </is>
      </c>
      <c r="G1361" s="18" t="inlineStr">
        <is>
          <t>OP08774</t>
        </is>
      </c>
      <c r="H1361" s="19">
        <f>UPPER(Table3[[#This Row],[Agen id]]&amp;"-"&amp;VLOOKUP(Table3[[#This Row],[Agen id]],A:B,2,0)&amp;"("&amp;Table3[[#This Row],[Short]]&amp;")")</f>
        <v/>
      </c>
      <c r="J1361" s="7">
        <f>VLOOKUP(Table3[[#This Row],[Agen id]],Agen!A:C,3,0)</f>
        <v/>
      </c>
      <c r="K1361" s="37">
        <f>TRIM(LEFT(Table3[[#This Row],[Group]],2))</f>
        <v/>
      </c>
      <c r="L1361" s="3" t="inlineStr">
        <is>
          <t>NON SALES</t>
        </is>
      </c>
    </row>
    <row r="1362">
      <c r="A1362" s="5" t="inlineStr">
        <is>
          <t>OP08775</t>
        </is>
      </c>
      <c r="B1362" s="6" t="inlineStr">
        <is>
          <t>Buba Cell</t>
        </is>
      </c>
      <c r="C1362" s="7" t="inlineStr">
        <is>
          <t>AB1 - Agen Kab Bogor</t>
        </is>
      </c>
      <c r="D1362" s="1" t="inlineStr">
        <is>
          <t>OP07367</t>
        </is>
      </c>
      <c r="E1362" s="8" t="n">
        <v>45171.43402777778</v>
      </c>
      <c r="F1362" s="7" t="inlineStr">
        <is>
          <t>AGEN</t>
        </is>
      </c>
      <c r="G1362" s="18" t="inlineStr">
        <is>
          <t>OP08775</t>
        </is>
      </c>
      <c r="H1362" s="19">
        <f>UPPER(Table3[[#This Row],[Agen id]]&amp;"-"&amp;VLOOKUP(Table3[[#This Row],[Agen id]],A:B,2,0)&amp;"("&amp;Table3[[#This Row],[Short]]&amp;")")</f>
        <v/>
      </c>
      <c r="J1362" s="7">
        <f>VLOOKUP(Table3[[#This Row],[Agen id]],Agen!A:C,3,0)</f>
        <v/>
      </c>
      <c r="K1362" s="37">
        <f>TRIM(LEFT(Table3[[#This Row],[Group]],2))</f>
        <v/>
      </c>
      <c r="L1362" s="3" t="inlineStr">
        <is>
          <t>ARIS</t>
        </is>
      </c>
    </row>
    <row r="1363">
      <c r="A1363" s="5" t="inlineStr">
        <is>
          <t>OP08779</t>
        </is>
      </c>
      <c r="B1363" s="6" t="inlineStr">
        <is>
          <t>EKO ISTIAWAN</t>
        </is>
      </c>
      <c r="C1363" s="7" t="inlineStr">
        <is>
          <t>AV - Agen Verified</t>
        </is>
      </c>
      <c r="D1363" s="1" t="inlineStr">
        <is>
          <t>OP00002</t>
        </is>
      </c>
      <c r="E1363" s="8" t="n">
        <v>45171.55277777778</v>
      </c>
      <c r="F1363" s="7" t="inlineStr">
        <is>
          <t>AGEN</t>
        </is>
      </c>
      <c r="G1363" s="18" t="inlineStr">
        <is>
          <t>OP08779</t>
        </is>
      </c>
      <c r="H1363" s="19">
        <f>UPPER(Table3[[#This Row],[Agen id]]&amp;"-"&amp;VLOOKUP(Table3[[#This Row],[Agen id]],A:B,2,0)&amp;"("&amp;Table3[[#This Row],[Short]]&amp;")")</f>
        <v/>
      </c>
      <c r="J1363" s="7">
        <f>VLOOKUP(Table3[[#This Row],[Agen id]],Agen!A:C,3,0)</f>
        <v/>
      </c>
      <c r="K1363" s="37">
        <f>TRIM(LEFT(Table3[[#This Row],[Group]],2))</f>
        <v/>
      </c>
      <c r="L1363" s="3" t="inlineStr">
        <is>
          <t>NON SALES</t>
        </is>
      </c>
    </row>
    <row r="1364">
      <c r="A1364" s="5" t="inlineStr">
        <is>
          <t>OP08795</t>
        </is>
      </c>
      <c r="B1364" s="6" t="inlineStr">
        <is>
          <t>Yuli ce</t>
        </is>
      </c>
      <c r="C1364" s="7" t="inlineStr">
        <is>
          <t>AV - Agen Verified</t>
        </is>
      </c>
      <c r="D1364" s="1" t="inlineStr">
        <is>
          <t>OP00002</t>
        </is>
      </c>
      <c r="E1364" s="8" t="n">
        <v>45172.27569444444</v>
      </c>
      <c r="F1364" s="7" t="inlineStr">
        <is>
          <t>AGEN</t>
        </is>
      </c>
      <c r="G1364" s="18" t="inlineStr">
        <is>
          <t>OP08795</t>
        </is>
      </c>
      <c r="H1364" s="19">
        <f>UPPER(Table3[[#This Row],[Agen id]]&amp;"-"&amp;VLOOKUP(Table3[[#This Row],[Agen id]],A:B,2,0)&amp;"("&amp;Table3[[#This Row],[Short]]&amp;")")</f>
        <v/>
      </c>
      <c r="J1364" s="7">
        <f>VLOOKUP(Table3[[#This Row],[Agen id]],Agen!A:C,3,0)</f>
        <v/>
      </c>
      <c r="K1364" s="37">
        <f>TRIM(LEFT(Table3[[#This Row],[Group]],2))</f>
        <v/>
      </c>
      <c r="L1364" s="3" t="inlineStr">
        <is>
          <t>NON SALES</t>
        </is>
      </c>
    </row>
    <row r="1365">
      <c r="A1365" s="5" t="inlineStr">
        <is>
          <t>OP08804</t>
        </is>
      </c>
      <c r="B1365" s="6" t="inlineStr">
        <is>
          <t>SAMBAS CELLULAR</t>
        </is>
      </c>
      <c r="C1365" s="7" t="inlineStr">
        <is>
          <t>AV - Agen Verified</t>
        </is>
      </c>
      <c r="D1365" s="1" t="inlineStr">
        <is>
          <t>OP00949</t>
        </is>
      </c>
      <c r="E1365" s="8" t="n">
        <v>45172.56944444445</v>
      </c>
      <c r="F1365" s="7" t="inlineStr">
        <is>
          <t>DOWNLINE</t>
        </is>
      </c>
      <c r="G1365" s="18" t="inlineStr">
        <is>
          <t>OP00949</t>
        </is>
      </c>
      <c r="H1365" s="19">
        <f>UPPER(Table3[[#This Row],[Agen id]]&amp;"-"&amp;VLOOKUP(Table3[[#This Row],[Agen id]],A:B,2,0)&amp;"("&amp;Table3[[#This Row],[Short]]&amp;")")</f>
        <v/>
      </c>
      <c r="J1365" s="7">
        <f>VLOOKUP(Table3[[#This Row],[Agen id]],Agen!A:C,3,0)</f>
        <v/>
      </c>
      <c r="K1365" s="37">
        <f>TRIM(LEFT(Table3[[#This Row],[Group]],2))</f>
        <v/>
      </c>
      <c r="L1365" s="3" t="inlineStr">
        <is>
          <t>NON SALES</t>
        </is>
      </c>
    </row>
    <row r="1366">
      <c r="A1366" s="5" t="inlineStr">
        <is>
          <t>OP08809</t>
        </is>
      </c>
      <c r="B1366" s="6" t="inlineStr">
        <is>
          <t>Syifa cell</t>
        </is>
      </c>
      <c r="C1366" s="7" t="inlineStr">
        <is>
          <t>AB1 - Agen Kab Bogor</t>
        </is>
      </c>
      <c r="D1366" s="1" t="inlineStr">
        <is>
          <t>OP07367</t>
        </is>
      </c>
      <c r="E1366" s="8" t="n">
        <v>45172.65833333333</v>
      </c>
      <c r="F1366" s="7" t="inlineStr">
        <is>
          <t>AGEN</t>
        </is>
      </c>
      <c r="G1366" s="18" t="inlineStr">
        <is>
          <t>OP08809</t>
        </is>
      </c>
      <c r="H1366" s="19">
        <f>UPPER(Table3[[#This Row],[Agen id]]&amp;"-"&amp;VLOOKUP(Table3[[#This Row],[Agen id]],A:B,2,0)&amp;"("&amp;Table3[[#This Row],[Short]]&amp;")")</f>
        <v/>
      </c>
      <c r="J1366" s="7">
        <f>VLOOKUP(Table3[[#This Row],[Agen id]],Agen!A:C,3,0)</f>
        <v/>
      </c>
      <c r="K1366" s="37">
        <f>TRIM(LEFT(Table3[[#This Row],[Group]],2))</f>
        <v/>
      </c>
      <c r="L1366" s="3" t="inlineStr">
        <is>
          <t>ARIS</t>
        </is>
      </c>
    </row>
    <row r="1367">
      <c r="A1367" s="5" t="inlineStr">
        <is>
          <t>OP08818</t>
        </is>
      </c>
      <c r="B1367" s="6" t="inlineStr">
        <is>
          <t>Ana Riska</t>
        </is>
      </c>
      <c r="C1367" s="7" t="inlineStr">
        <is>
          <t>A - Agen</t>
        </is>
      </c>
      <c r="D1367" s="1" t="inlineStr">
        <is>
          <t>OP00002</t>
        </is>
      </c>
      <c r="E1367" s="8" t="n">
        <v>45173.45</v>
      </c>
      <c r="F1367" s="7" t="inlineStr">
        <is>
          <t>AGEN</t>
        </is>
      </c>
      <c r="G1367" s="18" t="inlineStr">
        <is>
          <t>OP08818</t>
        </is>
      </c>
      <c r="H1367" s="19">
        <f>UPPER(Table3[[#This Row],[Agen id]]&amp;"-"&amp;VLOOKUP(Table3[[#This Row],[Agen id]],A:B,2,0)&amp;"("&amp;Table3[[#This Row],[Short]]&amp;")")</f>
        <v/>
      </c>
      <c r="J1367" s="7">
        <f>VLOOKUP(Table3[[#This Row],[Agen id]],Agen!A:C,3,0)</f>
        <v/>
      </c>
      <c r="K1367" s="37">
        <f>TRIM(LEFT(Table3[[#This Row],[Group]],2))</f>
        <v/>
      </c>
      <c r="L1367" s="3" t="inlineStr">
        <is>
          <t>NON SALES</t>
        </is>
      </c>
    </row>
    <row r="1368">
      <c r="A1368" s="5" t="inlineStr">
        <is>
          <t>OP08825</t>
        </is>
      </c>
      <c r="B1368" s="6" t="inlineStr">
        <is>
          <t>ALFARREL</t>
        </is>
      </c>
      <c r="C1368" s="7" t="inlineStr">
        <is>
          <t>AT1 - Agen Tangerang</t>
        </is>
      </c>
      <c r="D1368" s="1" t="inlineStr">
        <is>
          <t>OP07683</t>
        </is>
      </c>
      <c r="E1368" s="8" t="n">
        <v>45173.55625</v>
      </c>
      <c r="F1368" s="7" t="inlineStr">
        <is>
          <t>AGEN</t>
        </is>
      </c>
      <c r="G1368" s="18" t="inlineStr">
        <is>
          <t>OP08825</t>
        </is>
      </c>
      <c r="H1368" s="19">
        <f>UPPER(Table3[[#This Row],[Agen id]]&amp;"-"&amp;VLOOKUP(Table3[[#This Row],[Agen id]],A:B,2,0)&amp;"("&amp;Table3[[#This Row],[Short]]&amp;")")</f>
        <v/>
      </c>
      <c r="J1368" s="7">
        <f>VLOOKUP(Table3[[#This Row],[Agen id]],Agen!A:C,3,0)</f>
        <v/>
      </c>
      <c r="K1368" s="37">
        <f>TRIM(LEFT(Table3[[#This Row],[Group]],2))</f>
        <v/>
      </c>
      <c r="L1368" s="3" t="inlineStr">
        <is>
          <t>AZIZ</t>
        </is>
      </c>
    </row>
    <row r="1369">
      <c r="A1369" s="5" t="inlineStr">
        <is>
          <t>OP08827</t>
        </is>
      </c>
      <c r="B1369" s="6" t="inlineStr">
        <is>
          <t>ALFARREL 2</t>
        </is>
      </c>
      <c r="C1369" s="7" t="inlineStr">
        <is>
          <t>AT1 - Agen Tangerang</t>
        </is>
      </c>
      <c r="D1369" s="1" t="inlineStr">
        <is>
          <t>OP07683</t>
        </is>
      </c>
      <c r="E1369" s="8" t="n">
        <v>45173.58055555556</v>
      </c>
      <c r="F1369" s="7" t="inlineStr">
        <is>
          <t>AGEN</t>
        </is>
      </c>
      <c r="G1369" s="18" t="inlineStr">
        <is>
          <t>OP08827</t>
        </is>
      </c>
      <c r="H1369" s="19">
        <f>UPPER(Table3[[#This Row],[Agen id]]&amp;"-"&amp;VLOOKUP(Table3[[#This Row],[Agen id]],A:B,2,0)&amp;"("&amp;Table3[[#This Row],[Short]]&amp;")")</f>
        <v/>
      </c>
      <c r="J1369" s="7">
        <f>VLOOKUP(Table3[[#This Row],[Agen id]],Agen!A:C,3,0)</f>
        <v/>
      </c>
      <c r="K1369" s="37">
        <f>TRIM(LEFT(Table3[[#This Row],[Group]],2))</f>
        <v/>
      </c>
      <c r="L1369" s="3" t="inlineStr">
        <is>
          <t>AZIZ</t>
        </is>
      </c>
    </row>
    <row r="1370">
      <c r="A1370" s="5" t="inlineStr">
        <is>
          <t>OP08831</t>
        </is>
      </c>
      <c r="B1370" s="6" t="inlineStr">
        <is>
          <t>Dewilce</t>
        </is>
      </c>
      <c r="C1370" s="7" t="inlineStr">
        <is>
          <t>AV - Agen Verified</t>
        </is>
      </c>
      <c r="D1370" s="1" t="inlineStr">
        <is>
          <t>OP00002</t>
        </is>
      </c>
      <c r="E1370" s="8" t="n">
        <v>45173.61805555555</v>
      </c>
      <c r="F1370" s="7" t="inlineStr">
        <is>
          <t>AGEN</t>
        </is>
      </c>
      <c r="G1370" s="18" t="inlineStr">
        <is>
          <t>OP08831</t>
        </is>
      </c>
      <c r="H1370" s="19">
        <f>UPPER(Table3[[#This Row],[Agen id]]&amp;"-"&amp;VLOOKUP(Table3[[#This Row],[Agen id]],A:B,2,0)&amp;"("&amp;Table3[[#This Row],[Short]]&amp;")")</f>
        <v/>
      </c>
      <c r="J1370" s="7">
        <f>VLOOKUP(Table3[[#This Row],[Agen id]],Agen!A:C,3,0)</f>
        <v/>
      </c>
      <c r="K1370" s="37">
        <f>TRIM(LEFT(Table3[[#This Row],[Group]],2))</f>
        <v/>
      </c>
      <c r="L1370" s="3" t="inlineStr">
        <is>
          <t>NON SALES</t>
        </is>
      </c>
    </row>
    <row r="1371">
      <c r="A1371" s="5" t="inlineStr">
        <is>
          <t>OP08834</t>
        </is>
      </c>
      <c r="B1371" s="6" t="inlineStr">
        <is>
          <t>Alfath</t>
        </is>
      </c>
      <c r="C1371" s="7" t="inlineStr">
        <is>
          <t>AT1 - Agen Tangerang</t>
        </is>
      </c>
      <c r="D1371" s="1" t="inlineStr">
        <is>
          <t>OP07683</t>
        </is>
      </c>
      <c r="E1371" s="8" t="n">
        <v>45173.66458333333</v>
      </c>
      <c r="F1371" s="7" t="inlineStr">
        <is>
          <t>AGEN</t>
        </is>
      </c>
      <c r="G1371" s="18" t="inlineStr">
        <is>
          <t>OP08834</t>
        </is>
      </c>
      <c r="H1371" s="19">
        <f>UPPER(Table3[[#This Row],[Agen id]]&amp;"-"&amp;VLOOKUP(Table3[[#This Row],[Agen id]],A:B,2,0)&amp;"("&amp;Table3[[#This Row],[Short]]&amp;")")</f>
        <v/>
      </c>
      <c r="J1371" s="7">
        <f>VLOOKUP(Table3[[#This Row],[Agen id]],Agen!A:C,3,0)</f>
        <v/>
      </c>
      <c r="K1371" s="37">
        <f>TRIM(LEFT(Table3[[#This Row],[Group]],2))</f>
        <v/>
      </c>
      <c r="L1371" s="3" t="inlineStr">
        <is>
          <t>AZIZ</t>
        </is>
      </c>
    </row>
    <row r="1372">
      <c r="A1372" s="5" t="inlineStr">
        <is>
          <t>OP08841</t>
        </is>
      </c>
      <c r="B1372" s="6" t="inlineStr">
        <is>
          <t>Diana sopia</t>
        </is>
      </c>
      <c r="C1372" s="7" t="inlineStr">
        <is>
          <t>AV - Agen Verified</t>
        </is>
      </c>
      <c r="D1372" s="1" t="inlineStr">
        <is>
          <t>OP00266</t>
        </is>
      </c>
      <c r="E1372" s="8" t="n">
        <v>45173.90138888889</v>
      </c>
      <c r="F1372" s="7" t="inlineStr">
        <is>
          <t>DOWNLINE</t>
        </is>
      </c>
      <c r="G1372" s="18" t="inlineStr">
        <is>
          <t>OP00015</t>
        </is>
      </c>
      <c r="H1372" s="19">
        <f>UPPER(Table3[[#This Row],[Agen id]]&amp;"-"&amp;VLOOKUP(Table3[[#This Row],[Agen id]],A:B,2,0)&amp;"("&amp;Table3[[#This Row],[Short]]&amp;")")</f>
        <v/>
      </c>
      <c r="J1372" s="7">
        <f>VLOOKUP(Table3[[#This Row],[Agen id]],Agen!A:C,3,0)</f>
        <v/>
      </c>
      <c r="K1372" s="37">
        <f>TRIM(LEFT(Table3[[#This Row],[Group]],2))</f>
        <v/>
      </c>
      <c r="L1372" s="3" t="inlineStr">
        <is>
          <t>NON SALES</t>
        </is>
      </c>
    </row>
    <row r="1373">
      <c r="A1373" s="5" t="inlineStr">
        <is>
          <t>OP08842</t>
        </is>
      </c>
      <c r="B1373" s="6" t="inlineStr">
        <is>
          <t>Bang itos</t>
        </is>
      </c>
      <c r="C1373" s="7" t="inlineStr">
        <is>
          <t>A - Agen</t>
        </is>
      </c>
      <c r="D1373" s="1" t="inlineStr">
        <is>
          <t>OP00002</t>
        </is>
      </c>
      <c r="E1373" s="8" t="n">
        <v>45174.06875</v>
      </c>
      <c r="F1373" s="7" t="inlineStr">
        <is>
          <t>AGEN</t>
        </is>
      </c>
      <c r="G1373" s="18" t="inlineStr">
        <is>
          <t>OP08842</t>
        </is>
      </c>
      <c r="H1373" s="19">
        <f>UPPER(Table3[[#This Row],[Agen id]]&amp;"-"&amp;VLOOKUP(Table3[[#This Row],[Agen id]],A:B,2,0)&amp;"("&amp;Table3[[#This Row],[Short]]&amp;")")</f>
        <v/>
      </c>
      <c r="J1373" s="7">
        <f>VLOOKUP(Table3[[#This Row],[Agen id]],Agen!A:C,3,0)</f>
        <v/>
      </c>
      <c r="K1373" s="37">
        <f>TRIM(LEFT(Table3[[#This Row],[Group]],2))</f>
        <v/>
      </c>
      <c r="L1373" s="3" t="inlineStr">
        <is>
          <t>NON SALES</t>
        </is>
      </c>
    </row>
    <row r="1374">
      <c r="A1374" s="5" t="inlineStr">
        <is>
          <t>OP08844</t>
        </is>
      </c>
      <c r="B1374" s="6" t="inlineStr">
        <is>
          <t>Kiwen niarsih</t>
        </is>
      </c>
      <c r="C1374" s="7" t="inlineStr">
        <is>
          <t>A - Agen</t>
        </is>
      </c>
      <c r="D1374" s="1" t="inlineStr">
        <is>
          <t>OP00002</t>
        </is>
      </c>
      <c r="E1374" s="8" t="n">
        <v>45174.3125</v>
      </c>
      <c r="F1374" s="7" t="inlineStr">
        <is>
          <t>AGEN</t>
        </is>
      </c>
      <c r="G1374" s="18" t="inlineStr">
        <is>
          <t>OP08844</t>
        </is>
      </c>
      <c r="H1374" s="19">
        <f>UPPER(Table3[[#This Row],[Agen id]]&amp;"-"&amp;VLOOKUP(Table3[[#This Row],[Agen id]],A:B,2,0)&amp;"("&amp;Table3[[#This Row],[Short]]&amp;")")</f>
        <v/>
      </c>
      <c r="J1374" s="7">
        <f>VLOOKUP(Table3[[#This Row],[Agen id]],Agen!A:C,3,0)</f>
        <v/>
      </c>
      <c r="K1374" s="37">
        <f>TRIM(LEFT(Table3[[#This Row],[Group]],2))</f>
        <v/>
      </c>
      <c r="L1374" s="3" t="inlineStr">
        <is>
          <t>NON SALES</t>
        </is>
      </c>
    </row>
    <row r="1375">
      <c r="A1375" s="5" t="inlineStr">
        <is>
          <t>OP08869</t>
        </is>
      </c>
      <c r="B1375" s="6" t="inlineStr">
        <is>
          <t>Ima teluk kabung</t>
        </is>
      </c>
      <c r="C1375" s="7" t="inlineStr">
        <is>
          <t>A - Agen</t>
        </is>
      </c>
      <c r="D1375" s="1" t="inlineStr">
        <is>
          <t>OP00002</t>
        </is>
      </c>
      <c r="E1375" s="8" t="n">
        <v>45175.46111111111</v>
      </c>
      <c r="F1375" s="7" t="inlineStr">
        <is>
          <t>AGEN</t>
        </is>
      </c>
      <c r="G1375" s="18" t="inlineStr">
        <is>
          <t>OP08869</t>
        </is>
      </c>
      <c r="H1375" s="19">
        <f>UPPER(Table3[[#This Row],[Agen id]]&amp;"-"&amp;VLOOKUP(Table3[[#This Row],[Agen id]],A:B,2,0)&amp;"("&amp;Table3[[#This Row],[Short]]&amp;")")</f>
        <v/>
      </c>
      <c r="J1375" s="7">
        <f>VLOOKUP(Table3[[#This Row],[Agen id]],Agen!A:C,3,0)</f>
        <v/>
      </c>
      <c r="K1375" s="37">
        <f>TRIM(LEFT(Table3[[#This Row],[Group]],2))</f>
        <v/>
      </c>
      <c r="L1375" s="3" t="inlineStr">
        <is>
          <t>NON SALES</t>
        </is>
      </c>
    </row>
    <row r="1376">
      <c r="A1376" s="5" t="inlineStr">
        <is>
          <t>OP08870</t>
        </is>
      </c>
      <c r="B1376" s="6" t="inlineStr">
        <is>
          <t>masmur cell</t>
        </is>
      </c>
      <c r="C1376" s="7" t="inlineStr">
        <is>
          <t>A - Agen</t>
        </is>
      </c>
      <c r="D1376" s="1" t="inlineStr">
        <is>
          <t>OP04672</t>
        </is>
      </c>
      <c r="E1376" s="8" t="n">
        <v>45175.51944444444</v>
      </c>
      <c r="F1376" s="7" t="inlineStr">
        <is>
          <t>DOWNLINE</t>
        </is>
      </c>
      <c r="G1376" s="18" t="inlineStr">
        <is>
          <t>OP04672</t>
        </is>
      </c>
      <c r="H1376" s="19">
        <f>UPPER(Table3[[#This Row],[Agen id]]&amp;"-"&amp;VLOOKUP(Table3[[#This Row],[Agen id]],A:B,2,0)&amp;"("&amp;Table3[[#This Row],[Short]]&amp;")")</f>
        <v/>
      </c>
      <c r="J1376" s="7">
        <f>VLOOKUP(Table3[[#This Row],[Agen id]],Agen!A:C,3,0)</f>
        <v/>
      </c>
      <c r="K1376" s="37">
        <f>TRIM(LEFT(Table3[[#This Row],[Group]],2))</f>
        <v/>
      </c>
      <c r="L1376" s="3" t="inlineStr">
        <is>
          <t>NON SALES</t>
        </is>
      </c>
    </row>
    <row r="1377">
      <c r="A1377" s="5" t="inlineStr">
        <is>
          <t>OP08874</t>
        </is>
      </c>
      <c r="B1377" s="6" t="inlineStr">
        <is>
          <t>Putri cell</t>
        </is>
      </c>
      <c r="C1377" s="7" t="inlineStr">
        <is>
          <t>AB1 - Agen Kab Bogor</t>
        </is>
      </c>
      <c r="D1377" s="1" t="inlineStr">
        <is>
          <t>OP07367</t>
        </is>
      </c>
      <c r="E1377" s="8" t="n">
        <v>45175.53680555556</v>
      </c>
      <c r="F1377" s="7" t="inlineStr">
        <is>
          <t>AGEN</t>
        </is>
      </c>
      <c r="G1377" s="18" t="inlineStr">
        <is>
          <t>OP08874</t>
        </is>
      </c>
      <c r="H1377" s="19">
        <f>UPPER(Table3[[#This Row],[Agen id]]&amp;"-"&amp;VLOOKUP(Table3[[#This Row],[Agen id]],A:B,2,0)&amp;"("&amp;Table3[[#This Row],[Short]]&amp;")")</f>
        <v/>
      </c>
      <c r="J1377" s="7">
        <f>VLOOKUP(Table3[[#This Row],[Agen id]],Agen!A:C,3,0)</f>
        <v/>
      </c>
      <c r="K1377" s="37">
        <f>TRIM(LEFT(Table3[[#This Row],[Group]],2))</f>
        <v/>
      </c>
      <c r="L1377" s="3" t="inlineStr">
        <is>
          <t>ARIS</t>
        </is>
      </c>
    </row>
    <row r="1378">
      <c r="A1378" s="5" t="inlineStr">
        <is>
          <t>OP08877</t>
        </is>
      </c>
      <c r="B1378" s="6" t="inlineStr">
        <is>
          <t>Putri Lola Anisa Azmi</t>
        </is>
      </c>
      <c r="C1378" s="7" t="inlineStr">
        <is>
          <t>A - Agen</t>
        </is>
      </c>
      <c r="D1378" s="1" t="inlineStr">
        <is>
          <t>OP00002</t>
        </is>
      </c>
      <c r="E1378" s="8" t="n">
        <v>45175.65208333333</v>
      </c>
      <c r="F1378" s="7" t="inlineStr">
        <is>
          <t>AGEN</t>
        </is>
      </c>
      <c r="G1378" s="18" t="inlineStr">
        <is>
          <t>OP08877</t>
        </is>
      </c>
      <c r="H1378" s="19">
        <f>UPPER(Table3[[#This Row],[Agen id]]&amp;"-"&amp;VLOOKUP(Table3[[#This Row],[Agen id]],A:B,2,0)&amp;"("&amp;Table3[[#This Row],[Short]]&amp;")")</f>
        <v/>
      </c>
      <c r="J1378" s="7">
        <f>VLOOKUP(Table3[[#This Row],[Agen id]],Agen!A:C,3,0)</f>
        <v/>
      </c>
      <c r="K1378" s="37">
        <f>TRIM(LEFT(Table3[[#This Row],[Group]],2))</f>
        <v/>
      </c>
      <c r="L1378" s="3" t="inlineStr">
        <is>
          <t>NON SALES</t>
        </is>
      </c>
    </row>
    <row r="1379">
      <c r="A1379" s="5" t="inlineStr">
        <is>
          <t>OP08894</t>
        </is>
      </c>
      <c r="B1379" s="6" t="inlineStr">
        <is>
          <t>Kh cell</t>
        </is>
      </c>
      <c r="C1379" s="7" t="inlineStr">
        <is>
          <t>AB1 - Agen Kab Bogor</t>
        </is>
      </c>
      <c r="D1379" s="1" t="inlineStr">
        <is>
          <t>OP07367</t>
        </is>
      </c>
      <c r="E1379" s="8" t="n">
        <v>45176.57986111111</v>
      </c>
      <c r="F1379" s="7" t="inlineStr">
        <is>
          <t>AGEN</t>
        </is>
      </c>
      <c r="G1379" s="18" t="inlineStr">
        <is>
          <t>OP08894</t>
        </is>
      </c>
      <c r="H1379" s="19">
        <f>UPPER(Table3[[#This Row],[Agen id]]&amp;"-"&amp;VLOOKUP(Table3[[#This Row],[Agen id]],A:B,2,0)&amp;"("&amp;Table3[[#This Row],[Short]]&amp;")")</f>
        <v/>
      </c>
      <c r="J1379" s="7">
        <f>VLOOKUP(Table3[[#This Row],[Agen id]],Agen!A:C,3,0)</f>
        <v/>
      </c>
      <c r="K1379" s="37">
        <f>TRIM(LEFT(Table3[[#This Row],[Group]],2))</f>
        <v/>
      </c>
      <c r="L1379" s="3" t="inlineStr">
        <is>
          <t>ARIS</t>
        </is>
      </c>
    </row>
    <row r="1380">
      <c r="A1380" s="5" t="inlineStr">
        <is>
          <t>OP08906</t>
        </is>
      </c>
      <c r="B1380" s="6" t="inlineStr">
        <is>
          <t>Mira</t>
        </is>
      </c>
      <c r="C1380" s="7" t="inlineStr">
        <is>
          <t>MK - Marketing</t>
        </is>
      </c>
      <c r="D1380" s="1" t="inlineStr">
        <is>
          <t>OP03699</t>
        </is>
      </c>
      <c r="E1380" s="8" t="n">
        <v>45177.44791666666</v>
      </c>
      <c r="F1380" s="7" t="inlineStr">
        <is>
          <t>DOWNLINE</t>
        </is>
      </c>
      <c r="G1380" s="18" t="inlineStr">
        <is>
          <t>OP03699</t>
        </is>
      </c>
      <c r="H1380" s="19">
        <f>UPPER(Table3[[#This Row],[Agen id]]&amp;"-"&amp;VLOOKUP(Table3[[#This Row],[Agen id]],A:B,2,0)&amp;"("&amp;Table3[[#This Row],[Short]]&amp;")")</f>
        <v/>
      </c>
      <c r="J1380" s="7">
        <f>VLOOKUP(Table3[[#This Row],[Agen id]],Agen!A:C,3,0)</f>
        <v/>
      </c>
      <c r="K1380" s="37">
        <f>TRIM(LEFT(Table3[[#This Row],[Group]],2))</f>
        <v/>
      </c>
      <c r="L1380" s="3" t="inlineStr">
        <is>
          <t>NON SALES</t>
        </is>
      </c>
    </row>
    <row r="1381">
      <c r="A1381" s="5" t="inlineStr">
        <is>
          <t>OP08907</t>
        </is>
      </c>
      <c r="B1381" s="6" t="inlineStr">
        <is>
          <t>Shaheer</t>
        </is>
      </c>
      <c r="C1381" s="7" t="inlineStr">
        <is>
          <t>AV - Agen Verified</t>
        </is>
      </c>
      <c r="D1381" s="1" t="inlineStr">
        <is>
          <t>OP08491</t>
        </is>
      </c>
      <c r="E1381" s="8" t="n">
        <v>45177.47083333333</v>
      </c>
      <c r="F1381" s="7" t="inlineStr">
        <is>
          <t>DOWNLINE</t>
        </is>
      </c>
      <c r="G1381" s="18" t="inlineStr">
        <is>
          <t>OP08491</t>
        </is>
      </c>
      <c r="H1381" s="19">
        <f>UPPER(Table3[[#This Row],[Agen id]]&amp;"-"&amp;VLOOKUP(Table3[[#This Row],[Agen id]],A:B,2,0)&amp;"("&amp;Table3[[#This Row],[Short]]&amp;")")</f>
        <v/>
      </c>
      <c r="J1381" s="7">
        <f>VLOOKUP(Table3[[#This Row],[Agen id]],Agen!A:C,3,0)</f>
        <v/>
      </c>
      <c r="K1381" s="37">
        <f>TRIM(LEFT(Table3[[#This Row],[Group]],2))</f>
        <v/>
      </c>
      <c r="L1381" s="3" t="inlineStr">
        <is>
          <t>NON SALES</t>
        </is>
      </c>
    </row>
    <row r="1382">
      <c r="A1382" s="5" t="inlineStr">
        <is>
          <t>OP08912</t>
        </is>
      </c>
      <c r="B1382" s="6" t="inlineStr">
        <is>
          <t>Abizar cell</t>
        </is>
      </c>
      <c r="C1382" s="7" t="inlineStr">
        <is>
          <t>AB1 - Agen Kab Bogor</t>
        </is>
      </c>
      <c r="D1382" s="1" t="inlineStr">
        <is>
          <t>OP07367</t>
        </is>
      </c>
      <c r="E1382" s="8" t="n">
        <v>45177.64444444444</v>
      </c>
      <c r="F1382" s="7" t="inlineStr">
        <is>
          <t>AGEN</t>
        </is>
      </c>
      <c r="G1382" s="18" t="inlineStr">
        <is>
          <t>OP08912</t>
        </is>
      </c>
      <c r="H1382" s="19">
        <f>UPPER(Table3[[#This Row],[Agen id]]&amp;"-"&amp;VLOOKUP(Table3[[#This Row],[Agen id]],A:B,2,0)&amp;"("&amp;Table3[[#This Row],[Short]]&amp;")")</f>
        <v/>
      </c>
      <c r="J1382" s="7">
        <f>VLOOKUP(Table3[[#This Row],[Agen id]],Agen!A:C,3,0)</f>
        <v/>
      </c>
      <c r="K1382" s="37">
        <f>TRIM(LEFT(Table3[[#This Row],[Group]],2))</f>
        <v/>
      </c>
      <c r="L1382" s="3" t="inlineStr">
        <is>
          <t>ARIS</t>
        </is>
      </c>
    </row>
    <row r="1383">
      <c r="A1383" s="5" t="inlineStr">
        <is>
          <t>OP08923</t>
        </is>
      </c>
      <c r="B1383" s="6" t="inlineStr">
        <is>
          <t>SYAFA DAN MAHYRA CELL</t>
        </is>
      </c>
      <c r="C1383" s="7" t="inlineStr">
        <is>
          <t>A - Agen</t>
        </is>
      </c>
      <c r="D1383" s="1" t="inlineStr">
        <is>
          <t>OP00002</t>
        </is>
      </c>
      <c r="E1383" s="8" t="n">
        <v>45178.32083333333</v>
      </c>
      <c r="F1383" s="7" t="inlineStr">
        <is>
          <t>AGEN</t>
        </is>
      </c>
      <c r="G1383" s="18" t="inlineStr">
        <is>
          <t>OP08923</t>
        </is>
      </c>
      <c r="H1383" s="19">
        <f>UPPER(Table3[[#This Row],[Agen id]]&amp;"-"&amp;VLOOKUP(Table3[[#This Row],[Agen id]],A:B,2,0)&amp;"("&amp;Table3[[#This Row],[Short]]&amp;")")</f>
        <v/>
      </c>
      <c r="J1383" s="7">
        <f>VLOOKUP(Table3[[#This Row],[Agen id]],Agen!A:C,3,0)</f>
        <v/>
      </c>
      <c r="K1383" s="37">
        <f>TRIM(LEFT(Table3[[#This Row],[Group]],2))</f>
        <v/>
      </c>
      <c r="L1383" s="3" t="inlineStr">
        <is>
          <t>NON SALES</t>
        </is>
      </c>
    </row>
    <row r="1384">
      <c r="A1384" s="5" t="inlineStr">
        <is>
          <t>OP08925</t>
        </is>
      </c>
      <c r="B1384" s="6" t="inlineStr">
        <is>
          <t>Gita Yunita Cell</t>
        </is>
      </c>
      <c r="C1384" s="7" t="inlineStr">
        <is>
          <t>AB1 - Agen Kab Bogor</t>
        </is>
      </c>
      <c r="D1384" s="1" t="inlineStr">
        <is>
          <t>OP07367</t>
        </is>
      </c>
      <c r="E1384" s="8" t="n">
        <v>45178.56458333333</v>
      </c>
      <c r="F1384" s="7" t="inlineStr">
        <is>
          <t>AGEN</t>
        </is>
      </c>
      <c r="G1384" s="18" t="inlineStr">
        <is>
          <t>OP08925</t>
        </is>
      </c>
      <c r="H1384" s="19">
        <f>UPPER(Table3[[#This Row],[Agen id]]&amp;"-"&amp;VLOOKUP(Table3[[#This Row],[Agen id]],A:B,2,0)&amp;"("&amp;Table3[[#This Row],[Short]]&amp;")")</f>
        <v/>
      </c>
      <c r="J1384" s="7">
        <f>VLOOKUP(Table3[[#This Row],[Agen id]],Agen!A:C,3,0)</f>
        <v/>
      </c>
      <c r="K1384" s="37">
        <f>TRIM(LEFT(Table3[[#This Row],[Group]],2))</f>
        <v/>
      </c>
      <c r="L1384" s="3" t="inlineStr">
        <is>
          <t>ARIS</t>
        </is>
      </c>
    </row>
    <row r="1385">
      <c r="A1385" s="5" t="inlineStr">
        <is>
          <t>OP08944</t>
        </is>
      </c>
      <c r="B1385" s="6" t="inlineStr">
        <is>
          <t>Mulyadi</t>
        </is>
      </c>
      <c r="C1385" s="7" t="inlineStr">
        <is>
          <t>AV - Agen Verified</t>
        </is>
      </c>
      <c r="D1385" s="1" t="inlineStr">
        <is>
          <t>OP00002</t>
        </is>
      </c>
      <c r="E1385" s="8" t="n">
        <v>45179.64791666667</v>
      </c>
      <c r="F1385" s="7" t="inlineStr">
        <is>
          <t>AGEN</t>
        </is>
      </c>
      <c r="G1385" s="18" t="inlineStr">
        <is>
          <t>OP08944</t>
        </is>
      </c>
      <c r="H1385" s="19">
        <f>UPPER(Table3[[#This Row],[Agen id]]&amp;"-"&amp;VLOOKUP(Table3[[#This Row],[Agen id]],A:B,2,0)&amp;"("&amp;Table3[[#This Row],[Short]]&amp;")")</f>
        <v/>
      </c>
      <c r="J1385" s="7">
        <f>VLOOKUP(Table3[[#This Row],[Agen id]],Agen!A:C,3,0)</f>
        <v/>
      </c>
      <c r="K1385" s="37">
        <f>TRIM(LEFT(Table3[[#This Row],[Group]],2))</f>
        <v/>
      </c>
      <c r="L1385" s="3" t="inlineStr">
        <is>
          <t>NON SALES</t>
        </is>
      </c>
    </row>
    <row r="1386">
      <c r="A1386" s="5" t="inlineStr">
        <is>
          <t>OP08950</t>
        </is>
      </c>
      <c r="B1386" s="6" t="inlineStr">
        <is>
          <t>Lisnamesi</t>
        </is>
      </c>
      <c r="C1386" s="7" t="inlineStr">
        <is>
          <t>A - Agen</t>
        </is>
      </c>
      <c r="D1386" s="1" t="inlineStr">
        <is>
          <t>OP00576</t>
        </is>
      </c>
      <c r="E1386" s="8" t="n">
        <v>45180.42152777778</v>
      </c>
      <c r="F1386" s="7" t="inlineStr">
        <is>
          <t>DOWNLINE</t>
        </is>
      </c>
      <c r="G1386" s="18" t="inlineStr">
        <is>
          <t>OP00049</t>
        </is>
      </c>
      <c r="H1386" s="19">
        <f>UPPER(Table3[[#This Row],[Agen id]]&amp;"-"&amp;VLOOKUP(Table3[[#This Row],[Agen id]],A:B,2,0)&amp;"("&amp;Table3[[#This Row],[Short]]&amp;")")</f>
        <v/>
      </c>
      <c r="J1386" s="7">
        <f>VLOOKUP(Table3[[#This Row],[Agen id]],Agen!A:C,3,0)</f>
        <v/>
      </c>
      <c r="K1386" s="37">
        <f>TRIM(LEFT(Table3[[#This Row],[Group]],2))</f>
        <v/>
      </c>
      <c r="L1386" s="3" t="inlineStr">
        <is>
          <t>NON SALES</t>
        </is>
      </c>
    </row>
    <row r="1387">
      <c r="A1387" s="5" t="inlineStr">
        <is>
          <t>OP08957</t>
        </is>
      </c>
      <c r="B1387" s="6" t="inlineStr">
        <is>
          <t>Bima Damayanto</t>
        </is>
      </c>
      <c r="C1387" s="7" t="inlineStr">
        <is>
          <t>AT1 - Agen Tangerang</t>
        </is>
      </c>
      <c r="D1387" s="1" t="inlineStr">
        <is>
          <t>OP07683</t>
        </is>
      </c>
      <c r="E1387" s="8" t="n">
        <v>45180.62916666667</v>
      </c>
      <c r="F1387" s="7" t="inlineStr">
        <is>
          <t>AGEN</t>
        </is>
      </c>
      <c r="G1387" s="18" t="inlineStr">
        <is>
          <t>OP08957</t>
        </is>
      </c>
      <c r="H1387" s="19">
        <f>UPPER(Table3[[#This Row],[Agen id]]&amp;"-"&amp;VLOOKUP(Table3[[#This Row],[Agen id]],A:B,2,0)&amp;"("&amp;Table3[[#This Row],[Short]]&amp;")")</f>
        <v/>
      </c>
      <c r="J1387" s="7">
        <f>VLOOKUP(Table3[[#This Row],[Agen id]],Agen!A:C,3,0)</f>
        <v/>
      </c>
      <c r="K1387" s="37">
        <f>TRIM(LEFT(Table3[[#This Row],[Group]],2))</f>
        <v/>
      </c>
      <c r="L1387" s="3" t="inlineStr">
        <is>
          <t>AZIZ</t>
        </is>
      </c>
    </row>
    <row r="1388">
      <c r="A1388" s="5" t="inlineStr">
        <is>
          <t>OP08967</t>
        </is>
      </c>
      <c r="B1388" s="6" t="inlineStr">
        <is>
          <t>Nadia Shop</t>
        </is>
      </c>
      <c r="C1388" s="7" t="inlineStr">
        <is>
          <t>AB1 - Agen Kab Bogor</t>
        </is>
      </c>
      <c r="D1388" s="1" t="inlineStr">
        <is>
          <t>OP07367</t>
        </is>
      </c>
      <c r="E1388" s="8" t="n">
        <v>45181.45416666667</v>
      </c>
      <c r="F1388" s="7" t="inlineStr">
        <is>
          <t>AGEN</t>
        </is>
      </c>
      <c r="G1388" s="18" t="inlineStr">
        <is>
          <t>OP08967</t>
        </is>
      </c>
      <c r="H1388" s="19">
        <f>UPPER(Table3[[#This Row],[Agen id]]&amp;"-"&amp;VLOOKUP(Table3[[#This Row],[Agen id]],A:B,2,0)&amp;"("&amp;Table3[[#This Row],[Short]]&amp;")")</f>
        <v/>
      </c>
      <c r="J1388" s="7">
        <f>VLOOKUP(Table3[[#This Row],[Agen id]],Agen!A:C,3,0)</f>
        <v/>
      </c>
      <c r="K1388" s="37">
        <f>TRIM(LEFT(Table3[[#This Row],[Group]],2))</f>
        <v/>
      </c>
      <c r="L1388" s="3" t="inlineStr">
        <is>
          <t>ARIS</t>
        </is>
      </c>
    </row>
    <row r="1389">
      <c r="A1389" s="5" t="inlineStr">
        <is>
          <t>OP08969</t>
        </is>
      </c>
      <c r="B1389" s="6" t="inlineStr">
        <is>
          <t>Kopi cell</t>
        </is>
      </c>
      <c r="C1389" s="7" t="inlineStr">
        <is>
          <t>AB1 - Agen Kab Bogor</t>
        </is>
      </c>
      <c r="D1389" s="1" t="inlineStr">
        <is>
          <t>OP07367</t>
        </is>
      </c>
      <c r="E1389" s="8" t="n">
        <v>45181.54375</v>
      </c>
      <c r="F1389" s="7" t="inlineStr">
        <is>
          <t>AGEN</t>
        </is>
      </c>
      <c r="G1389" s="18" t="inlineStr">
        <is>
          <t>OP08969</t>
        </is>
      </c>
      <c r="H1389" s="19">
        <f>UPPER(Table3[[#This Row],[Agen id]]&amp;"-"&amp;VLOOKUP(Table3[[#This Row],[Agen id]],A:B,2,0)&amp;"("&amp;Table3[[#This Row],[Short]]&amp;")")</f>
        <v/>
      </c>
      <c r="J1389" s="7">
        <f>VLOOKUP(Table3[[#This Row],[Agen id]],Agen!A:C,3,0)</f>
        <v/>
      </c>
      <c r="K1389" s="37">
        <f>TRIM(LEFT(Table3[[#This Row],[Group]],2))</f>
        <v/>
      </c>
      <c r="L1389" s="3" t="inlineStr">
        <is>
          <t>ARIS</t>
        </is>
      </c>
    </row>
    <row r="1390">
      <c r="A1390" s="5" t="inlineStr">
        <is>
          <t>OP08971</t>
        </is>
      </c>
      <c r="B1390" s="6" t="inlineStr">
        <is>
          <t>menisacell</t>
        </is>
      </c>
      <c r="C1390" s="7" t="inlineStr">
        <is>
          <t>A - Agen</t>
        </is>
      </c>
      <c r="D1390" s="1" t="inlineStr">
        <is>
          <t>OP00049</t>
        </is>
      </c>
      <c r="E1390" s="8" t="n">
        <v>45181.75347222222</v>
      </c>
      <c r="F1390" s="7" t="inlineStr">
        <is>
          <t>DOWNLINE</t>
        </is>
      </c>
      <c r="G1390" s="18" t="inlineStr">
        <is>
          <t>OP00049</t>
        </is>
      </c>
      <c r="H1390" s="19">
        <f>UPPER(Table3[[#This Row],[Agen id]]&amp;"-"&amp;VLOOKUP(Table3[[#This Row],[Agen id]],A:B,2,0)&amp;"("&amp;Table3[[#This Row],[Short]]&amp;")")</f>
        <v/>
      </c>
      <c r="J1390" s="7">
        <f>VLOOKUP(Table3[[#This Row],[Agen id]],Agen!A:C,3,0)</f>
        <v/>
      </c>
      <c r="K1390" s="37">
        <f>TRIM(LEFT(Table3[[#This Row],[Group]],2))</f>
        <v/>
      </c>
      <c r="L1390" s="3" t="inlineStr">
        <is>
          <t>NON SALES</t>
        </is>
      </c>
    </row>
    <row r="1391">
      <c r="A1391" s="5" t="inlineStr">
        <is>
          <t>OP08975</t>
        </is>
      </c>
      <c r="B1391" s="6" t="inlineStr">
        <is>
          <t>willy wijaya</t>
        </is>
      </c>
      <c r="C1391" s="7" t="inlineStr">
        <is>
          <t>A - Agen</t>
        </is>
      </c>
      <c r="D1391" s="1" t="inlineStr">
        <is>
          <t>OP00014</t>
        </is>
      </c>
      <c r="E1391" s="8" t="n">
        <v>45182.30208333334</v>
      </c>
      <c r="F1391" s="7" t="inlineStr">
        <is>
          <t>DOWNLINE</t>
        </is>
      </c>
      <c r="G1391" s="18" t="inlineStr">
        <is>
          <t>OP00014</t>
        </is>
      </c>
      <c r="H1391" s="19">
        <f>UPPER(Table3[[#This Row],[Agen id]]&amp;"-"&amp;VLOOKUP(Table3[[#This Row],[Agen id]],A:B,2,0)&amp;"("&amp;Table3[[#This Row],[Short]]&amp;")")</f>
        <v/>
      </c>
      <c r="J1391" s="7">
        <f>VLOOKUP(Table3[[#This Row],[Agen id]],Agen!A:C,3,0)</f>
        <v/>
      </c>
      <c r="K1391" s="37">
        <f>TRIM(LEFT(Table3[[#This Row],[Group]],2))</f>
        <v/>
      </c>
      <c r="L1391" s="3" t="inlineStr">
        <is>
          <t>NON SALES</t>
        </is>
      </c>
    </row>
    <row r="1392">
      <c r="A1392" s="5" t="inlineStr">
        <is>
          <t>OP08979</t>
        </is>
      </c>
      <c r="B1392" s="6" t="inlineStr">
        <is>
          <t>aikko</t>
        </is>
      </c>
      <c r="C1392" s="7" t="inlineStr">
        <is>
          <t>A - Agen</t>
        </is>
      </c>
      <c r="D1392" s="1" t="inlineStr">
        <is>
          <t>OP00002</t>
        </is>
      </c>
      <c r="E1392" s="8" t="n">
        <v>45182.39166666667</v>
      </c>
      <c r="F1392" s="7" t="inlineStr">
        <is>
          <t>AGEN</t>
        </is>
      </c>
      <c r="G1392" s="18" t="inlineStr">
        <is>
          <t>OP08979</t>
        </is>
      </c>
      <c r="H1392" s="19">
        <f>UPPER(Table3[[#This Row],[Agen id]]&amp;"-"&amp;VLOOKUP(Table3[[#This Row],[Agen id]],A:B,2,0)&amp;"("&amp;Table3[[#This Row],[Short]]&amp;")")</f>
        <v/>
      </c>
      <c r="J1392" s="7">
        <f>VLOOKUP(Table3[[#This Row],[Agen id]],Agen!A:C,3,0)</f>
        <v/>
      </c>
      <c r="K1392" s="37">
        <f>TRIM(LEFT(Table3[[#This Row],[Group]],2))</f>
        <v/>
      </c>
      <c r="L1392" s="3" t="inlineStr">
        <is>
          <t>NON SALES</t>
        </is>
      </c>
    </row>
    <row r="1393">
      <c r="A1393" s="5" t="inlineStr">
        <is>
          <t>OP08980</t>
        </is>
      </c>
      <c r="B1393" s="6" t="inlineStr">
        <is>
          <t>BSK PULSA</t>
        </is>
      </c>
      <c r="C1393" s="7" t="inlineStr">
        <is>
          <t>AB1 - Agen Kab Bogor</t>
        </is>
      </c>
      <c r="D1393" s="1" t="inlineStr">
        <is>
          <t>OP07367</t>
        </is>
      </c>
      <c r="E1393" s="8" t="n">
        <v>45182.43055555555</v>
      </c>
      <c r="F1393" s="7" t="inlineStr">
        <is>
          <t>AGEN</t>
        </is>
      </c>
      <c r="G1393" s="18" t="inlineStr">
        <is>
          <t>OP08980</t>
        </is>
      </c>
      <c r="H1393" s="19">
        <f>UPPER(Table3[[#This Row],[Agen id]]&amp;"-"&amp;VLOOKUP(Table3[[#This Row],[Agen id]],A:B,2,0)&amp;"("&amp;Table3[[#This Row],[Short]]&amp;")")</f>
        <v/>
      </c>
      <c r="J1393" s="7">
        <f>VLOOKUP(Table3[[#This Row],[Agen id]],Agen!A:C,3,0)</f>
        <v/>
      </c>
      <c r="K1393" s="37">
        <f>TRIM(LEFT(Table3[[#This Row],[Group]],2))</f>
        <v/>
      </c>
      <c r="L1393" s="3" t="inlineStr">
        <is>
          <t>ARIS</t>
        </is>
      </c>
    </row>
    <row r="1394">
      <c r="A1394" s="5" t="inlineStr">
        <is>
          <t>OP08981</t>
        </is>
      </c>
      <c r="B1394" s="6" t="inlineStr">
        <is>
          <t>Cherie cell</t>
        </is>
      </c>
      <c r="C1394" s="7" t="inlineStr">
        <is>
          <t>AB1 - Agen Kab Bogor</t>
        </is>
      </c>
      <c r="D1394" s="1" t="inlineStr">
        <is>
          <t>OP07367</t>
        </is>
      </c>
      <c r="E1394" s="8" t="n">
        <v>45182.48541666667</v>
      </c>
      <c r="F1394" s="7" t="inlineStr">
        <is>
          <t>AGEN</t>
        </is>
      </c>
      <c r="G1394" s="18" t="inlineStr">
        <is>
          <t>OP08981</t>
        </is>
      </c>
      <c r="H1394" s="19">
        <f>UPPER(Table3[[#This Row],[Agen id]]&amp;"-"&amp;VLOOKUP(Table3[[#This Row],[Agen id]],A:B,2,0)&amp;"("&amp;Table3[[#This Row],[Short]]&amp;")")</f>
        <v/>
      </c>
      <c r="J1394" s="7">
        <f>VLOOKUP(Table3[[#This Row],[Agen id]],Agen!A:C,3,0)</f>
        <v/>
      </c>
      <c r="K1394" s="37">
        <f>TRIM(LEFT(Table3[[#This Row],[Group]],2))</f>
        <v/>
      </c>
      <c r="L1394" s="3" t="inlineStr">
        <is>
          <t>ARIS</t>
        </is>
      </c>
    </row>
    <row r="1395">
      <c r="A1395" s="5" t="inlineStr">
        <is>
          <t>OP08982</t>
        </is>
      </c>
      <c r="B1395" s="6" t="inlineStr">
        <is>
          <t>Seluler Kije Ganteng 2</t>
        </is>
      </c>
      <c r="C1395" s="7" t="inlineStr">
        <is>
          <t>AB1 - Agen Kab Bogor</t>
        </is>
      </c>
      <c r="D1395" s="1" t="inlineStr">
        <is>
          <t>OP07367</t>
        </is>
      </c>
      <c r="E1395" s="8" t="n">
        <v>45182.51597222222</v>
      </c>
      <c r="F1395" s="7" t="inlineStr">
        <is>
          <t>AGEN</t>
        </is>
      </c>
      <c r="G1395" s="18" t="inlineStr">
        <is>
          <t>OP08982</t>
        </is>
      </c>
      <c r="H1395" s="19">
        <f>UPPER(Table3[[#This Row],[Agen id]]&amp;"-"&amp;VLOOKUP(Table3[[#This Row],[Agen id]],A:B,2,0)&amp;"("&amp;Table3[[#This Row],[Short]]&amp;")")</f>
        <v/>
      </c>
      <c r="J1395" s="7">
        <f>VLOOKUP(Table3[[#This Row],[Agen id]],Agen!A:C,3,0)</f>
        <v/>
      </c>
      <c r="K1395" s="37">
        <f>TRIM(LEFT(Table3[[#This Row],[Group]],2))</f>
        <v/>
      </c>
      <c r="L1395" s="3" t="inlineStr">
        <is>
          <t>ARIS</t>
        </is>
      </c>
    </row>
    <row r="1396">
      <c r="A1396" s="5" t="inlineStr">
        <is>
          <t>OP08991</t>
        </is>
      </c>
      <c r="B1396" s="6" t="inlineStr">
        <is>
          <t>Sunja Cell</t>
        </is>
      </c>
      <c r="C1396" s="7" t="inlineStr">
        <is>
          <t>AV - Agen Verified</t>
        </is>
      </c>
      <c r="D1396" s="1" t="inlineStr">
        <is>
          <t>OP00002</t>
        </is>
      </c>
      <c r="E1396" s="8" t="n">
        <v>45183.05972222222</v>
      </c>
      <c r="F1396" s="7" t="inlineStr">
        <is>
          <t>AGEN</t>
        </is>
      </c>
      <c r="G1396" s="18" t="inlineStr">
        <is>
          <t>OP08991</t>
        </is>
      </c>
      <c r="H1396" s="19">
        <f>UPPER(Table3[[#This Row],[Agen id]]&amp;"-"&amp;VLOOKUP(Table3[[#This Row],[Agen id]],A:B,2,0)&amp;"("&amp;Table3[[#This Row],[Short]]&amp;")")</f>
        <v/>
      </c>
      <c r="J1396" s="7">
        <f>VLOOKUP(Table3[[#This Row],[Agen id]],Agen!A:C,3,0)</f>
        <v/>
      </c>
      <c r="K1396" s="37">
        <f>TRIM(LEFT(Table3[[#This Row],[Group]],2))</f>
        <v/>
      </c>
      <c r="L1396" s="3" t="inlineStr">
        <is>
          <t>NON SALES</t>
        </is>
      </c>
    </row>
    <row r="1397">
      <c r="A1397" s="5" t="inlineStr">
        <is>
          <t>OP08993</t>
        </is>
      </c>
      <c r="B1397" s="6" t="inlineStr">
        <is>
          <t>Davi cell</t>
        </is>
      </c>
      <c r="C1397" s="7" t="inlineStr">
        <is>
          <t>AB1 - Agen Kab Bogor</t>
        </is>
      </c>
      <c r="D1397" s="1" t="inlineStr">
        <is>
          <t>OP07367</t>
        </is>
      </c>
      <c r="E1397" s="8" t="n">
        <v>45183.43541666667</v>
      </c>
      <c r="F1397" s="7" t="inlineStr">
        <is>
          <t>AGEN</t>
        </is>
      </c>
      <c r="G1397" s="18" t="inlineStr">
        <is>
          <t>OP08993</t>
        </is>
      </c>
      <c r="H1397" s="19">
        <f>UPPER(Table3[[#This Row],[Agen id]]&amp;"-"&amp;VLOOKUP(Table3[[#This Row],[Agen id]],A:B,2,0)&amp;"("&amp;Table3[[#This Row],[Short]]&amp;")")</f>
        <v/>
      </c>
      <c r="J1397" s="7">
        <f>VLOOKUP(Table3[[#This Row],[Agen id]],Agen!A:C,3,0)</f>
        <v/>
      </c>
      <c r="K1397" s="37">
        <f>TRIM(LEFT(Table3[[#This Row],[Group]],2))</f>
        <v/>
      </c>
      <c r="L1397" s="3" t="inlineStr">
        <is>
          <t>ARIS</t>
        </is>
      </c>
    </row>
    <row r="1398">
      <c r="A1398" s="5" t="inlineStr">
        <is>
          <t>OP09001</t>
        </is>
      </c>
      <c r="B1398" s="6" t="inlineStr">
        <is>
          <t>Rex Shop</t>
        </is>
      </c>
      <c r="C1398" s="7" t="inlineStr">
        <is>
          <t>AB1 - Agen Kab Bogor</t>
        </is>
      </c>
      <c r="D1398" s="1" t="inlineStr">
        <is>
          <t>OP07367</t>
        </is>
      </c>
      <c r="E1398" s="8" t="n">
        <v>45184.4</v>
      </c>
      <c r="F1398" s="7" t="inlineStr">
        <is>
          <t>AGEN</t>
        </is>
      </c>
      <c r="G1398" s="18" t="inlineStr">
        <is>
          <t>OP09001</t>
        </is>
      </c>
      <c r="H1398" s="19">
        <f>UPPER(Table3[[#This Row],[Agen id]]&amp;"-"&amp;VLOOKUP(Table3[[#This Row],[Agen id]],A:B,2,0)&amp;"("&amp;Table3[[#This Row],[Short]]&amp;")")</f>
        <v/>
      </c>
      <c r="J1398" s="7">
        <f>VLOOKUP(Table3[[#This Row],[Agen id]],Agen!A:C,3,0)</f>
        <v/>
      </c>
      <c r="K1398" s="37">
        <f>TRIM(LEFT(Table3[[#This Row],[Group]],2))</f>
        <v/>
      </c>
      <c r="L1398" s="3" t="inlineStr">
        <is>
          <t>ARIS</t>
        </is>
      </c>
    </row>
    <row r="1399">
      <c r="A1399" s="5" t="inlineStr">
        <is>
          <t>OP09013</t>
        </is>
      </c>
      <c r="B1399" s="6" t="inlineStr">
        <is>
          <t>Azi cellular</t>
        </is>
      </c>
      <c r="C1399" s="7" t="inlineStr">
        <is>
          <t>A - Agen</t>
        </is>
      </c>
      <c r="D1399" s="1" t="inlineStr">
        <is>
          <t>OP00996</t>
        </is>
      </c>
      <c r="E1399" s="8" t="n">
        <v>45185.38472222222</v>
      </c>
      <c r="F1399" s="7" t="inlineStr">
        <is>
          <t>DOWNLINE</t>
        </is>
      </c>
      <c r="G1399" s="18" t="inlineStr">
        <is>
          <t>OP00996</t>
        </is>
      </c>
      <c r="H1399" s="19">
        <f>UPPER(Table3[[#This Row],[Agen id]]&amp;"-"&amp;VLOOKUP(Table3[[#This Row],[Agen id]],A:B,2,0)&amp;"("&amp;Table3[[#This Row],[Short]]&amp;")")</f>
        <v/>
      </c>
      <c r="J1399" s="7">
        <f>VLOOKUP(Table3[[#This Row],[Agen id]],Agen!A:C,3,0)</f>
        <v/>
      </c>
      <c r="K1399" s="37">
        <f>TRIM(LEFT(Table3[[#This Row],[Group]],2))</f>
        <v/>
      </c>
      <c r="L1399" s="3" t="inlineStr">
        <is>
          <t>NON SALES</t>
        </is>
      </c>
    </row>
    <row r="1400">
      <c r="A1400" s="5" t="inlineStr">
        <is>
          <t>OP09020</t>
        </is>
      </c>
      <c r="B1400" s="6" t="inlineStr">
        <is>
          <t>Ahsan Seutichiae</t>
        </is>
      </c>
      <c r="C1400" s="7" t="inlineStr">
        <is>
          <t>A - Agen</t>
        </is>
      </c>
      <c r="D1400" s="1" t="inlineStr">
        <is>
          <t>OP00003</t>
        </is>
      </c>
      <c r="E1400" s="8" t="n">
        <v>45185.58888888889</v>
      </c>
      <c r="F1400" s="7" t="inlineStr">
        <is>
          <t>AGEN</t>
        </is>
      </c>
      <c r="G1400" s="18" t="inlineStr">
        <is>
          <t>OP09020</t>
        </is>
      </c>
      <c r="H1400" s="19">
        <f>UPPER(Table3[[#This Row],[Agen id]]&amp;"-"&amp;VLOOKUP(Table3[[#This Row],[Agen id]],A:B,2,0)&amp;"("&amp;Table3[[#This Row],[Short]]&amp;")")</f>
        <v/>
      </c>
      <c r="J1400" s="7">
        <f>VLOOKUP(Table3[[#This Row],[Agen id]],Agen!A:C,3,0)</f>
        <v/>
      </c>
      <c r="K1400" s="37">
        <f>TRIM(LEFT(Table3[[#This Row],[Group]],2))</f>
        <v/>
      </c>
      <c r="L1400" s="3" t="inlineStr">
        <is>
          <t>NON SALES</t>
        </is>
      </c>
    </row>
    <row r="1401">
      <c r="A1401" s="5" t="inlineStr">
        <is>
          <t>OP09023</t>
        </is>
      </c>
      <c r="B1401" s="6" t="inlineStr">
        <is>
          <t>Naimmah</t>
        </is>
      </c>
      <c r="C1401" s="7" t="inlineStr">
        <is>
          <t>AV - Agen Verified</t>
        </is>
      </c>
      <c r="D1401" s="1" t="inlineStr">
        <is>
          <t>OP04893</t>
        </is>
      </c>
      <c r="E1401" s="8" t="n">
        <v>45185.63680555556</v>
      </c>
      <c r="F1401" s="7" t="inlineStr">
        <is>
          <t>DOWNLINE</t>
        </is>
      </c>
      <c r="G1401" s="18" t="inlineStr">
        <is>
          <t>OP04893</t>
        </is>
      </c>
      <c r="H1401" s="19">
        <f>UPPER(Table3[[#This Row],[Agen id]]&amp;"-"&amp;VLOOKUP(Table3[[#This Row],[Agen id]],A:B,2,0)&amp;"("&amp;Table3[[#This Row],[Short]]&amp;")")</f>
        <v/>
      </c>
      <c r="J1401" s="7">
        <f>VLOOKUP(Table3[[#This Row],[Agen id]],Agen!A:C,3,0)</f>
        <v/>
      </c>
      <c r="K1401" s="37">
        <f>TRIM(LEFT(Table3[[#This Row],[Group]],2))</f>
        <v/>
      </c>
      <c r="L1401" s="3" t="inlineStr">
        <is>
          <t>NON SALES</t>
        </is>
      </c>
    </row>
    <row r="1402">
      <c r="A1402" s="5" t="inlineStr">
        <is>
          <t>OP09024</t>
        </is>
      </c>
      <c r="B1402" s="6" t="inlineStr">
        <is>
          <t>Sella</t>
        </is>
      </c>
      <c r="C1402" s="7" t="inlineStr">
        <is>
          <t>AV - Agen Verified</t>
        </is>
      </c>
      <c r="D1402" s="1" t="inlineStr">
        <is>
          <t>OP00002</t>
        </is>
      </c>
      <c r="E1402" s="8" t="n">
        <v>45185.64236111111</v>
      </c>
      <c r="F1402" s="7" t="inlineStr">
        <is>
          <t>AGEN</t>
        </is>
      </c>
      <c r="G1402" s="18" t="inlineStr">
        <is>
          <t>OP09024</t>
        </is>
      </c>
      <c r="H1402" s="19">
        <f>UPPER(Table3[[#This Row],[Agen id]]&amp;"-"&amp;VLOOKUP(Table3[[#This Row],[Agen id]],A:B,2,0)&amp;"("&amp;Table3[[#This Row],[Short]]&amp;")")</f>
        <v/>
      </c>
      <c r="J1402" s="7">
        <f>VLOOKUP(Table3[[#This Row],[Agen id]],Agen!A:C,3,0)</f>
        <v/>
      </c>
      <c r="K1402" s="37">
        <f>TRIM(LEFT(Table3[[#This Row],[Group]],2))</f>
        <v/>
      </c>
      <c r="L1402" s="3" t="inlineStr">
        <is>
          <t>AZIZ</t>
        </is>
      </c>
    </row>
    <row r="1403">
      <c r="A1403" s="5" t="inlineStr">
        <is>
          <t>OP09033</t>
        </is>
      </c>
      <c r="B1403" s="6" t="inlineStr">
        <is>
          <t>SUNANDAR</t>
        </is>
      </c>
      <c r="C1403" s="7" t="inlineStr">
        <is>
          <t>A - Agen</t>
        </is>
      </c>
      <c r="D1403" s="1" t="inlineStr">
        <is>
          <t>OP00002</t>
        </is>
      </c>
      <c r="E1403" s="8" t="n">
        <v>45186.675</v>
      </c>
      <c r="F1403" s="7" t="inlineStr">
        <is>
          <t>AGEN</t>
        </is>
      </c>
      <c r="G1403" s="18" t="inlineStr">
        <is>
          <t>OP09033</t>
        </is>
      </c>
      <c r="H1403" s="19">
        <f>UPPER(Table3[[#This Row],[Agen id]]&amp;"-"&amp;VLOOKUP(Table3[[#This Row],[Agen id]],A:B,2,0)&amp;"("&amp;Table3[[#This Row],[Short]]&amp;")")</f>
        <v/>
      </c>
      <c r="J1403" s="7">
        <f>VLOOKUP(Table3[[#This Row],[Agen id]],Agen!A:C,3,0)</f>
        <v/>
      </c>
      <c r="K1403" s="37">
        <f>TRIM(LEFT(Table3[[#This Row],[Group]],2))</f>
        <v/>
      </c>
      <c r="L1403" s="3" t="inlineStr">
        <is>
          <t>NON SALES</t>
        </is>
      </c>
    </row>
    <row r="1404">
      <c r="A1404" s="5" t="inlineStr">
        <is>
          <t>OP09039</t>
        </is>
      </c>
      <c r="B1404" s="6" t="inlineStr">
        <is>
          <t>De azka</t>
        </is>
      </c>
      <c r="C1404" s="7" t="inlineStr">
        <is>
          <t>A - Agen</t>
        </is>
      </c>
      <c r="D1404" s="1" t="inlineStr">
        <is>
          <t>OP00002</t>
        </is>
      </c>
      <c r="E1404" s="8" t="n">
        <v>45187.30208333334</v>
      </c>
      <c r="F1404" s="7" t="inlineStr">
        <is>
          <t>AGEN</t>
        </is>
      </c>
      <c r="G1404" s="18" t="inlineStr">
        <is>
          <t>OP09039</t>
        </is>
      </c>
      <c r="H1404" s="19">
        <f>UPPER(Table3[[#This Row],[Agen id]]&amp;"-"&amp;VLOOKUP(Table3[[#This Row],[Agen id]],A:B,2,0)&amp;"("&amp;Table3[[#This Row],[Short]]&amp;")")</f>
        <v/>
      </c>
      <c r="J1404" s="7">
        <f>VLOOKUP(Table3[[#This Row],[Agen id]],Agen!A:C,3,0)</f>
        <v/>
      </c>
      <c r="K1404" s="37">
        <f>TRIM(LEFT(Table3[[#This Row],[Group]],2))</f>
        <v/>
      </c>
      <c r="L1404" s="3" t="inlineStr">
        <is>
          <t>NON SALES</t>
        </is>
      </c>
    </row>
    <row r="1405">
      <c r="A1405" s="5" t="inlineStr">
        <is>
          <t>OP09048</t>
        </is>
      </c>
      <c r="B1405" s="6" t="inlineStr">
        <is>
          <t>Ira</t>
        </is>
      </c>
      <c r="C1405" s="7" t="inlineStr">
        <is>
          <t>A - Agen</t>
        </is>
      </c>
      <c r="D1405" s="1" t="inlineStr">
        <is>
          <t>OP00002</t>
        </is>
      </c>
      <c r="E1405" s="8" t="n">
        <v>45187.56805555556</v>
      </c>
      <c r="F1405" s="7" t="inlineStr">
        <is>
          <t>AGEN</t>
        </is>
      </c>
      <c r="G1405" s="18" t="inlineStr">
        <is>
          <t>OP09048</t>
        </is>
      </c>
      <c r="H1405" s="19">
        <f>UPPER(Table3[[#This Row],[Agen id]]&amp;"-"&amp;VLOOKUP(Table3[[#This Row],[Agen id]],A:B,2,0)&amp;"("&amp;Table3[[#This Row],[Short]]&amp;")")</f>
        <v/>
      </c>
      <c r="J1405" s="7">
        <f>VLOOKUP(Table3[[#This Row],[Agen id]],Agen!A:C,3,0)</f>
        <v/>
      </c>
      <c r="K1405" s="37">
        <f>TRIM(LEFT(Table3[[#This Row],[Group]],2))</f>
        <v/>
      </c>
      <c r="L1405" s="3" t="inlineStr">
        <is>
          <t>NON SALES</t>
        </is>
      </c>
    </row>
    <row r="1406">
      <c r="A1406" s="5" t="inlineStr">
        <is>
          <t>OP09054</t>
        </is>
      </c>
      <c r="B1406" s="6" t="inlineStr">
        <is>
          <t>Tia Ponsel</t>
        </is>
      </c>
      <c r="C1406" s="7" t="inlineStr">
        <is>
          <t>AV - Agen Verified</t>
        </is>
      </c>
      <c r="D1406" s="1" t="inlineStr">
        <is>
          <t>OP08544</t>
        </is>
      </c>
      <c r="E1406" s="8" t="n">
        <v>45187.8125</v>
      </c>
      <c r="F1406" s="7" t="inlineStr">
        <is>
          <t>DOWNLINE</t>
        </is>
      </c>
      <c r="G1406" s="18" t="inlineStr">
        <is>
          <t>OP08544</t>
        </is>
      </c>
      <c r="H1406" s="19">
        <f>UPPER(Table3[[#This Row],[Agen id]]&amp;"-"&amp;VLOOKUP(Table3[[#This Row],[Agen id]],A:B,2,0)&amp;"("&amp;Table3[[#This Row],[Short]]&amp;")")</f>
        <v/>
      </c>
      <c r="J1406" s="7">
        <f>VLOOKUP(Table3[[#This Row],[Agen id]],Agen!A:C,3,0)</f>
        <v/>
      </c>
      <c r="K1406" s="37">
        <f>TRIM(LEFT(Table3[[#This Row],[Group]],2))</f>
        <v/>
      </c>
      <c r="L1406" s="3" t="inlineStr">
        <is>
          <t>NON SALES</t>
        </is>
      </c>
    </row>
    <row r="1407">
      <c r="A1407" s="5" t="inlineStr">
        <is>
          <t>OP09057</t>
        </is>
      </c>
      <c r="B1407" s="6" t="inlineStr">
        <is>
          <t>Joko susilo u wibowo</t>
        </is>
      </c>
      <c r="C1407" s="7" t="inlineStr">
        <is>
          <t>A - Agen</t>
        </is>
      </c>
      <c r="D1407" s="1" t="inlineStr">
        <is>
          <t>OP00002</t>
        </is>
      </c>
      <c r="E1407" s="8" t="n">
        <v>45188.07152777778</v>
      </c>
      <c r="F1407" s="7" t="inlineStr">
        <is>
          <t>AGEN</t>
        </is>
      </c>
      <c r="G1407" s="18" t="inlineStr">
        <is>
          <t>OP09057</t>
        </is>
      </c>
      <c r="H1407" s="19">
        <f>UPPER(Table3[[#This Row],[Agen id]]&amp;"-"&amp;VLOOKUP(Table3[[#This Row],[Agen id]],A:B,2,0)&amp;"("&amp;Table3[[#This Row],[Short]]&amp;")")</f>
        <v/>
      </c>
      <c r="J1407" s="7">
        <f>VLOOKUP(Table3[[#This Row],[Agen id]],Agen!A:C,3,0)</f>
        <v/>
      </c>
      <c r="K1407" s="37">
        <f>TRIM(LEFT(Table3[[#This Row],[Group]],2))</f>
        <v/>
      </c>
      <c r="L1407" s="3" t="inlineStr">
        <is>
          <t>NON SALES</t>
        </is>
      </c>
    </row>
    <row r="1408">
      <c r="A1408" s="5" t="inlineStr">
        <is>
          <t>OP09062</t>
        </is>
      </c>
      <c r="B1408" s="6" t="inlineStr">
        <is>
          <t>Aneka Cell</t>
        </is>
      </c>
      <c r="C1408" s="7" t="inlineStr">
        <is>
          <t>AB1 - Agen Kab Bogor</t>
        </is>
      </c>
      <c r="D1408" s="1" t="inlineStr">
        <is>
          <t>OP07367</t>
        </is>
      </c>
      <c r="E1408" s="8" t="n">
        <v>45188.45</v>
      </c>
      <c r="F1408" s="7" t="inlineStr">
        <is>
          <t>AGEN</t>
        </is>
      </c>
      <c r="G1408" s="18" t="inlineStr">
        <is>
          <t>OP09062</t>
        </is>
      </c>
      <c r="H1408" s="19">
        <f>UPPER(Table3[[#This Row],[Agen id]]&amp;"-"&amp;VLOOKUP(Table3[[#This Row],[Agen id]],A:B,2,0)&amp;"("&amp;Table3[[#This Row],[Short]]&amp;")")</f>
        <v/>
      </c>
      <c r="J1408" s="7">
        <f>VLOOKUP(Table3[[#This Row],[Agen id]],Agen!A:C,3,0)</f>
        <v/>
      </c>
      <c r="K1408" s="37">
        <f>TRIM(LEFT(Table3[[#This Row],[Group]],2))</f>
        <v/>
      </c>
      <c r="L1408" s="3" t="inlineStr">
        <is>
          <t>ARIS</t>
        </is>
      </c>
    </row>
    <row r="1409">
      <c r="A1409" s="5" t="inlineStr">
        <is>
          <t>OP09068</t>
        </is>
      </c>
      <c r="B1409" s="6" t="inlineStr">
        <is>
          <t>Siti muayanah</t>
        </is>
      </c>
      <c r="C1409" s="7" t="inlineStr">
        <is>
          <t>A - Agen</t>
        </is>
      </c>
      <c r="D1409" s="1" t="inlineStr">
        <is>
          <t>OP00003</t>
        </is>
      </c>
      <c r="E1409" s="8" t="n">
        <v>45188.64375</v>
      </c>
      <c r="F1409" s="7" t="inlineStr">
        <is>
          <t>AGEN</t>
        </is>
      </c>
      <c r="G1409" s="18" t="inlineStr">
        <is>
          <t>OP09068</t>
        </is>
      </c>
      <c r="H1409" s="19">
        <f>UPPER(Table3[[#This Row],[Agen id]]&amp;"-"&amp;VLOOKUP(Table3[[#This Row],[Agen id]],A:B,2,0)&amp;"("&amp;Table3[[#This Row],[Short]]&amp;")")</f>
        <v/>
      </c>
      <c r="J1409" s="7">
        <f>VLOOKUP(Table3[[#This Row],[Agen id]],Agen!A:C,3,0)</f>
        <v/>
      </c>
      <c r="K1409" s="37">
        <f>TRIM(LEFT(Table3[[#This Row],[Group]],2))</f>
        <v/>
      </c>
      <c r="L1409" s="3" t="inlineStr">
        <is>
          <t>NON SALES</t>
        </is>
      </c>
    </row>
    <row r="1410">
      <c r="A1410" s="5" t="inlineStr">
        <is>
          <t>OP09069</t>
        </is>
      </c>
      <c r="B1410" s="6" t="inlineStr">
        <is>
          <t>ATM CENTER</t>
        </is>
      </c>
      <c r="C1410" s="7" t="inlineStr">
        <is>
          <t>AV - Agen Verified</t>
        </is>
      </c>
      <c r="D1410" s="1" t="inlineStr">
        <is>
          <t>OP00002</t>
        </is>
      </c>
      <c r="E1410" s="8" t="n">
        <v>45188.69861111111</v>
      </c>
      <c r="F1410" s="7" t="inlineStr">
        <is>
          <t>AGEN</t>
        </is>
      </c>
      <c r="G1410" s="18" t="inlineStr">
        <is>
          <t>OP09069</t>
        </is>
      </c>
      <c r="H1410" s="19">
        <f>UPPER(Table3[[#This Row],[Agen id]]&amp;"-"&amp;VLOOKUP(Table3[[#This Row],[Agen id]],A:B,2,0)&amp;"("&amp;Table3[[#This Row],[Short]]&amp;")")</f>
        <v/>
      </c>
      <c r="J1410" s="7">
        <f>VLOOKUP(Table3[[#This Row],[Agen id]],Agen!A:C,3,0)</f>
        <v/>
      </c>
      <c r="K1410" s="37">
        <f>TRIM(LEFT(Table3[[#This Row],[Group]],2))</f>
        <v/>
      </c>
      <c r="L1410" s="3" t="inlineStr">
        <is>
          <t>NON SALES</t>
        </is>
      </c>
    </row>
    <row r="1411">
      <c r="A1411" s="5" t="inlineStr">
        <is>
          <t>OP09072</t>
        </is>
      </c>
      <c r="B1411" s="6" t="inlineStr">
        <is>
          <t>Yadi Mulyadi</t>
        </is>
      </c>
      <c r="C1411" s="7" t="inlineStr">
        <is>
          <t>AV - Agen Verified</t>
        </is>
      </c>
      <c r="D1411" s="1" t="inlineStr">
        <is>
          <t>OP00002</t>
        </is>
      </c>
      <c r="E1411" s="8" t="n">
        <v>45188.83333333334</v>
      </c>
      <c r="F1411" s="7" t="inlineStr">
        <is>
          <t>AGEN</t>
        </is>
      </c>
      <c r="G1411" s="18" t="inlineStr">
        <is>
          <t>OP09072</t>
        </is>
      </c>
      <c r="H1411" s="19">
        <f>UPPER(Table3[[#This Row],[Agen id]]&amp;"-"&amp;VLOOKUP(Table3[[#This Row],[Agen id]],A:B,2,0)&amp;"("&amp;Table3[[#This Row],[Short]]&amp;")")</f>
        <v/>
      </c>
      <c r="J1411" s="7">
        <f>VLOOKUP(Table3[[#This Row],[Agen id]],Agen!A:C,3,0)</f>
        <v/>
      </c>
      <c r="K1411" s="37">
        <f>TRIM(LEFT(Table3[[#This Row],[Group]],2))</f>
        <v/>
      </c>
      <c r="L1411" s="3" t="inlineStr">
        <is>
          <t>NON SALES</t>
        </is>
      </c>
    </row>
    <row r="1412">
      <c r="A1412" s="5" t="inlineStr">
        <is>
          <t>OP09078</t>
        </is>
      </c>
      <c r="B1412" s="6" t="inlineStr">
        <is>
          <t>Dewi</t>
        </is>
      </c>
      <c r="C1412" s="7" t="inlineStr">
        <is>
          <t>AV - Agen Verified</t>
        </is>
      </c>
      <c r="D1412" s="1" t="inlineStr">
        <is>
          <t>OP00002</t>
        </is>
      </c>
      <c r="E1412" s="8" t="n">
        <v>45189.35694444444</v>
      </c>
      <c r="F1412" s="7" t="inlineStr">
        <is>
          <t>AGEN</t>
        </is>
      </c>
      <c r="G1412" s="18" t="inlineStr">
        <is>
          <t>OP09078</t>
        </is>
      </c>
      <c r="H1412" s="19">
        <f>UPPER(Table3[[#This Row],[Agen id]]&amp;"-"&amp;VLOOKUP(Table3[[#This Row],[Agen id]],A:B,2,0)&amp;"("&amp;Table3[[#This Row],[Short]]&amp;")")</f>
        <v/>
      </c>
      <c r="J1412" s="7">
        <f>VLOOKUP(Table3[[#This Row],[Agen id]],Agen!A:C,3,0)</f>
        <v/>
      </c>
      <c r="K1412" s="37">
        <f>TRIM(LEFT(Table3[[#This Row],[Group]],2))</f>
        <v/>
      </c>
      <c r="L1412" s="3" t="inlineStr">
        <is>
          <t>NON SALES</t>
        </is>
      </c>
    </row>
    <row r="1413">
      <c r="A1413" s="5" t="inlineStr">
        <is>
          <t>OP09080</t>
        </is>
      </c>
      <c r="B1413" s="6" t="inlineStr">
        <is>
          <t>Lukman</t>
        </is>
      </c>
      <c r="C1413" s="7" t="inlineStr">
        <is>
          <t>AB1 - Agen Kab Bogor</t>
        </is>
      </c>
      <c r="D1413" s="1" t="inlineStr">
        <is>
          <t>OP07367</t>
        </is>
      </c>
      <c r="E1413" s="8" t="n">
        <v>45189.42708333334</v>
      </c>
      <c r="F1413" s="7" t="inlineStr">
        <is>
          <t>AGEN</t>
        </is>
      </c>
      <c r="G1413" s="18" t="inlineStr">
        <is>
          <t>OP09080</t>
        </is>
      </c>
      <c r="H1413" s="19">
        <f>UPPER(Table3[[#This Row],[Agen id]]&amp;"-"&amp;VLOOKUP(Table3[[#This Row],[Agen id]],A:B,2,0)&amp;"("&amp;Table3[[#This Row],[Short]]&amp;")")</f>
        <v/>
      </c>
      <c r="J1413" s="7">
        <f>VLOOKUP(Table3[[#This Row],[Agen id]],Agen!A:C,3,0)</f>
        <v/>
      </c>
      <c r="K1413" s="37">
        <f>TRIM(LEFT(Table3[[#This Row],[Group]],2))</f>
        <v/>
      </c>
      <c r="L1413" s="3" t="inlineStr">
        <is>
          <t>ARIS</t>
        </is>
      </c>
    </row>
    <row r="1414">
      <c r="A1414" s="5" t="inlineStr">
        <is>
          <t>OP09088</t>
        </is>
      </c>
      <c r="B1414" s="6" t="inlineStr">
        <is>
          <t>lingga</t>
        </is>
      </c>
      <c r="C1414" s="7" t="inlineStr">
        <is>
          <t>AT1 - Agen Tangerang</t>
        </is>
      </c>
      <c r="D1414" s="1" t="inlineStr">
        <is>
          <t>OP07683</t>
        </is>
      </c>
      <c r="E1414" s="8" t="n">
        <v>45189.65833333333</v>
      </c>
      <c r="F1414" s="7" t="inlineStr">
        <is>
          <t>AGEN</t>
        </is>
      </c>
      <c r="G1414" s="18" t="inlineStr">
        <is>
          <t>OP09088</t>
        </is>
      </c>
      <c r="H1414" s="19">
        <f>UPPER(Table3[[#This Row],[Agen id]]&amp;"-"&amp;VLOOKUP(Table3[[#This Row],[Agen id]],A:B,2,0)&amp;"("&amp;Table3[[#This Row],[Short]]&amp;")")</f>
        <v/>
      </c>
      <c r="J1414" s="7">
        <f>VLOOKUP(Table3[[#This Row],[Agen id]],Agen!A:C,3,0)</f>
        <v/>
      </c>
      <c r="K1414" s="37">
        <f>TRIM(LEFT(Table3[[#This Row],[Group]],2))</f>
        <v/>
      </c>
      <c r="L1414" s="3" t="inlineStr">
        <is>
          <t>AZIZ</t>
        </is>
      </c>
    </row>
    <row r="1415">
      <c r="A1415" s="5" t="inlineStr">
        <is>
          <t>OP09099</t>
        </is>
      </c>
      <c r="B1415" s="6" t="inlineStr">
        <is>
          <t>Is cell</t>
        </is>
      </c>
      <c r="C1415" s="7" t="inlineStr">
        <is>
          <t>AB1 - Agen Kab Bogor</t>
        </is>
      </c>
      <c r="D1415" s="1" t="inlineStr">
        <is>
          <t>OP07367</t>
        </is>
      </c>
      <c r="E1415" s="8" t="n">
        <v>45190.49236111111</v>
      </c>
      <c r="F1415" s="7" t="inlineStr">
        <is>
          <t>AGEN</t>
        </is>
      </c>
      <c r="G1415" s="18" t="inlineStr">
        <is>
          <t>OP09099</t>
        </is>
      </c>
      <c r="H1415" s="19">
        <f>UPPER(Table3[[#This Row],[Agen id]]&amp;"-"&amp;VLOOKUP(Table3[[#This Row],[Agen id]],A:B,2,0)&amp;"("&amp;Table3[[#This Row],[Short]]&amp;")")</f>
        <v/>
      </c>
      <c r="J1415" s="7">
        <f>VLOOKUP(Table3[[#This Row],[Agen id]],Agen!A:C,3,0)</f>
        <v/>
      </c>
      <c r="K1415" s="37">
        <f>TRIM(LEFT(Table3[[#This Row],[Group]],2))</f>
        <v/>
      </c>
      <c r="L1415" s="3" t="inlineStr">
        <is>
          <t>ARIS</t>
        </is>
      </c>
    </row>
    <row r="1416">
      <c r="A1416" s="5" t="inlineStr">
        <is>
          <t>OP09116</t>
        </is>
      </c>
      <c r="B1416" s="6" t="inlineStr">
        <is>
          <t>SYAHIL JLT</t>
        </is>
      </c>
      <c r="C1416" s="7" t="inlineStr">
        <is>
          <t>A - Agen</t>
        </is>
      </c>
      <c r="D1416" s="1" t="inlineStr">
        <is>
          <t>OP00049</t>
        </is>
      </c>
      <c r="E1416" s="8" t="n">
        <v>45191.48055555556</v>
      </c>
      <c r="F1416" s="7" t="inlineStr">
        <is>
          <t>DOWNLINE</t>
        </is>
      </c>
      <c r="G1416" s="18" t="inlineStr">
        <is>
          <t>OP00049</t>
        </is>
      </c>
      <c r="H1416" s="19">
        <f>UPPER(Table3[[#This Row],[Agen id]]&amp;"-"&amp;VLOOKUP(Table3[[#This Row],[Agen id]],A:B,2,0)&amp;"("&amp;Table3[[#This Row],[Short]]&amp;")")</f>
        <v/>
      </c>
      <c r="J1416" s="7">
        <f>VLOOKUP(Table3[[#This Row],[Agen id]],Agen!A:C,3,0)</f>
        <v/>
      </c>
      <c r="K1416" s="37">
        <f>TRIM(LEFT(Table3[[#This Row],[Group]],2))</f>
        <v/>
      </c>
      <c r="L1416" s="3" t="inlineStr">
        <is>
          <t>NON SALES</t>
        </is>
      </c>
    </row>
    <row r="1417">
      <c r="A1417" s="5" t="inlineStr">
        <is>
          <t>OP09117</t>
        </is>
      </c>
      <c r="B1417" s="6" t="inlineStr">
        <is>
          <t>Horis</t>
        </is>
      </c>
      <c r="C1417" s="7" t="inlineStr">
        <is>
          <t>A - Agen</t>
        </is>
      </c>
      <c r="D1417" s="1" t="inlineStr">
        <is>
          <t>OP00996</t>
        </is>
      </c>
      <c r="E1417" s="8" t="n">
        <v>45191.51041666666</v>
      </c>
      <c r="F1417" s="7" t="inlineStr">
        <is>
          <t>DOWNLINE</t>
        </is>
      </c>
      <c r="G1417" s="18" t="inlineStr">
        <is>
          <t>OP00996</t>
        </is>
      </c>
      <c r="H1417" s="19">
        <f>UPPER(Table3[[#This Row],[Agen id]]&amp;"-"&amp;VLOOKUP(Table3[[#This Row],[Agen id]],A:B,2,0)&amp;"("&amp;Table3[[#This Row],[Short]]&amp;")")</f>
        <v/>
      </c>
      <c r="J1417" s="7">
        <f>VLOOKUP(Table3[[#This Row],[Agen id]],Agen!A:C,3,0)</f>
        <v/>
      </c>
      <c r="K1417" s="37">
        <f>TRIM(LEFT(Table3[[#This Row],[Group]],2))</f>
        <v/>
      </c>
      <c r="L1417" s="3" t="inlineStr">
        <is>
          <t>NON SALES</t>
        </is>
      </c>
    </row>
    <row r="1418">
      <c r="A1418" s="5" t="inlineStr">
        <is>
          <t>OP09119</t>
        </is>
      </c>
      <c r="B1418" s="6" t="inlineStr">
        <is>
          <t>Adi</t>
        </is>
      </c>
      <c r="C1418" s="7" t="inlineStr">
        <is>
          <t>A - Agen</t>
        </is>
      </c>
      <c r="D1418" s="1" t="inlineStr">
        <is>
          <t>OP00002</t>
        </is>
      </c>
      <c r="E1418" s="8" t="n">
        <v>45191.61180555556</v>
      </c>
      <c r="F1418" s="7" t="inlineStr">
        <is>
          <t>AGEN</t>
        </is>
      </c>
      <c r="G1418" s="18" t="inlineStr">
        <is>
          <t>OP09119</t>
        </is>
      </c>
      <c r="H1418" s="19">
        <f>UPPER(Table3[[#This Row],[Agen id]]&amp;"-"&amp;VLOOKUP(Table3[[#This Row],[Agen id]],A:B,2,0)&amp;"("&amp;Table3[[#This Row],[Short]]&amp;")")</f>
        <v/>
      </c>
      <c r="J1418" s="7">
        <f>VLOOKUP(Table3[[#This Row],[Agen id]],Agen!A:C,3,0)</f>
        <v/>
      </c>
      <c r="K1418" s="37">
        <f>TRIM(LEFT(Table3[[#This Row],[Group]],2))</f>
        <v/>
      </c>
      <c r="L1418" s="3" t="inlineStr">
        <is>
          <t>NON SALES</t>
        </is>
      </c>
    </row>
    <row r="1419">
      <c r="A1419" s="5" t="inlineStr">
        <is>
          <t>OP09126</t>
        </is>
      </c>
      <c r="B1419" s="6" t="inlineStr">
        <is>
          <t>Yadhieap</t>
        </is>
      </c>
      <c r="C1419" s="7" t="inlineStr">
        <is>
          <t>AB1 - Agen Kab Bogor</t>
        </is>
      </c>
      <c r="D1419" s="1" t="inlineStr">
        <is>
          <t>OP07367</t>
        </is>
      </c>
      <c r="E1419" s="8" t="n">
        <v>45191.78125</v>
      </c>
      <c r="F1419" s="7" t="inlineStr">
        <is>
          <t>AGEN</t>
        </is>
      </c>
      <c r="G1419" s="18" t="inlineStr">
        <is>
          <t>OP09126</t>
        </is>
      </c>
      <c r="H1419" s="19">
        <f>UPPER(Table3[[#This Row],[Agen id]]&amp;"-"&amp;VLOOKUP(Table3[[#This Row],[Agen id]],A:B,2,0)&amp;"("&amp;Table3[[#This Row],[Short]]&amp;")")</f>
        <v/>
      </c>
      <c r="J1419" s="7">
        <f>VLOOKUP(Table3[[#This Row],[Agen id]],Agen!A:C,3,0)</f>
        <v/>
      </c>
      <c r="K1419" s="37">
        <f>TRIM(LEFT(Table3[[#This Row],[Group]],2))</f>
        <v/>
      </c>
      <c r="L1419" s="3" t="inlineStr">
        <is>
          <t>ARIS</t>
        </is>
      </c>
    </row>
    <row r="1420">
      <c r="A1420" s="5" t="inlineStr">
        <is>
          <t>OP09127</t>
        </is>
      </c>
      <c r="B1420" s="6" t="inlineStr">
        <is>
          <t>HUDAIBIYAH</t>
        </is>
      </c>
      <c r="C1420" s="7" t="inlineStr">
        <is>
          <t>A - Agen</t>
        </is>
      </c>
      <c r="D1420" s="1" t="inlineStr">
        <is>
          <t>OP00002</t>
        </is>
      </c>
      <c r="E1420" s="8" t="n">
        <v>45191.89444444444</v>
      </c>
      <c r="F1420" s="7" t="inlineStr">
        <is>
          <t>AGEN</t>
        </is>
      </c>
      <c r="G1420" s="18" t="inlineStr">
        <is>
          <t>OP09127</t>
        </is>
      </c>
      <c r="H1420" s="19">
        <f>UPPER(Table3[[#This Row],[Agen id]]&amp;"-"&amp;VLOOKUP(Table3[[#This Row],[Agen id]],A:B,2,0)&amp;"("&amp;Table3[[#This Row],[Short]]&amp;")")</f>
        <v/>
      </c>
      <c r="J1420" s="7">
        <f>VLOOKUP(Table3[[#This Row],[Agen id]],Agen!A:C,3,0)</f>
        <v/>
      </c>
      <c r="K1420" s="37">
        <f>TRIM(LEFT(Table3[[#This Row],[Group]],2))</f>
        <v/>
      </c>
      <c r="L1420" s="3" t="inlineStr">
        <is>
          <t>NON SALES</t>
        </is>
      </c>
    </row>
    <row r="1421">
      <c r="A1421" s="5" t="inlineStr">
        <is>
          <t>OP09129</t>
        </is>
      </c>
      <c r="B1421" s="6" t="inlineStr">
        <is>
          <t>azza cell</t>
        </is>
      </c>
      <c r="C1421" s="7" t="inlineStr">
        <is>
          <t>AV - Agen Verified</t>
        </is>
      </c>
      <c r="D1421" s="1" t="inlineStr">
        <is>
          <t>OP00002</t>
        </is>
      </c>
      <c r="E1421" s="8" t="n">
        <v>45192.04861111111</v>
      </c>
      <c r="F1421" s="7" t="inlineStr">
        <is>
          <t>AGEN</t>
        </is>
      </c>
      <c r="G1421" s="18" t="inlineStr">
        <is>
          <t>OP09129</t>
        </is>
      </c>
      <c r="H1421" s="19">
        <f>UPPER(Table3[[#This Row],[Agen id]]&amp;"-"&amp;VLOOKUP(Table3[[#This Row],[Agen id]],A:B,2,0)&amp;"("&amp;Table3[[#This Row],[Short]]&amp;")")</f>
        <v/>
      </c>
      <c r="J1421" s="7">
        <f>VLOOKUP(Table3[[#This Row],[Agen id]],Agen!A:C,3,0)</f>
        <v/>
      </c>
      <c r="K1421" s="37">
        <f>TRIM(LEFT(Table3[[#This Row],[Group]],2))</f>
        <v/>
      </c>
      <c r="L1421" s="3" t="inlineStr">
        <is>
          <t>NON SALES</t>
        </is>
      </c>
    </row>
    <row r="1422">
      <c r="A1422" s="5" t="inlineStr">
        <is>
          <t>OP09130</t>
        </is>
      </c>
      <c r="B1422" s="6" t="inlineStr">
        <is>
          <t>Afnan</t>
        </is>
      </c>
      <c r="C1422" s="7" t="inlineStr">
        <is>
          <t>A - Agen</t>
        </is>
      </c>
      <c r="D1422" s="1" t="inlineStr">
        <is>
          <t>OP00002</t>
        </is>
      </c>
      <c r="E1422" s="8" t="n">
        <v>45192.05902777778</v>
      </c>
      <c r="F1422" s="7" t="inlineStr">
        <is>
          <t>AGEN</t>
        </is>
      </c>
      <c r="G1422" s="18" t="inlineStr">
        <is>
          <t>OP09130</t>
        </is>
      </c>
      <c r="H1422" s="19">
        <f>UPPER(Table3[[#This Row],[Agen id]]&amp;"-"&amp;VLOOKUP(Table3[[#This Row],[Agen id]],A:B,2,0)&amp;"("&amp;Table3[[#This Row],[Short]]&amp;")")</f>
        <v/>
      </c>
      <c r="J1422" s="7">
        <f>VLOOKUP(Table3[[#This Row],[Agen id]],Agen!A:C,3,0)</f>
        <v/>
      </c>
      <c r="K1422" s="37">
        <f>TRIM(LEFT(Table3[[#This Row],[Group]],2))</f>
        <v/>
      </c>
      <c r="L1422" s="3" t="inlineStr">
        <is>
          <t>NON SALES</t>
        </is>
      </c>
    </row>
    <row r="1423">
      <c r="A1423" s="5" t="inlineStr">
        <is>
          <t>OP09134</t>
        </is>
      </c>
      <c r="B1423" s="6" t="inlineStr">
        <is>
          <t>NIKI SURYANA</t>
        </is>
      </c>
      <c r="C1423" s="7" t="inlineStr">
        <is>
          <t>AV - Agen Verified</t>
        </is>
      </c>
      <c r="D1423" s="1" t="inlineStr">
        <is>
          <t>OP00002</t>
        </is>
      </c>
      <c r="E1423" s="8" t="n">
        <v>45192.26527777778</v>
      </c>
      <c r="F1423" s="7" t="inlineStr">
        <is>
          <t>AGEN</t>
        </is>
      </c>
      <c r="G1423" s="18" t="inlineStr">
        <is>
          <t>OP09134</t>
        </is>
      </c>
      <c r="H1423" s="19">
        <f>UPPER(Table3[[#This Row],[Agen id]]&amp;"-"&amp;VLOOKUP(Table3[[#This Row],[Agen id]],A:B,2,0)&amp;"("&amp;Table3[[#This Row],[Short]]&amp;")")</f>
        <v/>
      </c>
      <c r="J1423" s="7">
        <f>VLOOKUP(Table3[[#This Row],[Agen id]],Agen!A:C,3,0)</f>
        <v/>
      </c>
      <c r="K1423" s="37">
        <f>TRIM(LEFT(Table3[[#This Row],[Group]],2))</f>
        <v/>
      </c>
      <c r="L1423" s="3" t="inlineStr">
        <is>
          <t>NON SALES</t>
        </is>
      </c>
    </row>
    <row r="1424">
      <c r="A1424" s="5" t="inlineStr">
        <is>
          <t>OP09138</t>
        </is>
      </c>
      <c r="B1424" s="6" t="inlineStr">
        <is>
          <t>Hermanto</t>
        </is>
      </c>
      <c r="C1424" s="7" t="inlineStr">
        <is>
          <t>A - Agen</t>
        </is>
      </c>
      <c r="D1424" s="1" t="inlineStr">
        <is>
          <t>OP00002</t>
        </is>
      </c>
      <c r="E1424" s="8" t="n">
        <v>45192.44722222222</v>
      </c>
      <c r="F1424" s="7" t="inlineStr">
        <is>
          <t>AGEN</t>
        </is>
      </c>
      <c r="G1424" s="18" t="inlineStr">
        <is>
          <t>OP09138</t>
        </is>
      </c>
      <c r="H1424" s="19">
        <f>UPPER(Table3[[#This Row],[Agen id]]&amp;"-"&amp;VLOOKUP(Table3[[#This Row],[Agen id]],A:B,2,0)&amp;"("&amp;Table3[[#This Row],[Short]]&amp;")")</f>
        <v/>
      </c>
      <c r="J1424" s="7">
        <f>VLOOKUP(Table3[[#This Row],[Agen id]],Agen!A:C,3,0)</f>
        <v/>
      </c>
      <c r="K1424" s="37">
        <f>TRIM(LEFT(Table3[[#This Row],[Group]],2))</f>
        <v/>
      </c>
      <c r="L1424" s="3" t="inlineStr">
        <is>
          <t>NON SALES</t>
        </is>
      </c>
    </row>
    <row r="1425">
      <c r="A1425" s="5" t="inlineStr">
        <is>
          <t>OP09141</t>
        </is>
      </c>
      <c r="B1425" s="6" t="inlineStr">
        <is>
          <t>Hunainah</t>
        </is>
      </c>
      <c r="C1425" s="7" t="inlineStr">
        <is>
          <t>AV - Agen Verified</t>
        </is>
      </c>
      <c r="D1425" s="1" t="inlineStr">
        <is>
          <t>OP00002</t>
        </is>
      </c>
      <c r="E1425" s="8" t="n">
        <v>45192.58263888889</v>
      </c>
      <c r="F1425" s="7" t="inlineStr">
        <is>
          <t>AGEN</t>
        </is>
      </c>
      <c r="G1425" s="18" t="inlineStr">
        <is>
          <t>OP09141</t>
        </is>
      </c>
      <c r="H1425" s="19">
        <f>UPPER(Table3[[#This Row],[Agen id]]&amp;"-"&amp;VLOOKUP(Table3[[#This Row],[Agen id]],A:B,2,0)&amp;"("&amp;Table3[[#This Row],[Short]]&amp;")")</f>
        <v/>
      </c>
      <c r="J1425" s="7">
        <f>VLOOKUP(Table3[[#This Row],[Agen id]],Agen!A:C,3,0)</f>
        <v/>
      </c>
      <c r="K1425" s="37">
        <f>TRIM(LEFT(Table3[[#This Row],[Group]],2))</f>
        <v/>
      </c>
      <c r="L1425" s="3" t="inlineStr">
        <is>
          <t>NON SALES</t>
        </is>
      </c>
    </row>
    <row r="1426">
      <c r="A1426" s="5" t="inlineStr">
        <is>
          <t>OP09143</t>
        </is>
      </c>
      <c r="B1426" s="6" t="inlineStr">
        <is>
          <t>Christoforus Padhi</t>
        </is>
      </c>
      <c r="C1426" s="7" t="inlineStr">
        <is>
          <t>A - Agen</t>
        </is>
      </c>
      <c r="D1426" s="1" t="inlineStr">
        <is>
          <t>OP00002</t>
        </is>
      </c>
      <c r="E1426" s="8" t="n">
        <v>45192.58541666667</v>
      </c>
      <c r="F1426" s="7" t="inlineStr">
        <is>
          <t>AGEN</t>
        </is>
      </c>
      <c r="G1426" s="18" t="inlineStr">
        <is>
          <t>OP09143</t>
        </is>
      </c>
      <c r="H1426" s="19">
        <f>UPPER(Table3[[#This Row],[Agen id]]&amp;"-"&amp;VLOOKUP(Table3[[#This Row],[Agen id]],A:B,2,0)&amp;"("&amp;Table3[[#This Row],[Short]]&amp;")")</f>
        <v/>
      </c>
      <c r="J1426" s="7">
        <f>VLOOKUP(Table3[[#This Row],[Agen id]],Agen!A:C,3,0)</f>
        <v/>
      </c>
      <c r="K1426" s="37">
        <f>TRIM(LEFT(Table3[[#This Row],[Group]],2))</f>
        <v/>
      </c>
      <c r="L1426" s="3" t="inlineStr">
        <is>
          <t>NON SALES</t>
        </is>
      </c>
    </row>
    <row r="1427">
      <c r="A1427" s="5" t="inlineStr">
        <is>
          <t>OP09157</t>
        </is>
      </c>
      <c r="B1427" s="6" t="inlineStr">
        <is>
          <t>Ceriacell12</t>
        </is>
      </c>
      <c r="C1427" s="7" t="inlineStr">
        <is>
          <t>A - Agen</t>
        </is>
      </c>
      <c r="D1427" s="1" t="inlineStr">
        <is>
          <t>OP00002</t>
        </is>
      </c>
      <c r="E1427" s="8" t="n">
        <v>45194.41527777778</v>
      </c>
      <c r="F1427" s="7" t="inlineStr">
        <is>
          <t>AGEN</t>
        </is>
      </c>
      <c r="G1427" s="18" t="inlineStr">
        <is>
          <t>OP09157</t>
        </is>
      </c>
      <c r="H1427" s="19">
        <f>UPPER(Table3[[#This Row],[Agen id]]&amp;"-"&amp;VLOOKUP(Table3[[#This Row],[Agen id]],A:B,2,0)&amp;"("&amp;Table3[[#This Row],[Short]]&amp;")")</f>
        <v/>
      </c>
      <c r="J1427" s="7">
        <f>VLOOKUP(Table3[[#This Row],[Agen id]],Agen!A:C,3,0)</f>
        <v/>
      </c>
      <c r="K1427" s="37">
        <f>TRIM(LEFT(Table3[[#This Row],[Group]],2))</f>
        <v/>
      </c>
      <c r="L1427" s="3" t="inlineStr">
        <is>
          <t>NON SALES</t>
        </is>
      </c>
    </row>
    <row r="1428">
      <c r="A1428" s="5" t="inlineStr">
        <is>
          <t>OP09160</t>
        </is>
      </c>
      <c r="B1428" s="6" t="inlineStr">
        <is>
          <t>Consino Cell</t>
        </is>
      </c>
      <c r="C1428" s="7" t="inlineStr">
        <is>
          <t>AB1 - Agen Kab Bogor</t>
        </is>
      </c>
      <c r="D1428" s="1" t="inlineStr">
        <is>
          <t>OP07367</t>
        </is>
      </c>
      <c r="E1428" s="8" t="n">
        <v>45194.58888888889</v>
      </c>
      <c r="F1428" s="7" t="inlineStr">
        <is>
          <t>AGEN</t>
        </is>
      </c>
      <c r="G1428" s="18" t="inlineStr">
        <is>
          <t>OP09160</t>
        </is>
      </c>
      <c r="H1428" s="19">
        <f>UPPER(Table3[[#This Row],[Agen id]]&amp;"-"&amp;VLOOKUP(Table3[[#This Row],[Agen id]],A:B,2,0)&amp;"("&amp;Table3[[#This Row],[Short]]&amp;")")</f>
        <v/>
      </c>
      <c r="J1428" s="7">
        <f>VLOOKUP(Table3[[#This Row],[Agen id]],Agen!A:C,3,0)</f>
        <v/>
      </c>
      <c r="K1428" s="37">
        <f>TRIM(LEFT(Table3[[#This Row],[Group]],2))</f>
        <v/>
      </c>
      <c r="L1428" s="3" t="inlineStr">
        <is>
          <t>ARIS</t>
        </is>
      </c>
    </row>
    <row r="1429">
      <c r="A1429" s="5" t="inlineStr">
        <is>
          <t>OP09163</t>
        </is>
      </c>
      <c r="B1429" s="6" t="inlineStr">
        <is>
          <t>Faiz</t>
        </is>
      </c>
      <c r="C1429" s="7" t="inlineStr">
        <is>
          <t>A - Agen</t>
        </is>
      </c>
      <c r="D1429" s="1" t="inlineStr">
        <is>
          <t>OP00002</t>
        </is>
      </c>
      <c r="E1429" s="8" t="n">
        <v>45194.72777777778</v>
      </c>
      <c r="F1429" s="7" t="inlineStr">
        <is>
          <t>AGEN</t>
        </is>
      </c>
      <c r="G1429" s="18" t="inlineStr">
        <is>
          <t>OP09163</t>
        </is>
      </c>
      <c r="H1429" s="19">
        <f>UPPER(Table3[[#This Row],[Agen id]]&amp;"-"&amp;VLOOKUP(Table3[[#This Row],[Agen id]],A:B,2,0)&amp;"("&amp;Table3[[#This Row],[Short]]&amp;")")</f>
        <v/>
      </c>
      <c r="J1429" s="7">
        <f>VLOOKUP(Table3[[#This Row],[Agen id]],Agen!A:C,3,0)</f>
        <v/>
      </c>
      <c r="K1429" s="37">
        <f>TRIM(LEFT(Table3[[#This Row],[Group]],2))</f>
        <v/>
      </c>
      <c r="L1429" s="3" t="inlineStr">
        <is>
          <t>NON SALES</t>
        </is>
      </c>
    </row>
    <row r="1430">
      <c r="A1430" s="5" t="inlineStr">
        <is>
          <t>OP09167</t>
        </is>
      </c>
      <c r="B1430" s="6" t="inlineStr">
        <is>
          <t>Wiwit</t>
        </is>
      </c>
      <c r="C1430" s="7" t="inlineStr">
        <is>
          <t>A - Agen</t>
        </is>
      </c>
      <c r="D1430" s="1" t="inlineStr">
        <is>
          <t>OP00002</t>
        </is>
      </c>
      <c r="E1430" s="8" t="n">
        <v>45195.37291666667</v>
      </c>
      <c r="F1430" s="7" t="inlineStr">
        <is>
          <t>AGEN</t>
        </is>
      </c>
      <c r="G1430" s="18" t="inlineStr">
        <is>
          <t>OP09167</t>
        </is>
      </c>
      <c r="H1430" s="19">
        <f>UPPER(Table3[[#This Row],[Agen id]]&amp;"-"&amp;VLOOKUP(Table3[[#This Row],[Agen id]],A:B,2,0)&amp;"("&amp;Table3[[#This Row],[Short]]&amp;")")</f>
        <v/>
      </c>
      <c r="J1430" s="7">
        <f>VLOOKUP(Table3[[#This Row],[Agen id]],Agen!A:C,3,0)</f>
        <v/>
      </c>
      <c r="K1430" s="37">
        <f>TRIM(LEFT(Table3[[#This Row],[Group]],2))</f>
        <v/>
      </c>
      <c r="L1430" s="3" t="inlineStr">
        <is>
          <t>NON SALES</t>
        </is>
      </c>
    </row>
    <row r="1431">
      <c r="A1431" s="5" t="inlineStr">
        <is>
          <t>OP09172</t>
        </is>
      </c>
      <c r="B1431" s="6" t="inlineStr">
        <is>
          <t>Ird cell</t>
        </is>
      </c>
      <c r="C1431" s="7" t="inlineStr">
        <is>
          <t>AT1 - Agen Tangerang</t>
        </is>
      </c>
      <c r="D1431" s="1" t="inlineStr">
        <is>
          <t>OP07683</t>
        </is>
      </c>
      <c r="E1431" s="8" t="n">
        <v>45195.68680555555</v>
      </c>
      <c r="F1431" s="7" t="inlineStr">
        <is>
          <t>AGEN</t>
        </is>
      </c>
      <c r="G1431" s="18" t="inlineStr">
        <is>
          <t>OP09172</t>
        </is>
      </c>
      <c r="H1431" s="19">
        <f>UPPER(Table3[[#This Row],[Agen id]]&amp;"-"&amp;VLOOKUP(Table3[[#This Row],[Agen id]],A:B,2,0)&amp;"("&amp;Table3[[#This Row],[Short]]&amp;")")</f>
        <v/>
      </c>
      <c r="J1431" s="7">
        <f>VLOOKUP(Table3[[#This Row],[Agen id]],Agen!A:C,3,0)</f>
        <v/>
      </c>
      <c r="K1431" s="37">
        <f>TRIM(LEFT(Table3[[#This Row],[Group]],2))</f>
        <v/>
      </c>
      <c r="L1431" s="3" t="inlineStr">
        <is>
          <t>AZIZ</t>
        </is>
      </c>
    </row>
    <row r="1432">
      <c r="A1432" s="5" t="inlineStr">
        <is>
          <t>OP09174</t>
        </is>
      </c>
      <c r="B1432" s="6" t="inlineStr">
        <is>
          <t>Monica cell</t>
        </is>
      </c>
      <c r="C1432" s="7" t="inlineStr">
        <is>
          <t>AT1 - Agen Tangerang</t>
        </is>
      </c>
      <c r="D1432" s="1" t="inlineStr">
        <is>
          <t>OP07683</t>
        </is>
      </c>
      <c r="E1432" s="8" t="n">
        <v>45195.76388888889</v>
      </c>
      <c r="F1432" s="7" t="inlineStr">
        <is>
          <t>AGEN</t>
        </is>
      </c>
      <c r="G1432" s="18" t="inlineStr">
        <is>
          <t>OP09174</t>
        </is>
      </c>
      <c r="H1432" s="19">
        <f>UPPER(Table3[[#This Row],[Agen id]]&amp;"-"&amp;VLOOKUP(Table3[[#This Row],[Agen id]],A:B,2,0)&amp;"("&amp;Table3[[#This Row],[Short]]&amp;")")</f>
        <v/>
      </c>
      <c r="J1432" s="7">
        <f>VLOOKUP(Table3[[#This Row],[Agen id]],Agen!A:C,3,0)</f>
        <v/>
      </c>
      <c r="K1432" s="37">
        <f>TRIM(LEFT(Table3[[#This Row],[Group]],2))</f>
        <v/>
      </c>
      <c r="L1432" s="3" t="inlineStr">
        <is>
          <t>AZIZ</t>
        </is>
      </c>
    </row>
    <row r="1433">
      <c r="A1433" s="5" t="inlineStr">
        <is>
          <t>OP09186</t>
        </is>
      </c>
      <c r="B1433" s="6" t="inlineStr">
        <is>
          <t>Aresten</t>
        </is>
      </c>
      <c r="C1433" s="7" t="inlineStr">
        <is>
          <t>A - Agen</t>
        </is>
      </c>
      <c r="D1433" s="1" t="inlineStr">
        <is>
          <t>OP00002</t>
        </is>
      </c>
      <c r="E1433" s="8" t="n">
        <v>45196.90069444444</v>
      </c>
      <c r="F1433" s="7" t="inlineStr">
        <is>
          <t>AGEN</t>
        </is>
      </c>
      <c r="G1433" s="18" t="inlineStr">
        <is>
          <t>OP09186</t>
        </is>
      </c>
      <c r="H1433" s="19">
        <f>UPPER(Table3[[#This Row],[Agen id]]&amp;"-"&amp;VLOOKUP(Table3[[#This Row],[Agen id]],A:B,2,0)&amp;"("&amp;Table3[[#This Row],[Short]]&amp;")")</f>
        <v/>
      </c>
      <c r="J1433" s="7">
        <f>VLOOKUP(Table3[[#This Row],[Agen id]],Agen!A:C,3,0)</f>
        <v/>
      </c>
      <c r="K1433" s="37">
        <f>TRIM(LEFT(Table3[[#This Row],[Group]],2))</f>
        <v/>
      </c>
      <c r="L1433" s="3" t="inlineStr">
        <is>
          <t>NON SALES</t>
        </is>
      </c>
    </row>
    <row r="1434">
      <c r="A1434" s="5" t="inlineStr">
        <is>
          <t>OP09188</t>
        </is>
      </c>
      <c r="B1434" s="6" t="inlineStr">
        <is>
          <t>ahmad yunus</t>
        </is>
      </c>
      <c r="C1434" s="7" t="inlineStr">
        <is>
          <t>A - Agen</t>
        </is>
      </c>
      <c r="D1434" s="1" t="inlineStr">
        <is>
          <t>OP00091</t>
        </is>
      </c>
      <c r="E1434" s="8" t="n">
        <v>45197.41736111111</v>
      </c>
      <c r="F1434" s="7" t="inlineStr">
        <is>
          <t>DOWNLINE</t>
        </is>
      </c>
      <c r="G1434" s="18" t="inlineStr">
        <is>
          <t>OP00091</t>
        </is>
      </c>
      <c r="H1434" s="19">
        <f>UPPER(Table3[[#This Row],[Agen id]]&amp;"-"&amp;VLOOKUP(Table3[[#This Row],[Agen id]],A:B,2,0)&amp;"("&amp;Table3[[#This Row],[Short]]&amp;")")</f>
        <v/>
      </c>
      <c r="J1434" s="7">
        <f>VLOOKUP(Table3[[#This Row],[Agen id]],Agen!A:C,3,0)</f>
        <v/>
      </c>
      <c r="K1434" s="37">
        <f>TRIM(LEFT(Table3[[#This Row],[Group]],2))</f>
        <v/>
      </c>
      <c r="L1434" s="3" t="inlineStr">
        <is>
          <t>NON SALES</t>
        </is>
      </c>
    </row>
    <row r="1435">
      <c r="A1435" s="5" t="inlineStr">
        <is>
          <t>OP09190</t>
        </is>
      </c>
      <c r="B1435" s="6" t="inlineStr">
        <is>
          <t>Ayu Ponsel</t>
        </is>
      </c>
      <c r="C1435" s="7" t="inlineStr">
        <is>
          <t>AV - Agen Verified</t>
        </is>
      </c>
      <c r="D1435" s="1" t="inlineStr">
        <is>
          <t>OP08544</t>
        </is>
      </c>
      <c r="E1435" s="8" t="n">
        <v>45197.67708333334</v>
      </c>
      <c r="F1435" s="7" t="inlineStr">
        <is>
          <t>DOWNLINE</t>
        </is>
      </c>
      <c r="G1435" s="18" t="inlineStr">
        <is>
          <t>OP08544</t>
        </is>
      </c>
      <c r="H1435" s="19">
        <f>UPPER(Table3[[#This Row],[Agen id]]&amp;"-"&amp;VLOOKUP(Table3[[#This Row],[Agen id]],A:B,2,0)&amp;"("&amp;Table3[[#This Row],[Short]]&amp;")")</f>
        <v/>
      </c>
      <c r="J1435" s="7">
        <f>VLOOKUP(Table3[[#This Row],[Agen id]],Agen!A:C,3,0)</f>
        <v/>
      </c>
      <c r="K1435" s="37">
        <f>TRIM(LEFT(Table3[[#This Row],[Group]],2))</f>
        <v/>
      </c>
      <c r="L1435" s="3" t="inlineStr">
        <is>
          <t>NON SALES</t>
        </is>
      </c>
    </row>
    <row r="1436">
      <c r="A1436" s="5" t="inlineStr">
        <is>
          <t>OP09195</t>
        </is>
      </c>
      <c r="B1436" s="6" t="inlineStr">
        <is>
          <t>Arba Ponsel</t>
        </is>
      </c>
      <c r="C1436" s="7" t="inlineStr">
        <is>
          <t>AV - Agen Verified</t>
        </is>
      </c>
      <c r="D1436" s="1" t="inlineStr">
        <is>
          <t>OP08544</t>
        </is>
      </c>
      <c r="E1436" s="8" t="n">
        <v>45198.35625</v>
      </c>
      <c r="F1436" s="7" t="inlineStr">
        <is>
          <t>DOWNLINE</t>
        </is>
      </c>
      <c r="G1436" s="18" t="inlineStr">
        <is>
          <t>OP08544</t>
        </is>
      </c>
      <c r="H1436" s="19">
        <f>UPPER(Table3[[#This Row],[Agen id]]&amp;"-"&amp;VLOOKUP(Table3[[#This Row],[Agen id]],A:B,2,0)&amp;"("&amp;Table3[[#This Row],[Short]]&amp;")")</f>
        <v/>
      </c>
      <c r="J1436" s="7">
        <f>VLOOKUP(Table3[[#This Row],[Agen id]],Agen!A:C,3,0)</f>
        <v/>
      </c>
      <c r="K1436" s="37">
        <f>TRIM(LEFT(Table3[[#This Row],[Group]],2))</f>
        <v/>
      </c>
      <c r="L1436" s="3" t="inlineStr">
        <is>
          <t>NON SALES</t>
        </is>
      </c>
    </row>
    <row r="1437">
      <c r="A1437" s="5" t="inlineStr">
        <is>
          <t>OP09196</t>
        </is>
      </c>
      <c r="B1437" s="6" t="inlineStr">
        <is>
          <t>BIMA CELL</t>
        </is>
      </c>
      <c r="C1437" s="7" t="inlineStr">
        <is>
          <t>AV - Agen Verified</t>
        </is>
      </c>
      <c r="D1437" s="1" t="inlineStr">
        <is>
          <t>OP01054</t>
        </is>
      </c>
      <c r="E1437" s="8" t="n">
        <v>45198.40347222222</v>
      </c>
      <c r="F1437" s="7" t="inlineStr">
        <is>
          <t>DOWNLINE</t>
        </is>
      </c>
      <c r="G1437" s="18" t="inlineStr">
        <is>
          <t>OP01054</t>
        </is>
      </c>
      <c r="H1437" s="19">
        <f>UPPER(Table3[[#This Row],[Agen id]]&amp;"-"&amp;VLOOKUP(Table3[[#This Row],[Agen id]],A:B,2,0)&amp;"("&amp;Table3[[#This Row],[Short]]&amp;")")</f>
        <v/>
      </c>
      <c r="J1437" s="7">
        <f>VLOOKUP(Table3[[#This Row],[Agen id]],Agen!A:C,3,0)</f>
        <v/>
      </c>
      <c r="K1437" s="37">
        <f>TRIM(LEFT(Table3[[#This Row],[Group]],2))</f>
        <v/>
      </c>
      <c r="L1437" s="3" t="inlineStr">
        <is>
          <t>NON SALES</t>
        </is>
      </c>
    </row>
    <row r="1438">
      <c r="A1438" s="5" t="inlineStr">
        <is>
          <t>OP09197</t>
        </is>
      </c>
      <c r="B1438" s="6" t="inlineStr">
        <is>
          <t>NURSAM 2</t>
        </is>
      </c>
      <c r="C1438" s="7" t="inlineStr">
        <is>
          <t>A - Agen</t>
        </is>
      </c>
      <c r="D1438" s="1" t="inlineStr">
        <is>
          <t>OP00335</t>
        </is>
      </c>
      <c r="E1438" s="8" t="n">
        <v>45198.62986111111</v>
      </c>
      <c r="F1438" s="7" t="inlineStr">
        <is>
          <t>DOWNLINE</t>
        </is>
      </c>
      <c r="G1438" s="18" t="inlineStr">
        <is>
          <t>OP00335</t>
        </is>
      </c>
      <c r="H1438" s="19">
        <f>UPPER(Table3[[#This Row],[Agen id]]&amp;"-"&amp;VLOOKUP(Table3[[#This Row],[Agen id]],A:B,2,0)&amp;"("&amp;Table3[[#This Row],[Short]]&amp;")")</f>
        <v/>
      </c>
      <c r="J1438" s="7">
        <f>VLOOKUP(Table3[[#This Row],[Agen id]],Agen!A:C,3,0)</f>
        <v/>
      </c>
      <c r="K1438" s="37">
        <f>TRIM(LEFT(Table3[[#This Row],[Group]],2))</f>
        <v/>
      </c>
      <c r="L1438" s="3" t="inlineStr">
        <is>
          <t>NON SALES</t>
        </is>
      </c>
    </row>
    <row r="1439">
      <c r="A1439" s="5" t="inlineStr">
        <is>
          <t>OP09203</t>
        </is>
      </c>
      <c r="B1439" s="6" t="inlineStr">
        <is>
          <t>Tita cell</t>
        </is>
      </c>
      <c r="C1439" s="7" t="inlineStr">
        <is>
          <t>AB1 - Agen Kab Bogor</t>
        </is>
      </c>
      <c r="D1439" s="1" t="inlineStr">
        <is>
          <t>OP07367</t>
        </is>
      </c>
      <c r="E1439" s="8" t="n">
        <v>45199.49444444444</v>
      </c>
      <c r="F1439" s="7" t="inlineStr">
        <is>
          <t>AGEN</t>
        </is>
      </c>
      <c r="G1439" s="18" t="inlineStr">
        <is>
          <t>OP09203</t>
        </is>
      </c>
      <c r="H1439" s="19">
        <f>UPPER(Table3[[#This Row],[Agen id]]&amp;"-"&amp;VLOOKUP(Table3[[#This Row],[Agen id]],A:B,2,0)&amp;"("&amp;Table3[[#This Row],[Short]]&amp;")")</f>
        <v/>
      </c>
      <c r="J1439" s="7">
        <f>VLOOKUP(Table3[[#This Row],[Agen id]],Agen!A:C,3,0)</f>
        <v/>
      </c>
      <c r="K1439" s="37">
        <f>TRIM(LEFT(Table3[[#This Row],[Group]],2))</f>
        <v/>
      </c>
      <c r="L1439" s="3" t="inlineStr">
        <is>
          <t>ARIS</t>
        </is>
      </c>
    </row>
    <row r="1440">
      <c r="A1440" s="5" t="inlineStr">
        <is>
          <t>OP09205</t>
        </is>
      </c>
      <c r="B1440" s="6" t="inlineStr">
        <is>
          <t>HASBI CELL</t>
        </is>
      </c>
      <c r="C1440" s="7" t="inlineStr">
        <is>
          <t>AV - Agen Verified</t>
        </is>
      </c>
      <c r="D1440" s="1" t="inlineStr">
        <is>
          <t>OP05567</t>
        </is>
      </c>
      <c r="E1440" s="8" t="n">
        <v>45199.75347222222</v>
      </c>
      <c r="F1440" s="7" t="inlineStr">
        <is>
          <t>DOWNLINE</t>
        </is>
      </c>
      <c r="G1440" s="18" t="inlineStr">
        <is>
          <t>OP05567</t>
        </is>
      </c>
      <c r="H1440" s="19">
        <f>UPPER(Table3[[#This Row],[Agen id]]&amp;"-"&amp;VLOOKUP(Table3[[#This Row],[Agen id]],A:B,2,0)&amp;"("&amp;Table3[[#This Row],[Short]]&amp;")")</f>
        <v/>
      </c>
      <c r="J1440" s="7">
        <f>VLOOKUP(Table3[[#This Row],[Agen id]],Agen!A:C,3,0)</f>
        <v/>
      </c>
      <c r="K1440" s="37">
        <f>TRIM(LEFT(Table3[[#This Row],[Group]],2))</f>
        <v/>
      </c>
      <c r="L1440" s="3" t="inlineStr">
        <is>
          <t>NON SALES</t>
        </is>
      </c>
    </row>
    <row r="1441">
      <c r="A1441" s="5" t="inlineStr">
        <is>
          <t>OP09209</t>
        </is>
      </c>
      <c r="B1441" s="6" t="inlineStr">
        <is>
          <t>Zulhendri</t>
        </is>
      </c>
      <c r="C1441" s="7" t="inlineStr">
        <is>
          <t>AV - Agen Verified</t>
        </is>
      </c>
      <c r="D1441" s="1" t="inlineStr">
        <is>
          <t>OP00002</t>
        </is>
      </c>
      <c r="E1441" s="8" t="n">
        <v>45200.61666666667</v>
      </c>
      <c r="F1441" s="7" t="inlineStr">
        <is>
          <t>AGEN</t>
        </is>
      </c>
      <c r="G1441" s="18" t="inlineStr">
        <is>
          <t>OP09209</t>
        </is>
      </c>
      <c r="H1441" s="19">
        <f>UPPER(Table3[[#This Row],[Agen id]]&amp;"-"&amp;VLOOKUP(Table3[[#This Row],[Agen id]],A:B,2,0)&amp;"("&amp;Table3[[#This Row],[Short]]&amp;")")</f>
        <v/>
      </c>
      <c r="J1441" s="7">
        <f>VLOOKUP(Table3[[#This Row],[Agen id]],Agen!A:C,3,0)</f>
        <v/>
      </c>
      <c r="K1441" s="37">
        <f>TRIM(LEFT(Table3[[#This Row],[Group]],2))</f>
        <v/>
      </c>
      <c r="L1441" s="3" t="inlineStr">
        <is>
          <t>NON SALES</t>
        </is>
      </c>
    </row>
    <row r="1442">
      <c r="A1442" s="5" t="inlineStr">
        <is>
          <t>OP09211</t>
        </is>
      </c>
      <c r="B1442" s="6" t="inlineStr">
        <is>
          <t>Wulandariii</t>
        </is>
      </c>
      <c r="C1442" s="7" t="inlineStr">
        <is>
          <t>A - Agen</t>
        </is>
      </c>
      <c r="D1442" s="1" t="inlineStr">
        <is>
          <t>OP00002</t>
        </is>
      </c>
      <c r="E1442" s="8" t="n">
        <v>45200.92083333333</v>
      </c>
      <c r="F1442" s="7" t="inlineStr">
        <is>
          <t>AGEN</t>
        </is>
      </c>
      <c r="G1442" s="18" t="inlineStr">
        <is>
          <t>OP09211</t>
        </is>
      </c>
      <c r="H1442" s="19">
        <f>UPPER(Table3[[#This Row],[Agen id]]&amp;"-"&amp;VLOOKUP(Table3[[#This Row],[Agen id]],A:B,2,0)&amp;"("&amp;Table3[[#This Row],[Short]]&amp;")")</f>
        <v/>
      </c>
      <c r="J1442" s="7">
        <f>VLOOKUP(Table3[[#This Row],[Agen id]],Agen!A:C,3,0)</f>
        <v/>
      </c>
      <c r="K1442" s="37">
        <f>TRIM(LEFT(Table3[[#This Row],[Group]],2))</f>
        <v/>
      </c>
      <c r="L1442" s="3" t="inlineStr">
        <is>
          <t>NON SALES</t>
        </is>
      </c>
    </row>
    <row r="1443">
      <c r="A1443" s="5" t="inlineStr">
        <is>
          <t>OP09248</t>
        </is>
      </c>
      <c r="B1443" s="6" t="inlineStr">
        <is>
          <t>Bin bin cell</t>
        </is>
      </c>
      <c r="C1443" s="7" t="inlineStr">
        <is>
          <t>AT1 - Agen Tangerang</t>
        </is>
      </c>
      <c r="D1443" s="1" t="inlineStr">
        <is>
          <t>OP07683</t>
        </is>
      </c>
      <c r="E1443" s="8" t="n">
        <v>45202.8625</v>
      </c>
      <c r="F1443" s="7" t="inlineStr">
        <is>
          <t>AGEN</t>
        </is>
      </c>
      <c r="G1443" s="18" t="inlineStr">
        <is>
          <t>OP09248</t>
        </is>
      </c>
      <c r="H1443" s="19">
        <f>UPPER(Table3[[#This Row],[Agen id]]&amp;"-"&amp;VLOOKUP(Table3[[#This Row],[Agen id]],A:B,2,0)&amp;"("&amp;Table3[[#This Row],[Short]]&amp;")")</f>
        <v/>
      </c>
      <c r="J1443" s="7">
        <f>VLOOKUP(Table3[[#This Row],[Agen id]],Agen!A:C,3,0)</f>
        <v/>
      </c>
      <c r="K1443" s="37">
        <f>TRIM(LEFT(Table3[[#This Row],[Group]],2))</f>
        <v/>
      </c>
      <c r="L1443" s="3" t="inlineStr">
        <is>
          <t>AZIZ</t>
        </is>
      </c>
    </row>
    <row r="1444">
      <c r="A1444" s="5" t="inlineStr">
        <is>
          <t>OP09254</t>
        </is>
      </c>
      <c r="B1444" s="6" t="inlineStr">
        <is>
          <t>PUTRI CELL</t>
        </is>
      </c>
      <c r="C1444" s="7" t="inlineStr">
        <is>
          <t>AK - Agen Khusus</t>
        </is>
      </c>
      <c r="D1444" s="1" t="inlineStr">
        <is>
          <t>OP06781</t>
        </is>
      </c>
      <c r="E1444" s="8" t="n">
        <v>45203.41527777778</v>
      </c>
      <c r="F1444" s="7" t="inlineStr">
        <is>
          <t>DOWNLINE</t>
        </is>
      </c>
      <c r="G1444" s="18" t="inlineStr">
        <is>
          <t>OP06781</t>
        </is>
      </c>
      <c r="H1444" s="19">
        <f>UPPER(Table3[[#This Row],[Agen id]]&amp;"-"&amp;VLOOKUP(Table3[[#This Row],[Agen id]],A:B,2,0)&amp;"("&amp;Table3[[#This Row],[Short]]&amp;")")</f>
        <v/>
      </c>
      <c r="J1444" s="7">
        <f>VLOOKUP(Table3[[#This Row],[Agen id]],Agen!A:C,3,0)</f>
        <v/>
      </c>
      <c r="K1444" s="37">
        <f>TRIM(LEFT(Table3[[#This Row],[Group]],2))</f>
        <v/>
      </c>
      <c r="L1444" s="3" t="inlineStr">
        <is>
          <t>NON SALES</t>
        </is>
      </c>
    </row>
    <row r="1445">
      <c r="A1445" s="5" t="inlineStr">
        <is>
          <t>OP09257</t>
        </is>
      </c>
      <c r="B1445" s="6" t="inlineStr">
        <is>
          <t>LYLA CELL</t>
        </is>
      </c>
      <c r="C1445" s="7" t="inlineStr">
        <is>
          <t>AT1 - Agen Tangerang</t>
        </is>
      </c>
      <c r="D1445" s="1" t="inlineStr">
        <is>
          <t>OP07683</t>
        </is>
      </c>
      <c r="E1445" s="8" t="n">
        <v>45203.72222222222</v>
      </c>
      <c r="F1445" s="7" t="inlineStr">
        <is>
          <t>AGEN</t>
        </is>
      </c>
      <c r="G1445" s="18" t="inlineStr">
        <is>
          <t>OP09257</t>
        </is>
      </c>
      <c r="H1445" s="19">
        <f>UPPER(Table3[[#This Row],[Agen id]]&amp;"-"&amp;VLOOKUP(Table3[[#This Row],[Agen id]],A:B,2,0)&amp;"("&amp;Table3[[#This Row],[Short]]&amp;")")</f>
        <v/>
      </c>
      <c r="J1445" s="7">
        <f>VLOOKUP(Table3[[#This Row],[Agen id]],Agen!A:C,3,0)</f>
        <v/>
      </c>
      <c r="K1445" s="37">
        <f>TRIM(LEFT(Table3[[#This Row],[Group]],2))</f>
        <v/>
      </c>
      <c r="L1445" s="3" t="inlineStr">
        <is>
          <t>AZIZ</t>
        </is>
      </c>
    </row>
    <row r="1446">
      <c r="A1446" s="5" t="inlineStr">
        <is>
          <t>OP09260</t>
        </is>
      </c>
      <c r="B1446" s="6" t="inlineStr">
        <is>
          <t>ROSE CELL 1</t>
        </is>
      </c>
      <c r="C1446" s="7" t="inlineStr">
        <is>
          <t>AT1 - Agen Tangerang</t>
        </is>
      </c>
      <c r="D1446" s="1" t="inlineStr">
        <is>
          <t>OP07683</t>
        </is>
      </c>
      <c r="E1446" s="8" t="n">
        <v>45203.88263888889</v>
      </c>
      <c r="F1446" s="7" t="inlineStr">
        <is>
          <t>AGEN</t>
        </is>
      </c>
      <c r="G1446" s="18" t="inlineStr">
        <is>
          <t>OP09260</t>
        </is>
      </c>
      <c r="H1446" s="19">
        <f>UPPER(Table3[[#This Row],[Agen id]]&amp;"-"&amp;VLOOKUP(Table3[[#This Row],[Agen id]],A:B,2,0)&amp;"("&amp;Table3[[#This Row],[Short]]&amp;")")</f>
        <v/>
      </c>
      <c r="J1446" s="7">
        <f>VLOOKUP(Table3[[#This Row],[Agen id]],Agen!A:C,3,0)</f>
        <v/>
      </c>
      <c r="K1446" s="37">
        <f>TRIM(LEFT(Table3[[#This Row],[Group]],2))</f>
        <v/>
      </c>
      <c r="L1446" s="3" t="inlineStr">
        <is>
          <t>AZIZ</t>
        </is>
      </c>
    </row>
    <row r="1447">
      <c r="A1447" s="5" t="inlineStr">
        <is>
          <t>OP09261</t>
        </is>
      </c>
      <c r="B1447" s="6" t="inlineStr">
        <is>
          <t>Herman</t>
        </is>
      </c>
      <c r="C1447" s="7" t="inlineStr">
        <is>
          <t>A - Agen</t>
        </is>
      </c>
      <c r="D1447" s="1" t="inlineStr">
        <is>
          <t>OP00002</t>
        </is>
      </c>
      <c r="E1447" s="8" t="n">
        <v>45203.88472222222</v>
      </c>
      <c r="F1447" s="7" t="inlineStr">
        <is>
          <t>AGEN</t>
        </is>
      </c>
      <c r="G1447" s="18" t="inlineStr">
        <is>
          <t>OP09261</t>
        </is>
      </c>
      <c r="H1447" s="19">
        <f>UPPER(Table3[[#This Row],[Agen id]]&amp;"-"&amp;VLOOKUP(Table3[[#This Row],[Agen id]],A:B,2,0)&amp;"("&amp;Table3[[#This Row],[Short]]&amp;")")</f>
        <v/>
      </c>
      <c r="J1447" s="7">
        <f>VLOOKUP(Table3[[#This Row],[Agen id]],Agen!A:C,3,0)</f>
        <v/>
      </c>
      <c r="K1447" s="37">
        <f>TRIM(LEFT(Table3[[#This Row],[Group]],2))</f>
        <v/>
      </c>
      <c r="L1447" s="3" t="inlineStr">
        <is>
          <t>NON SALES</t>
        </is>
      </c>
    </row>
    <row r="1448">
      <c r="A1448" s="5" t="inlineStr">
        <is>
          <t>OP09265</t>
        </is>
      </c>
      <c r="B1448" s="6" t="inlineStr">
        <is>
          <t>CLAUDIA</t>
        </is>
      </c>
      <c r="C1448" s="7" t="inlineStr">
        <is>
          <t>A - Agen</t>
        </is>
      </c>
      <c r="D1448" s="1" t="inlineStr">
        <is>
          <t>OP00002</t>
        </is>
      </c>
      <c r="E1448" s="8" t="n">
        <v>45204.35277777778</v>
      </c>
      <c r="F1448" s="7" t="inlineStr">
        <is>
          <t>AGEN</t>
        </is>
      </c>
      <c r="G1448" s="18" t="inlineStr">
        <is>
          <t>OP09265</t>
        </is>
      </c>
      <c r="H1448" s="19">
        <f>UPPER(Table3[[#This Row],[Agen id]]&amp;"-"&amp;VLOOKUP(Table3[[#This Row],[Agen id]],A:B,2,0)&amp;"("&amp;Table3[[#This Row],[Short]]&amp;")")</f>
        <v/>
      </c>
      <c r="J1448" s="7">
        <f>VLOOKUP(Table3[[#This Row],[Agen id]],Agen!A:C,3,0)</f>
        <v/>
      </c>
      <c r="K1448" s="37">
        <f>TRIM(LEFT(Table3[[#This Row],[Group]],2))</f>
        <v/>
      </c>
      <c r="L1448" s="3" t="inlineStr">
        <is>
          <t>NON SALES</t>
        </is>
      </c>
    </row>
    <row r="1449">
      <c r="A1449" s="5" t="inlineStr">
        <is>
          <t>OP09279</t>
        </is>
      </c>
      <c r="B1449" s="6" t="inlineStr">
        <is>
          <t>Risma</t>
        </is>
      </c>
      <c r="C1449" s="7" t="inlineStr">
        <is>
          <t>A - Agen</t>
        </is>
      </c>
      <c r="D1449" s="1" t="inlineStr">
        <is>
          <t>OP00002</t>
        </is>
      </c>
      <c r="E1449" s="8" t="n">
        <v>45205.33958333333</v>
      </c>
      <c r="F1449" s="7" t="inlineStr">
        <is>
          <t>AGEN</t>
        </is>
      </c>
      <c r="G1449" s="18" t="inlineStr">
        <is>
          <t>OP09279</t>
        </is>
      </c>
      <c r="H1449" s="19">
        <f>UPPER(Table3[[#This Row],[Agen id]]&amp;"-"&amp;VLOOKUP(Table3[[#This Row],[Agen id]],A:B,2,0)&amp;"("&amp;Table3[[#This Row],[Short]]&amp;")")</f>
        <v/>
      </c>
      <c r="J1449" s="7">
        <f>VLOOKUP(Table3[[#This Row],[Agen id]],Agen!A:C,3,0)</f>
        <v/>
      </c>
      <c r="K1449" s="37">
        <f>TRIM(LEFT(Table3[[#This Row],[Group]],2))</f>
        <v/>
      </c>
      <c r="L1449" s="3" t="inlineStr">
        <is>
          <t>NON SALES</t>
        </is>
      </c>
    </row>
    <row r="1450">
      <c r="A1450" s="5" t="inlineStr">
        <is>
          <t>OP09286</t>
        </is>
      </c>
      <c r="B1450" s="6" t="inlineStr">
        <is>
          <t>Anggun moogangga</t>
        </is>
      </c>
      <c r="C1450" s="7" t="inlineStr">
        <is>
          <t>A - Agen</t>
        </is>
      </c>
      <c r="D1450" s="1" t="inlineStr">
        <is>
          <t>OP00002</t>
        </is>
      </c>
      <c r="E1450" s="8" t="n">
        <v>45206.33611111111</v>
      </c>
      <c r="F1450" s="7" t="inlineStr">
        <is>
          <t>AGEN</t>
        </is>
      </c>
      <c r="G1450" s="18" t="inlineStr">
        <is>
          <t>OP09286</t>
        </is>
      </c>
      <c r="H1450" s="19">
        <f>UPPER(Table3[[#This Row],[Agen id]]&amp;"-"&amp;VLOOKUP(Table3[[#This Row],[Agen id]],A:B,2,0)&amp;"("&amp;Table3[[#This Row],[Short]]&amp;")")</f>
        <v/>
      </c>
      <c r="J1450" s="7">
        <f>VLOOKUP(Table3[[#This Row],[Agen id]],Agen!A:C,3,0)</f>
        <v/>
      </c>
      <c r="K1450" s="37">
        <f>TRIM(LEFT(Table3[[#This Row],[Group]],2))</f>
        <v/>
      </c>
      <c r="L1450" s="3" t="inlineStr">
        <is>
          <t>NON SALES</t>
        </is>
      </c>
    </row>
    <row r="1451">
      <c r="A1451" s="5" t="inlineStr">
        <is>
          <t>OP09287</t>
        </is>
      </c>
      <c r="B1451" s="6" t="inlineStr">
        <is>
          <t>Reva moogangga</t>
        </is>
      </c>
      <c r="C1451" s="7" t="inlineStr">
        <is>
          <t>A - Agen</t>
        </is>
      </c>
      <c r="D1451" s="1" t="inlineStr">
        <is>
          <t>OP00002</t>
        </is>
      </c>
      <c r="E1451" s="8" t="n">
        <v>45206.33819444444</v>
      </c>
      <c r="F1451" s="7" t="inlineStr">
        <is>
          <t>AGEN</t>
        </is>
      </c>
      <c r="G1451" s="18" t="inlineStr">
        <is>
          <t>OP09287</t>
        </is>
      </c>
      <c r="H1451" s="19">
        <f>UPPER(Table3[[#This Row],[Agen id]]&amp;"-"&amp;VLOOKUP(Table3[[#This Row],[Agen id]],A:B,2,0)&amp;"("&amp;Table3[[#This Row],[Short]]&amp;")")</f>
        <v/>
      </c>
      <c r="J1451" s="7">
        <f>VLOOKUP(Table3[[#This Row],[Agen id]],Agen!A:C,3,0)</f>
        <v/>
      </c>
      <c r="K1451" s="37">
        <f>TRIM(LEFT(Table3[[#This Row],[Group]],2))</f>
        <v/>
      </c>
      <c r="L1451" s="3" t="inlineStr">
        <is>
          <t>NON SALES</t>
        </is>
      </c>
    </row>
    <row r="1452">
      <c r="A1452" s="5" t="inlineStr">
        <is>
          <t>OP09288</t>
        </is>
      </c>
      <c r="B1452" s="6" t="inlineStr">
        <is>
          <t>RA 2</t>
        </is>
      </c>
      <c r="C1452" s="7" t="inlineStr">
        <is>
          <t>A - Agen</t>
        </is>
      </c>
      <c r="D1452" s="1" t="inlineStr">
        <is>
          <t>OP03230</t>
        </is>
      </c>
      <c r="E1452" s="8" t="n">
        <v>45206.36666666667</v>
      </c>
      <c r="F1452" s="7" t="inlineStr">
        <is>
          <t>DOWNLINE</t>
        </is>
      </c>
      <c r="G1452" s="18" t="inlineStr">
        <is>
          <t>OP03230</t>
        </is>
      </c>
      <c r="H1452" s="19">
        <f>UPPER(Table3[[#This Row],[Agen id]]&amp;"-"&amp;VLOOKUP(Table3[[#This Row],[Agen id]],A:B,2,0)&amp;"("&amp;Table3[[#This Row],[Short]]&amp;")")</f>
        <v/>
      </c>
      <c r="J1452" s="7">
        <f>VLOOKUP(Table3[[#This Row],[Agen id]],Agen!A:C,3,0)</f>
        <v/>
      </c>
      <c r="K1452" s="37">
        <f>TRIM(LEFT(Table3[[#This Row],[Group]],2))</f>
        <v/>
      </c>
      <c r="L1452" s="3" t="inlineStr">
        <is>
          <t>NON SALES</t>
        </is>
      </c>
    </row>
    <row r="1453">
      <c r="A1453" s="5" t="inlineStr">
        <is>
          <t>OP09290</t>
        </is>
      </c>
      <c r="B1453" s="6" t="inlineStr">
        <is>
          <t>Noto</t>
        </is>
      </c>
      <c r="C1453" s="7" t="inlineStr">
        <is>
          <t>A - Agen</t>
        </is>
      </c>
      <c r="D1453" s="1" t="inlineStr">
        <is>
          <t>OP00996</t>
        </is>
      </c>
      <c r="E1453" s="8" t="n">
        <v>45206.48611111111</v>
      </c>
      <c r="F1453" s="7" t="inlineStr">
        <is>
          <t>DOWNLINE</t>
        </is>
      </c>
      <c r="G1453" s="18" t="inlineStr">
        <is>
          <t>OP00996</t>
        </is>
      </c>
      <c r="H1453" s="19">
        <f>UPPER(Table3[[#This Row],[Agen id]]&amp;"-"&amp;VLOOKUP(Table3[[#This Row],[Agen id]],A:B,2,0)&amp;"("&amp;Table3[[#This Row],[Short]]&amp;")")</f>
        <v/>
      </c>
      <c r="J1453" s="7">
        <f>VLOOKUP(Table3[[#This Row],[Agen id]],Agen!A:C,3,0)</f>
        <v/>
      </c>
      <c r="K1453" s="37">
        <f>TRIM(LEFT(Table3[[#This Row],[Group]],2))</f>
        <v/>
      </c>
      <c r="L1453" s="3" t="inlineStr">
        <is>
          <t>NON SALES</t>
        </is>
      </c>
    </row>
    <row r="1454">
      <c r="A1454" s="5" t="inlineStr">
        <is>
          <t>OP09295</t>
        </is>
      </c>
      <c r="B1454" s="6" t="inlineStr">
        <is>
          <t>OceCell</t>
        </is>
      </c>
      <c r="C1454" s="7" t="inlineStr">
        <is>
          <t>AB1 - Agen Kab Bogor</t>
        </is>
      </c>
      <c r="D1454" s="1" t="inlineStr">
        <is>
          <t>OP00002</t>
        </is>
      </c>
      <c r="E1454" s="8" t="n">
        <v>45206.75833333333</v>
      </c>
      <c r="F1454" s="7" t="inlineStr">
        <is>
          <t>AGEN</t>
        </is>
      </c>
      <c r="G1454" s="18" t="inlineStr">
        <is>
          <t>OP09295</t>
        </is>
      </c>
      <c r="H1454" s="19">
        <f>UPPER(Table3[[#This Row],[Agen id]]&amp;"-"&amp;VLOOKUP(Table3[[#This Row],[Agen id]],A:B,2,0)&amp;"("&amp;Table3[[#This Row],[Short]]&amp;")")</f>
        <v/>
      </c>
      <c r="J1454" s="7">
        <f>VLOOKUP(Table3[[#This Row],[Agen id]],Agen!A:C,3,0)</f>
        <v/>
      </c>
      <c r="K1454" s="37">
        <f>TRIM(LEFT(Table3[[#This Row],[Group]],2))</f>
        <v/>
      </c>
      <c r="L1454" s="3" t="inlineStr">
        <is>
          <t>NON SALES</t>
        </is>
      </c>
    </row>
    <row r="1455">
      <c r="A1455" s="5" t="inlineStr">
        <is>
          <t>OP09313</t>
        </is>
      </c>
      <c r="B1455" s="6" t="inlineStr">
        <is>
          <t>IJAH SITI KHODIJAH</t>
        </is>
      </c>
      <c r="C1455" s="7" t="inlineStr">
        <is>
          <t>AT1 - Agen Tangerang</t>
        </is>
      </c>
      <c r="D1455" s="1" t="inlineStr">
        <is>
          <t>OP00949</t>
        </is>
      </c>
      <c r="E1455" s="8" t="n">
        <v>45207.86736111111</v>
      </c>
      <c r="F1455" s="7" t="inlineStr">
        <is>
          <t>DOWNLINE</t>
        </is>
      </c>
      <c r="G1455" s="18" t="inlineStr">
        <is>
          <t>OP00949</t>
        </is>
      </c>
      <c r="H1455" s="19">
        <f>UPPER(Table3[[#This Row],[Agen id]]&amp;"-"&amp;VLOOKUP(Table3[[#This Row],[Agen id]],A:B,2,0)&amp;"("&amp;Table3[[#This Row],[Short]]&amp;")")</f>
        <v/>
      </c>
      <c r="J1455" s="7">
        <f>VLOOKUP(Table3[[#This Row],[Agen id]],Agen!A:C,3,0)</f>
        <v/>
      </c>
      <c r="K1455" s="37">
        <f>TRIM(LEFT(Table3[[#This Row],[Group]],2))</f>
        <v/>
      </c>
      <c r="L1455" s="3" t="inlineStr">
        <is>
          <t>NON SALES</t>
        </is>
      </c>
    </row>
    <row r="1456">
      <c r="A1456" s="5" t="inlineStr">
        <is>
          <t>OP09314</t>
        </is>
      </c>
      <c r="B1456" s="6" t="inlineStr">
        <is>
          <t>AMANAH</t>
        </is>
      </c>
      <c r="C1456" s="7" t="inlineStr">
        <is>
          <t>AT1 - Agen Tangerang</t>
        </is>
      </c>
      <c r="D1456" s="1" t="inlineStr">
        <is>
          <t>OP00949</t>
        </is>
      </c>
      <c r="E1456" s="8" t="n">
        <v>45207.87083333333</v>
      </c>
      <c r="F1456" s="7" t="inlineStr">
        <is>
          <t>DOWNLINE</t>
        </is>
      </c>
      <c r="G1456" s="18" t="inlineStr">
        <is>
          <t>OP00949</t>
        </is>
      </c>
      <c r="H1456" s="19">
        <f>UPPER(Table3[[#This Row],[Agen id]]&amp;"-"&amp;VLOOKUP(Table3[[#This Row],[Agen id]],A:B,2,0)&amp;"("&amp;Table3[[#This Row],[Short]]&amp;")")</f>
        <v/>
      </c>
      <c r="J1456" s="7">
        <f>VLOOKUP(Table3[[#This Row],[Agen id]],Agen!A:C,3,0)</f>
        <v/>
      </c>
      <c r="K1456" s="37">
        <f>TRIM(LEFT(Table3[[#This Row],[Group]],2))</f>
        <v/>
      </c>
      <c r="L1456" s="3" t="inlineStr">
        <is>
          <t>NON SALES</t>
        </is>
      </c>
    </row>
    <row r="1457">
      <c r="A1457" s="5" t="inlineStr">
        <is>
          <t>OP09315</t>
        </is>
      </c>
      <c r="B1457" s="6" t="inlineStr">
        <is>
          <t>SONIA</t>
        </is>
      </c>
      <c r="C1457" s="7" t="inlineStr">
        <is>
          <t>AV - Agen Verified</t>
        </is>
      </c>
      <c r="D1457" s="1" t="inlineStr">
        <is>
          <t>OP00949</t>
        </is>
      </c>
      <c r="E1457" s="8" t="n">
        <v>45207.87152777778</v>
      </c>
      <c r="F1457" s="7" t="inlineStr">
        <is>
          <t>DOWNLINE</t>
        </is>
      </c>
      <c r="G1457" s="18" t="inlineStr">
        <is>
          <t>OP00949</t>
        </is>
      </c>
      <c r="H1457" s="19">
        <f>UPPER(Table3[[#This Row],[Agen id]]&amp;"-"&amp;VLOOKUP(Table3[[#This Row],[Agen id]],A:B,2,0)&amp;"("&amp;Table3[[#This Row],[Short]]&amp;")")</f>
        <v/>
      </c>
      <c r="J1457" s="7">
        <f>VLOOKUP(Table3[[#This Row],[Agen id]],Agen!A:C,3,0)</f>
        <v/>
      </c>
      <c r="K1457" s="37">
        <f>TRIM(LEFT(Table3[[#This Row],[Group]],2))</f>
        <v/>
      </c>
      <c r="L1457" s="3" t="inlineStr">
        <is>
          <t>NON SALES</t>
        </is>
      </c>
    </row>
    <row r="1458">
      <c r="A1458" s="5" t="inlineStr">
        <is>
          <t>OP09318</t>
        </is>
      </c>
      <c r="B1458" s="6" t="inlineStr">
        <is>
          <t>GLC cell</t>
        </is>
      </c>
      <c r="C1458" s="7" t="inlineStr">
        <is>
          <t>AT1 - Agen Tangerang</t>
        </is>
      </c>
      <c r="D1458" s="1" t="inlineStr">
        <is>
          <t>OP07683</t>
        </is>
      </c>
      <c r="E1458" s="8" t="n">
        <v>45207.89652777778</v>
      </c>
      <c r="F1458" s="7" t="inlineStr">
        <is>
          <t>AGEN</t>
        </is>
      </c>
      <c r="G1458" s="18" t="inlineStr">
        <is>
          <t>OP09318</t>
        </is>
      </c>
      <c r="H1458" s="19">
        <f>UPPER(Table3[[#This Row],[Agen id]]&amp;"-"&amp;VLOOKUP(Table3[[#This Row],[Agen id]],A:B,2,0)&amp;"("&amp;Table3[[#This Row],[Short]]&amp;")")</f>
        <v/>
      </c>
      <c r="J1458" s="7">
        <f>VLOOKUP(Table3[[#This Row],[Agen id]],Agen!A:C,3,0)</f>
        <v/>
      </c>
      <c r="K1458" s="37">
        <f>TRIM(LEFT(Table3[[#This Row],[Group]],2))</f>
        <v/>
      </c>
      <c r="L1458" s="3" t="inlineStr">
        <is>
          <t>AZIZ</t>
        </is>
      </c>
    </row>
    <row r="1459">
      <c r="A1459" s="5" t="inlineStr">
        <is>
          <t>OP09323</t>
        </is>
      </c>
      <c r="B1459" s="6" t="inlineStr">
        <is>
          <t>Ronal</t>
        </is>
      </c>
      <c r="C1459" s="7" t="inlineStr">
        <is>
          <t>A - Agen</t>
        </is>
      </c>
      <c r="D1459" s="1" t="inlineStr">
        <is>
          <t>OP00996</t>
        </is>
      </c>
      <c r="E1459" s="8" t="n">
        <v>45207.96111111111</v>
      </c>
      <c r="F1459" s="7" t="inlineStr">
        <is>
          <t>DOWNLINE</t>
        </is>
      </c>
      <c r="G1459" s="18" t="inlineStr">
        <is>
          <t>OP00996</t>
        </is>
      </c>
      <c r="H1459" s="19">
        <f>UPPER(Table3[[#This Row],[Agen id]]&amp;"-"&amp;VLOOKUP(Table3[[#This Row],[Agen id]],A:B,2,0)&amp;"("&amp;Table3[[#This Row],[Short]]&amp;")")</f>
        <v/>
      </c>
      <c r="J1459" s="7">
        <f>VLOOKUP(Table3[[#This Row],[Agen id]],Agen!A:C,3,0)</f>
        <v/>
      </c>
      <c r="K1459" s="37">
        <f>TRIM(LEFT(Table3[[#This Row],[Group]],2))</f>
        <v/>
      </c>
      <c r="L1459" s="3" t="inlineStr">
        <is>
          <t>NON SALES</t>
        </is>
      </c>
    </row>
    <row r="1460">
      <c r="A1460" s="5" t="inlineStr">
        <is>
          <t>OP09330</t>
        </is>
      </c>
      <c r="B1460" s="6" t="inlineStr">
        <is>
          <t>LIATUL JANAH</t>
        </is>
      </c>
      <c r="C1460" s="7" t="inlineStr">
        <is>
          <t>AV - Agen Verified</t>
        </is>
      </c>
      <c r="D1460" s="1" t="inlineStr">
        <is>
          <t>OP00002</t>
        </is>
      </c>
      <c r="E1460" s="8" t="n">
        <v>45208.84444444445</v>
      </c>
      <c r="F1460" s="7" t="inlineStr">
        <is>
          <t>AGEN</t>
        </is>
      </c>
      <c r="G1460" s="18" t="inlineStr">
        <is>
          <t>OP09330</t>
        </is>
      </c>
      <c r="H1460" s="19">
        <f>UPPER(Table3[[#This Row],[Agen id]]&amp;"-"&amp;VLOOKUP(Table3[[#This Row],[Agen id]],A:B,2,0)&amp;"("&amp;Table3[[#This Row],[Short]]&amp;")")</f>
        <v/>
      </c>
      <c r="J1460" s="7">
        <f>VLOOKUP(Table3[[#This Row],[Agen id]],Agen!A:C,3,0)</f>
        <v/>
      </c>
      <c r="K1460" s="37">
        <f>TRIM(LEFT(Table3[[#This Row],[Group]],2))</f>
        <v/>
      </c>
      <c r="L1460" s="3" t="inlineStr">
        <is>
          <t>NON SALES</t>
        </is>
      </c>
    </row>
    <row r="1461">
      <c r="A1461" s="5" t="inlineStr">
        <is>
          <t>OP09331</t>
        </is>
      </c>
      <c r="B1461" s="6" t="inlineStr">
        <is>
          <t>azzam ponsel</t>
        </is>
      </c>
      <c r="C1461" s="7" t="inlineStr">
        <is>
          <t>A - Agen</t>
        </is>
      </c>
      <c r="D1461" s="1" t="inlineStr">
        <is>
          <t>OP03216</t>
        </is>
      </c>
      <c r="E1461" s="8" t="n">
        <v>45209.06180555555</v>
      </c>
      <c r="F1461" s="7" t="inlineStr">
        <is>
          <t>DOWNLINE</t>
        </is>
      </c>
      <c r="G1461" s="18" t="inlineStr">
        <is>
          <t>OP00049</t>
        </is>
      </c>
      <c r="H1461" s="19">
        <f>UPPER(Table3[[#This Row],[Agen id]]&amp;"-"&amp;VLOOKUP(Table3[[#This Row],[Agen id]],A:B,2,0)&amp;"("&amp;Table3[[#This Row],[Short]]&amp;")")</f>
        <v/>
      </c>
      <c r="J1461" s="7">
        <f>VLOOKUP(Table3[[#This Row],[Agen id]],Agen!A:C,3,0)</f>
        <v/>
      </c>
      <c r="K1461" s="37">
        <f>TRIM(LEFT(Table3[[#This Row],[Group]],2))</f>
        <v/>
      </c>
      <c r="L1461" s="3" t="inlineStr">
        <is>
          <t>NON SALES</t>
        </is>
      </c>
    </row>
    <row r="1462">
      <c r="A1462" s="5" t="inlineStr">
        <is>
          <t>OP09334</t>
        </is>
      </c>
      <c r="B1462" s="6" t="inlineStr">
        <is>
          <t>Sumber Rizqi 4</t>
        </is>
      </c>
      <c r="C1462" s="7" t="inlineStr">
        <is>
          <t>AB1 - Agen Kab Bogor</t>
        </is>
      </c>
      <c r="D1462" s="1" t="inlineStr">
        <is>
          <t>OP07367</t>
        </is>
      </c>
      <c r="E1462" s="8" t="n">
        <v>45209.39861111111</v>
      </c>
      <c r="F1462" s="7" t="inlineStr">
        <is>
          <t>AGEN</t>
        </is>
      </c>
      <c r="G1462" s="18" t="inlineStr">
        <is>
          <t>OP09334</t>
        </is>
      </c>
      <c r="H1462" s="19">
        <f>UPPER(Table3[[#This Row],[Agen id]]&amp;"-"&amp;VLOOKUP(Table3[[#This Row],[Agen id]],A:B,2,0)&amp;"("&amp;Table3[[#This Row],[Short]]&amp;")")</f>
        <v/>
      </c>
      <c r="J1462" s="7">
        <f>VLOOKUP(Table3[[#This Row],[Agen id]],Agen!A:C,3,0)</f>
        <v/>
      </c>
      <c r="K1462" s="37">
        <f>TRIM(LEFT(Table3[[#This Row],[Group]],2))</f>
        <v/>
      </c>
      <c r="L1462" s="3" t="inlineStr">
        <is>
          <t>ARIS</t>
        </is>
      </c>
    </row>
    <row r="1463">
      <c r="A1463" s="5" t="inlineStr">
        <is>
          <t>OP09337</t>
        </is>
      </c>
      <c r="B1463" s="6" t="inlineStr">
        <is>
          <t>Putri cell</t>
        </is>
      </c>
      <c r="C1463" s="7" t="inlineStr">
        <is>
          <t>A - Agen</t>
        </is>
      </c>
      <c r="D1463" s="1" t="inlineStr">
        <is>
          <t>OP00002</t>
        </is>
      </c>
      <c r="E1463" s="8" t="n">
        <v>45209.54861111111</v>
      </c>
      <c r="F1463" s="7" t="inlineStr">
        <is>
          <t>AGEN</t>
        </is>
      </c>
      <c r="G1463" s="18" t="inlineStr">
        <is>
          <t>OP09337</t>
        </is>
      </c>
      <c r="H1463" s="19">
        <f>UPPER(Table3[[#This Row],[Agen id]]&amp;"-"&amp;VLOOKUP(Table3[[#This Row],[Agen id]],A:B,2,0)&amp;"("&amp;Table3[[#This Row],[Short]]&amp;")")</f>
        <v/>
      </c>
      <c r="J1463" s="7">
        <f>VLOOKUP(Table3[[#This Row],[Agen id]],Agen!A:C,3,0)</f>
        <v/>
      </c>
      <c r="K1463" s="37">
        <f>TRIM(LEFT(Table3[[#This Row],[Group]],2))</f>
        <v/>
      </c>
      <c r="L1463" s="3" t="inlineStr">
        <is>
          <t>NON SALES</t>
        </is>
      </c>
    </row>
    <row r="1464">
      <c r="A1464" s="5" t="inlineStr">
        <is>
          <t>OP09339</t>
        </is>
      </c>
      <c r="B1464" s="6" t="inlineStr">
        <is>
          <t>Zi cell</t>
        </is>
      </c>
      <c r="C1464" s="7" t="inlineStr">
        <is>
          <t>AT1 - Agen Tangerang</t>
        </is>
      </c>
      <c r="D1464" s="1" t="inlineStr">
        <is>
          <t>OP07683</t>
        </is>
      </c>
      <c r="E1464" s="8" t="n">
        <v>45209.60972222222</v>
      </c>
      <c r="F1464" s="7" t="inlineStr">
        <is>
          <t>AGEN</t>
        </is>
      </c>
      <c r="G1464" s="18" t="inlineStr">
        <is>
          <t>OP09339</t>
        </is>
      </c>
      <c r="H1464" s="19">
        <f>UPPER(Table3[[#This Row],[Agen id]]&amp;"-"&amp;VLOOKUP(Table3[[#This Row],[Agen id]],A:B,2,0)&amp;"("&amp;Table3[[#This Row],[Short]]&amp;")")</f>
        <v/>
      </c>
      <c r="J1464" s="7">
        <f>VLOOKUP(Table3[[#This Row],[Agen id]],Agen!A:C,3,0)</f>
        <v/>
      </c>
      <c r="K1464" s="37">
        <f>TRIM(LEFT(Table3[[#This Row],[Group]],2))</f>
        <v/>
      </c>
      <c r="L1464" s="3" t="inlineStr">
        <is>
          <t>AZIZ</t>
        </is>
      </c>
    </row>
    <row r="1465">
      <c r="A1465" s="5" t="inlineStr">
        <is>
          <t>OP09340</t>
        </is>
      </c>
      <c r="B1465" s="6" t="inlineStr">
        <is>
          <t>Kayla cell</t>
        </is>
      </c>
      <c r="C1465" s="7" t="inlineStr">
        <is>
          <t>AT1 - Agen Tangerang</t>
        </is>
      </c>
      <c r="D1465" s="1" t="inlineStr">
        <is>
          <t>OP07683</t>
        </is>
      </c>
      <c r="E1465" s="8" t="n">
        <v>45209.64166666667</v>
      </c>
      <c r="F1465" s="7" t="inlineStr">
        <is>
          <t>AGEN</t>
        </is>
      </c>
      <c r="G1465" s="18" t="inlineStr">
        <is>
          <t>OP09340</t>
        </is>
      </c>
      <c r="H1465" s="19">
        <f>UPPER(Table3[[#This Row],[Agen id]]&amp;"-"&amp;VLOOKUP(Table3[[#This Row],[Agen id]],A:B,2,0)&amp;"("&amp;Table3[[#This Row],[Short]]&amp;")")</f>
        <v/>
      </c>
      <c r="J1465" s="7">
        <f>VLOOKUP(Table3[[#This Row],[Agen id]],Agen!A:C,3,0)</f>
        <v/>
      </c>
      <c r="K1465" s="37">
        <f>TRIM(LEFT(Table3[[#This Row],[Group]],2))</f>
        <v/>
      </c>
      <c r="L1465" s="3" t="inlineStr">
        <is>
          <t>AZIZ</t>
        </is>
      </c>
    </row>
    <row r="1466">
      <c r="A1466" s="5" t="inlineStr">
        <is>
          <t>OP09341</t>
        </is>
      </c>
      <c r="B1466" s="6" t="inlineStr">
        <is>
          <t>Neisha</t>
        </is>
      </c>
      <c r="C1466" s="7" t="inlineStr">
        <is>
          <t>A - Agen</t>
        </is>
      </c>
      <c r="D1466" s="1" t="inlineStr">
        <is>
          <t>OP00002</t>
        </is>
      </c>
      <c r="E1466" s="8" t="n">
        <v>45209.65486111111</v>
      </c>
      <c r="F1466" s="7" t="inlineStr">
        <is>
          <t>AGEN</t>
        </is>
      </c>
      <c r="G1466" s="18" t="inlineStr">
        <is>
          <t>OP09341</t>
        </is>
      </c>
      <c r="H1466" s="19">
        <f>UPPER(Table3[[#This Row],[Agen id]]&amp;"-"&amp;VLOOKUP(Table3[[#This Row],[Agen id]],A:B,2,0)&amp;"("&amp;Table3[[#This Row],[Short]]&amp;")")</f>
        <v/>
      </c>
      <c r="J1466" s="7">
        <f>VLOOKUP(Table3[[#This Row],[Agen id]],Agen!A:C,3,0)</f>
        <v/>
      </c>
      <c r="K1466" s="37">
        <f>TRIM(LEFT(Table3[[#This Row],[Group]],2))</f>
        <v/>
      </c>
      <c r="L1466" s="3" t="inlineStr">
        <is>
          <t>NON SALES</t>
        </is>
      </c>
    </row>
    <row r="1467">
      <c r="A1467" s="5" t="inlineStr">
        <is>
          <t>OP09344</t>
        </is>
      </c>
      <c r="B1467" s="6" t="inlineStr">
        <is>
          <t>Mario purnama</t>
        </is>
      </c>
      <c r="C1467" s="7" t="inlineStr">
        <is>
          <t>AT1 - Agen Tangerang</t>
        </is>
      </c>
      <c r="D1467" s="1" t="inlineStr">
        <is>
          <t>OP07683</t>
        </is>
      </c>
      <c r="E1467" s="8" t="n">
        <v>45209.81041666667</v>
      </c>
      <c r="F1467" s="7" t="inlineStr">
        <is>
          <t>AGEN</t>
        </is>
      </c>
      <c r="G1467" s="18" t="inlineStr">
        <is>
          <t>OP09344</t>
        </is>
      </c>
      <c r="H1467" s="19">
        <f>UPPER(Table3[[#This Row],[Agen id]]&amp;"-"&amp;VLOOKUP(Table3[[#This Row],[Agen id]],A:B,2,0)&amp;"("&amp;Table3[[#This Row],[Short]]&amp;")")</f>
        <v/>
      </c>
      <c r="J1467" s="7">
        <f>VLOOKUP(Table3[[#This Row],[Agen id]],Agen!A:C,3,0)</f>
        <v/>
      </c>
      <c r="K1467" s="37">
        <f>TRIM(LEFT(Table3[[#This Row],[Group]],2))</f>
        <v/>
      </c>
      <c r="L1467" s="3" t="inlineStr">
        <is>
          <t>AZIZ</t>
        </is>
      </c>
    </row>
    <row r="1468">
      <c r="A1468" s="5" t="inlineStr">
        <is>
          <t>OP09347</t>
        </is>
      </c>
      <c r="B1468" s="6" t="inlineStr">
        <is>
          <t>Migoo</t>
        </is>
      </c>
      <c r="C1468" s="7" t="inlineStr">
        <is>
          <t>A - Agen</t>
        </is>
      </c>
      <c r="D1468" s="1" t="inlineStr">
        <is>
          <t>OP00002</t>
        </is>
      </c>
      <c r="E1468" s="8" t="n">
        <v>45209.97222222222</v>
      </c>
      <c r="F1468" s="7" t="inlineStr">
        <is>
          <t>AGEN</t>
        </is>
      </c>
      <c r="G1468" s="18" t="inlineStr">
        <is>
          <t>OP09347</t>
        </is>
      </c>
      <c r="H1468" s="19">
        <f>UPPER(Table3[[#This Row],[Agen id]]&amp;"-"&amp;VLOOKUP(Table3[[#This Row],[Agen id]],A:B,2,0)&amp;"("&amp;Table3[[#This Row],[Short]]&amp;")")</f>
        <v/>
      </c>
      <c r="J1468" s="7">
        <f>VLOOKUP(Table3[[#This Row],[Agen id]],Agen!A:C,3,0)</f>
        <v/>
      </c>
      <c r="K1468" s="37">
        <f>TRIM(LEFT(Table3[[#This Row],[Group]],2))</f>
        <v/>
      </c>
      <c r="L1468" s="3" t="inlineStr">
        <is>
          <t>NON SALES</t>
        </is>
      </c>
    </row>
    <row r="1469">
      <c r="A1469" s="5" t="inlineStr">
        <is>
          <t>OP09358</t>
        </is>
      </c>
      <c r="B1469" s="6" t="inlineStr">
        <is>
          <t>Sunarja</t>
        </is>
      </c>
      <c r="C1469" s="7" t="inlineStr">
        <is>
          <t>AT1 - Agen Tangerang</t>
        </is>
      </c>
      <c r="D1469" s="1" t="inlineStr">
        <is>
          <t>OP00949</t>
        </is>
      </c>
      <c r="E1469" s="8" t="n">
        <v>45210.60138888889</v>
      </c>
      <c r="F1469" s="7" t="inlineStr">
        <is>
          <t>DOWNLINE</t>
        </is>
      </c>
      <c r="G1469" s="18" t="inlineStr">
        <is>
          <t>OP00949</t>
        </is>
      </c>
      <c r="H1469" s="19">
        <f>UPPER(Table3[[#This Row],[Agen id]]&amp;"-"&amp;VLOOKUP(Table3[[#This Row],[Agen id]],A:B,2,0)&amp;"("&amp;Table3[[#This Row],[Short]]&amp;")")</f>
        <v/>
      </c>
      <c r="J1469" s="7">
        <f>VLOOKUP(Table3[[#This Row],[Agen id]],Agen!A:C,3,0)</f>
        <v/>
      </c>
      <c r="K1469" s="37">
        <f>TRIM(LEFT(Table3[[#This Row],[Group]],2))</f>
        <v/>
      </c>
      <c r="L1469" s="3" t="inlineStr">
        <is>
          <t>NON SALES</t>
        </is>
      </c>
    </row>
    <row r="1470">
      <c r="A1470" s="5" t="inlineStr">
        <is>
          <t>OP09361</t>
        </is>
      </c>
      <c r="B1470" s="6" t="inlineStr">
        <is>
          <t>Aen cell</t>
        </is>
      </c>
      <c r="C1470" s="7" t="inlineStr">
        <is>
          <t>AT1 - Agen Tangerang</t>
        </is>
      </c>
      <c r="D1470" s="1" t="inlineStr">
        <is>
          <t>OP07683</t>
        </is>
      </c>
      <c r="E1470" s="8" t="n">
        <v>45210.74583333333</v>
      </c>
      <c r="F1470" s="7" t="inlineStr">
        <is>
          <t>AGEN</t>
        </is>
      </c>
      <c r="G1470" s="18" t="inlineStr">
        <is>
          <t>OP09361</t>
        </is>
      </c>
      <c r="H1470" s="19">
        <f>UPPER(Table3[[#This Row],[Agen id]]&amp;"-"&amp;VLOOKUP(Table3[[#This Row],[Agen id]],A:B,2,0)&amp;"("&amp;Table3[[#This Row],[Short]]&amp;")")</f>
        <v/>
      </c>
      <c r="J1470" s="7">
        <f>VLOOKUP(Table3[[#This Row],[Agen id]],Agen!A:C,3,0)</f>
        <v/>
      </c>
      <c r="K1470" s="37">
        <f>TRIM(LEFT(Table3[[#This Row],[Group]],2))</f>
        <v/>
      </c>
      <c r="L1470" s="3" t="inlineStr">
        <is>
          <t>AZIZ</t>
        </is>
      </c>
    </row>
    <row r="1471">
      <c r="A1471" s="5" t="inlineStr">
        <is>
          <t>OP09365</t>
        </is>
      </c>
      <c r="B1471" s="6" t="inlineStr">
        <is>
          <t>ALI</t>
        </is>
      </c>
      <c r="C1471" s="7" t="inlineStr">
        <is>
          <t>A - Agen</t>
        </is>
      </c>
      <c r="D1471" s="1" t="inlineStr">
        <is>
          <t>OP00023</t>
        </is>
      </c>
      <c r="E1471" s="8" t="n">
        <v>45211.20347222222</v>
      </c>
      <c r="F1471" s="7" t="inlineStr">
        <is>
          <t>DOWNLINE</t>
        </is>
      </c>
      <c r="G1471" s="18" t="inlineStr">
        <is>
          <t>OP00023</t>
        </is>
      </c>
      <c r="H1471" s="19">
        <f>UPPER(Table3[[#This Row],[Agen id]]&amp;"-"&amp;VLOOKUP(Table3[[#This Row],[Agen id]],A:B,2,0)&amp;"("&amp;Table3[[#This Row],[Short]]&amp;")")</f>
        <v/>
      </c>
      <c r="J1471" s="7">
        <f>VLOOKUP(Table3[[#This Row],[Agen id]],Agen!A:C,3,0)</f>
        <v/>
      </c>
      <c r="K1471" s="37">
        <f>TRIM(LEFT(Table3[[#This Row],[Group]],2))</f>
        <v/>
      </c>
      <c r="L1471" s="3" t="inlineStr">
        <is>
          <t>NON SALES</t>
        </is>
      </c>
    </row>
    <row r="1472">
      <c r="A1472" s="5" t="inlineStr">
        <is>
          <t>OP09366</t>
        </is>
      </c>
      <c r="B1472" s="6" t="inlineStr">
        <is>
          <t>Tumin</t>
        </is>
      </c>
      <c r="C1472" s="7" t="inlineStr">
        <is>
          <t>A - Agen</t>
        </is>
      </c>
      <c r="D1472" s="1" t="inlineStr">
        <is>
          <t>OP00002</t>
        </is>
      </c>
      <c r="E1472" s="8" t="n">
        <v>45211.30486111111</v>
      </c>
      <c r="F1472" s="7" t="inlineStr">
        <is>
          <t>AGEN</t>
        </is>
      </c>
      <c r="G1472" s="18" t="inlineStr">
        <is>
          <t>OP09366</t>
        </is>
      </c>
      <c r="H1472" s="19">
        <f>UPPER(Table3[[#This Row],[Agen id]]&amp;"-"&amp;VLOOKUP(Table3[[#This Row],[Agen id]],A:B,2,0)&amp;"("&amp;Table3[[#This Row],[Short]]&amp;")")</f>
        <v/>
      </c>
      <c r="J1472" s="7">
        <f>VLOOKUP(Table3[[#This Row],[Agen id]],Agen!A:C,3,0)</f>
        <v/>
      </c>
      <c r="K1472" s="37">
        <f>TRIM(LEFT(Table3[[#This Row],[Group]],2))</f>
        <v/>
      </c>
      <c r="L1472" s="3" t="inlineStr">
        <is>
          <t>NON SALES</t>
        </is>
      </c>
    </row>
    <row r="1473">
      <c r="A1473" s="5" t="inlineStr">
        <is>
          <t>OP09372</t>
        </is>
      </c>
      <c r="B1473" s="6" t="inlineStr">
        <is>
          <t>JHIO JONAS</t>
        </is>
      </c>
      <c r="C1473" s="7" t="inlineStr">
        <is>
          <t>AV - Agen Verified</t>
        </is>
      </c>
      <c r="D1473" s="1" t="inlineStr">
        <is>
          <t>OP00002</t>
        </is>
      </c>
      <c r="E1473" s="8" t="n">
        <v>45211.65972222222</v>
      </c>
      <c r="F1473" s="7" t="inlineStr">
        <is>
          <t>AGEN</t>
        </is>
      </c>
      <c r="G1473" s="18" t="inlineStr">
        <is>
          <t>OP09372</t>
        </is>
      </c>
      <c r="H1473" s="19">
        <f>UPPER(Table3[[#This Row],[Agen id]]&amp;"-"&amp;VLOOKUP(Table3[[#This Row],[Agen id]],A:B,2,0)&amp;"("&amp;Table3[[#This Row],[Short]]&amp;")")</f>
        <v/>
      </c>
      <c r="J1473" s="7">
        <f>VLOOKUP(Table3[[#This Row],[Agen id]],Agen!A:C,3,0)</f>
        <v/>
      </c>
      <c r="K1473" s="37">
        <f>TRIM(LEFT(Table3[[#This Row],[Group]],2))</f>
        <v/>
      </c>
      <c r="L1473" s="3" t="inlineStr">
        <is>
          <t>NON SALES</t>
        </is>
      </c>
    </row>
    <row r="1474">
      <c r="A1474" s="5" t="inlineStr">
        <is>
          <t>OP09373</t>
        </is>
      </c>
      <c r="B1474" s="6" t="inlineStr">
        <is>
          <t>Win cell 3</t>
        </is>
      </c>
      <c r="C1474" s="7" t="inlineStr">
        <is>
          <t>AT1 - Agen Tangerang</t>
        </is>
      </c>
      <c r="D1474" s="1" t="inlineStr">
        <is>
          <t>OP07683</t>
        </is>
      </c>
      <c r="E1474" s="8" t="n">
        <v>45211.68333333333</v>
      </c>
      <c r="F1474" s="7" t="inlineStr">
        <is>
          <t>AGEN</t>
        </is>
      </c>
      <c r="G1474" s="18" t="inlineStr">
        <is>
          <t>OP09373</t>
        </is>
      </c>
      <c r="H1474" s="19">
        <f>UPPER(Table3[[#This Row],[Agen id]]&amp;"-"&amp;VLOOKUP(Table3[[#This Row],[Agen id]],A:B,2,0)&amp;"("&amp;Table3[[#This Row],[Short]]&amp;")")</f>
        <v/>
      </c>
      <c r="J1474" s="7">
        <f>VLOOKUP(Table3[[#This Row],[Agen id]],Agen!A:C,3,0)</f>
        <v/>
      </c>
      <c r="K1474" s="37">
        <f>TRIM(LEFT(Table3[[#This Row],[Group]],2))</f>
        <v/>
      </c>
      <c r="L1474" s="3" t="inlineStr">
        <is>
          <t>AZIZ</t>
        </is>
      </c>
    </row>
    <row r="1475">
      <c r="A1475" s="5" t="inlineStr">
        <is>
          <t>OP09376</t>
        </is>
      </c>
      <c r="B1475" s="6" t="inlineStr">
        <is>
          <t>lisna nurazizah</t>
        </is>
      </c>
      <c r="C1475" s="7" t="inlineStr">
        <is>
          <t>A - Agen</t>
        </is>
      </c>
      <c r="D1475" s="1" t="inlineStr">
        <is>
          <t>OP00002</t>
        </is>
      </c>
      <c r="E1475" s="8" t="n">
        <v>45211.79027777778</v>
      </c>
      <c r="F1475" s="7" t="inlineStr">
        <is>
          <t>AGEN</t>
        </is>
      </c>
      <c r="G1475" s="18" t="inlineStr">
        <is>
          <t>OP09376</t>
        </is>
      </c>
      <c r="H1475" s="19">
        <f>UPPER(Table3[[#This Row],[Agen id]]&amp;"-"&amp;VLOOKUP(Table3[[#This Row],[Agen id]],A:B,2,0)&amp;"("&amp;Table3[[#This Row],[Short]]&amp;")")</f>
        <v/>
      </c>
      <c r="J1475" s="7">
        <f>VLOOKUP(Table3[[#This Row],[Agen id]],Agen!A:C,3,0)</f>
        <v/>
      </c>
      <c r="K1475" s="37">
        <f>TRIM(LEFT(Table3[[#This Row],[Group]],2))</f>
        <v/>
      </c>
      <c r="L1475" s="3" t="inlineStr">
        <is>
          <t>NON SALES</t>
        </is>
      </c>
    </row>
    <row r="1476">
      <c r="A1476" s="5" t="inlineStr">
        <is>
          <t>OP09387</t>
        </is>
      </c>
      <c r="B1476" s="6" t="inlineStr">
        <is>
          <t>ARI NURJANNAH</t>
        </is>
      </c>
      <c r="C1476" s="7" t="inlineStr">
        <is>
          <t>A - Agen</t>
        </is>
      </c>
      <c r="D1476" s="1" t="inlineStr">
        <is>
          <t>OP00002</t>
        </is>
      </c>
      <c r="E1476" s="8" t="n">
        <v>45212.51597222222</v>
      </c>
      <c r="F1476" s="7" t="inlineStr">
        <is>
          <t>AGEN</t>
        </is>
      </c>
      <c r="G1476" s="18" t="inlineStr">
        <is>
          <t>OP09387</t>
        </is>
      </c>
      <c r="H1476" s="19">
        <f>UPPER(Table3[[#This Row],[Agen id]]&amp;"-"&amp;VLOOKUP(Table3[[#This Row],[Agen id]],A:B,2,0)&amp;"("&amp;Table3[[#This Row],[Short]]&amp;")")</f>
        <v/>
      </c>
      <c r="J1476" s="7">
        <f>VLOOKUP(Table3[[#This Row],[Agen id]],Agen!A:C,3,0)</f>
        <v/>
      </c>
      <c r="K1476" s="37">
        <f>TRIM(LEFT(Table3[[#This Row],[Group]],2))</f>
        <v/>
      </c>
      <c r="L1476" s="3" t="inlineStr">
        <is>
          <t>NON SALES</t>
        </is>
      </c>
    </row>
    <row r="1477">
      <c r="A1477" s="5" t="inlineStr">
        <is>
          <t>OP09392</t>
        </is>
      </c>
      <c r="B1477" s="6" t="inlineStr">
        <is>
          <t>Regency cell</t>
        </is>
      </c>
      <c r="C1477" s="7" t="inlineStr">
        <is>
          <t>AV - Agen Verified</t>
        </is>
      </c>
      <c r="D1477" s="1" t="inlineStr">
        <is>
          <t>OP00002</t>
        </is>
      </c>
      <c r="E1477" s="8" t="n">
        <v>45212.72013888889</v>
      </c>
      <c r="F1477" s="7" t="inlineStr">
        <is>
          <t>AGEN</t>
        </is>
      </c>
      <c r="G1477" s="18" t="inlineStr">
        <is>
          <t>OP09392</t>
        </is>
      </c>
      <c r="H1477" s="19">
        <f>UPPER(Table3[[#This Row],[Agen id]]&amp;"-"&amp;VLOOKUP(Table3[[#This Row],[Agen id]],A:B,2,0)&amp;"("&amp;Table3[[#This Row],[Short]]&amp;")")</f>
        <v/>
      </c>
      <c r="J1477" s="7">
        <f>VLOOKUP(Table3[[#This Row],[Agen id]],Agen!A:C,3,0)</f>
        <v/>
      </c>
      <c r="K1477" s="37">
        <f>TRIM(LEFT(Table3[[#This Row],[Group]],2))</f>
        <v/>
      </c>
      <c r="L1477" s="3" t="inlineStr">
        <is>
          <t>AZIZ</t>
        </is>
      </c>
    </row>
    <row r="1478">
      <c r="A1478" s="5" t="inlineStr">
        <is>
          <t>OP09395</t>
        </is>
      </c>
      <c r="B1478" s="6" t="inlineStr">
        <is>
          <t>NURHANA PONSEL</t>
        </is>
      </c>
      <c r="C1478" s="7" t="inlineStr">
        <is>
          <t>AV - Agen Verified</t>
        </is>
      </c>
      <c r="D1478" s="1" t="inlineStr">
        <is>
          <t>OP03010</t>
        </is>
      </c>
      <c r="E1478" s="8" t="n">
        <v>45212.87638888889</v>
      </c>
      <c r="F1478" s="7" t="inlineStr">
        <is>
          <t>DOWNLINE</t>
        </is>
      </c>
      <c r="G1478" s="18" t="inlineStr">
        <is>
          <t>OP03010</t>
        </is>
      </c>
      <c r="H1478" s="19">
        <f>UPPER(Table3[[#This Row],[Agen id]]&amp;"-"&amp;VLOOKUP(Table3[[#This Row],[Agen id]],A:B,2,0)&amp;"("&amp;Table3[[#This Row],[Short]]&amp;")")</f>
        <v/>
      </c>
      <c r="J1478" s="7">
        <f>VLOOKUP(Table3[[#This Row],[Agen id]],Agen!A:C,3,0)</f>
        <v/>
      </c>
      <c r="K1478" s="37">
        <f>TRIM(LEFT(Table3[[#This Row],[Group]],2))</f>
        <v/>
      </c>
      <c r="L1478" s="3" t="inlineStr">
        <is>
          <t>NON SALES</t>
        </is>
      </c>
    </row>
    <row r="1479">
      <c r="A1479" s="5" t="inlineStr">
        <is>
          <t>OP09400</t>
        </is>
      </c>
      <c r="B1479" s="6" t="inlineStr">
        <is>
          <t>nur satria</t>
        </is>
      </c>
      <c r="C1479" s="7" t="inlineStr">
        <is>
          <t>AV - Agen Verified</t>
        </is>
      </c>
      <c r="D1479" s="1" t="inlineStr">
        <is>
          <t>OP06517</t>
        </is>
      </c>
      <c r="E1479" s="8" t="n">
        <v>45213.40416666667</v>
      </c>
      <c r="F1479" s="7" t="inlineStr">
        <is>
          <t>DOWNLINE</t>
        </is>
      </c>
      <c r="G1479" s="18" t="inlineStr">
        <is>
          <t>OP06517</t>
        </is>
      </c>
      <c r="H1479" s="19">
        <f>UPPER(Table3[[#This Row],[Agen id]]&amp;"-"&amp;VLOOKUP(Table3[[#This Row],[Agen id]],A:B,2,0)&amp;"("&amp;Table3[[#This Row],[Short]]&amp;")")</f>
        <v/>
      </c>
      <c r="J1479" s="7">
        <f>VLOOKUP(Table3[[#This Row],[Agen id]],Agen!A:C,3,0)</f>
        <v/>
      </c>
      <c r="K1479" s="37">
        <f>TRIM(LEFT(Table3[[#This Row],[Group]],2))</f>
        <v/>
      </c>
      <c r="L1479" s="3" t="inlineStr">
        <is>
          <t>NON SALES</t>
        </is>
      </c>
    </row>
    <row r="1480">
      <c r="A1480" s="5" t="inlineStr">
        <is>
          <t>OP09413</t>
        </is>
      </c>
      <c r="B1480" s="6" t="inlineStr">
        <is>
          <t>Putryintan</t>
        </is>
      </c>
      <c r="C1480" s="7" t="inlineStr">
        <is>
          <t>A - Agen</t>
        </is>
      </c>
      <c r="D1480" s="1" t="inlineStr">
        <is>
          <t>OP00002</t>
        </is>
      </c>
      <c r="E1480" s="8" t="n">
        <v>45214.32222222222</v>
      </c>
      <c r="F1480" s="7" t="inlineStr">
        <is>
          <t>AGEN</t>
        </is>
      </c>
      <c r="G1480" s="18" t="inlineStr">
        <is>
          <t>OP09413</t>
        </is>
      </c>
      <c r="H1480" s="19">
        <f>UPPER(Table3[[#This Row],[Agen id]]&amp;"-"&amp;VLOOKUP(Table3[[#This Row],[Agen id]],A:B,2,0)&amp;"("&amp;Table3[[#This Row],[Short]]&amp;")")</f>
        <v/>
      </c>
      <c r="J1480" s="7">
        <f>VLOOKUP(Table3[[#This Row],[Agen id]],Agen!A:C,3,0)</f>
        <v/>
      </c>
      <c r="K1480" s="37">
        <f>TRIM(LEFT(Table3[[#This Row],[Group]],2))</f>
        <v/>
      </c>
      <c r="L1480" s="3" t="inlineStr">
        <is>
          <t>NON SALES</t>
        </is>
      </c>
    </row>
    <row r="1481">
      <c r="A1481" s="5" t="inlineStr">
        <is>
          <t>OP09414</t>
        </is>
      </c>
      <c r="B1481" s="6" t="inlineStr">
        <is>
          <t>Siti</t>
        </is>
      </c>
      <c r="C1481" s="7" t="inlineStr">
        <is>
          <t>A - Agen</t>
        </is>
      </c>
      <c r="D1481" s="1" t="inlineStr">
        <is>
          <t>OP00091</t>
        </is>
      </c>
      <c r="E1481" s="8" t="n">
        <v>45214.325</v>
      </c>
      <c r="F1481" s="7" t="inlineStr">
        <is>
          <t>DOWNLINE</t>
        </is>
      </c>
      <c r="G1481" s="18" t="inlineStr">
        <is>
          <t>OP00091</t>
        </is>
      </c>
      <c r="H1481" s="19">
        <f>UPPER(Table3[[#This Row],[Agen id]]&amp;"-"&amp;VLOOKUP(Table3[[#This Row],[Agen id]],A:B,2,0)&amp;"("&amp;Table3[[#This Row],[Short]]&amp;")")</f>
        <v/>
      </c>
      <c r="J1481" s="7">
        <f>VLOOKUP(Table3[[#This Row],[Agen id]],Agen!A:C,3,0)</f>
        <v/>
      </c>
      <c r="K1481" s="37">
        <f>TRIM(LEFT(Table3[[#This Row],[Group]],2))</f>
        <v/>
      </c>
      <c r="L1481" s="3" t="inlineStr">
        <is>
          <t>NON SALES</t>
        </is>
      </c>
    </row>
    <row r="1482">
      <c r="A1482" s="5" t="inlineStr">
        <is>
          <t>OP09415</t>
        </is>
      </c>
      <c r="B1482" s="6" t="inlineStr">
        <is>
          <t>Saraja</t>
        </is>
      </c>
      <c r="C1482" s="7" t="inlineStr">
        <is>
          <t>A - Agen</t>
        </is>
      </c>
      <c r="D1482" s="1" t="inlineStr">
        <is>
          <t>OP00002</t>
        </is>
      </c>
      <c r="E1482" s="8" t="n">
        <v>45214.44861111111</v>
      </c>
      <c r="F1482" s="7" t="inlineStr">
        <is>
          <t>AGEN</t>
        </is>
      </c>
      <c r="G1482" s="18" t="inlineStr">
        <is>
          <t>OP09415</t>
        </is>
      </c>
      <c r="H1482" s="19">
        <f>UPPER(Table3[[#This Row],[Agen id]]&amp;"-"&amp;VLOOKUP(Table3[[#This Row],[Agen id]],A:B,2,0)&amp;"("&amp;Table3[[#This Row],[Short]]&amp;")")</f>
        <v/>
      </c>
      <c r="J1482" s="7">
        <f>VLOOKUP(Table3[[#This Row],[Agen id]],Agen!A:C,3,0)</f>
        <v/>
      </c>
      <c r="K1482" s="37">
        <f>TRIM(LEFT(Table3[[#This Row],[Group]],2))</f>
        <v/>
      </c>
      <c r="L1482" s="3" t="inlineStr">
        <is>
          <t>NON SALES</t>
        </is>
      </c>
    </row>
    <row r="1483">
      <c r="A1483" s="5" t="inlineStr">
        <is>
          <t>OP09419</t>
        </is>
      </c>
      <c r="B1483" s="6" t="inlineStr">
        <is>
          <t>Buulolo Cell 99</t>
        </is>
      </c>
      <c r="C1483" s="7" t="inlineStr">
        <is>
          <t>AV - Agen Verified</t>
        </is>
      </c>
      <c r="D1483" s="1" t="inlineStr">
        <is>
          <t>OP00002</t>
        </is>
      </c>
      <c r="E1483" s="8" t="n">
        <v>45214.76944444444</v>
      </c>
      <c r="F1483" s="7" t="inlineStr">
        <is>
          <t>AGEN</t>
        </is>
      </c>
      <c r="G1483" s="18" t="inlineStr">
        <is>
          <t>OP09419</t>
        </is>
      </c>
      <c r="H1483" s="19">
        <f>UPPER(Table3[[#This Row],[Agen id]]&amp;"-"&amp;VLOOKUP(Table3[[#This Row],[Agen id]],A:B,2,0)&amp;"("&amp;Table3[[#This Row],[Short]]&amp;")")</f>
        <v/>
      </c>
      <c r="J1483" s="7">
        <f>VLOOKUP(Table3[[#This Row],[Agen id]],Agen!A:C,3,0)</f>
        <v/>
      </c>
      <c r="K1483" s="37">
        <f>TRIM(LEFT(Table3[[#This Row],[Group]],2))</f>
        <v/>
      </c>
      <c r="L1483" s="3" t="inlineStr">
        <is>
          <t>AZIZ</t>
        </is>
      </c>
    </row>
    <row r="1484">
      <c r="A1484" s="5" t="inlineStr">
        <is>
          <t>OP09425</t>
        </is>
      </c>
      <c r="B1484" s="6" t="inlineStr">
        <is>
          <t>Hasna pulsa</t>
        </is>
      </c>
      <c r="C1484" s="7" t="inlineStr">
        <is>
          <t>A - Agen</t>
        </is>
      </c>
      <c r="D1484" s="1" t="inlineStr">
        <is>
          <t>OP00002</t>
        </is>
      </c>
      <c r="E1484" s="8" t="n">
        <v>45215.54791666667</v>
      </c>
      <c r="F1484" s="7" t="inlineStr">
        <is>
          <t>AGEN</t>
        </is>
      </c>
      <c r="G1484" s="18" t="inlineStr">
        <is>
          <t>OP09425</t>
        </is>
      </c>
      <c r="H1484" s="19">
        <f>UPPER(Table3[[#This Row],[Agen id]]&amp;"-"&amp;VLOOKUP(Table3[[#This Row],[Agen id]],A:B,2,0)&amp;"("&amp;Table3[[#This Row],[Short]]&amp;")")</f>
        <v/>
      </c>
      <c r="J1484" s="7">
        <f>VLOOKUP(Table3[[#This Row],[Agen id]],Agen!A:C,3,0)</f>
        <v/>
      </c>
      <c r="K1484" s="37">
        <f>TRIM(LEFT(Table3[[#This Row],[Group]],2))</f>
        <v/>
      </c>
      <c r="L1484" s="3" t="inlineStr">
        <is>
          <t>NON SALES</t>
        </is>
      </c>
    </row>
    <row r="1485">
      <c r="A1485" s="5" t="inlineStr">
        <is>
          <t>OP09429</t>
        </is>
      </c>
      <c r="B1485" s="6" t="inlineStr">
        <is>
          <t>Harazakki</t>
        </is>
      </c>
      <c r="C1485" s="7" t="inlineStr">
        <is>
          <t>AB1 - Agen Kab Bogor</t>
        </is>
      </c>
      <c r="D1485" s="1" t="inlineStr">
        <is>
          <t>OP07367</t>
        </is>
      </c>
      <c r="E1485" s="8" t="n">
        <v>45215.6125</v>
      </c>
      <c r="F1485" s="7" t="inlineStr">
        <is>
          <t>AGEN</t>
        </is>
      </c>
      <c r="G1485" s="18" t="inlineStr">
        <is>
          <t>OP09429</t>
        </is>
      </c>
      <c r="H1485" s="19">
        <f>UPPER(Table3[[#This Row],[Agen id]]&amp;"-"&amp;VLOOKUP(Table3[[#This Row],[Agen id]],A:B,2,0)&amp;"("&amp;Table3[[#This Row],[Short]]&amp;")")</f>
        <v/>
      </c>
      <c r="J1485" s="7">
        <f>VLOOKUP(Table3[[#This Row],[Agen id]],Agen!A:C,3,0)</f>
        <v/>
      </c>
      <c r="K1485" s="37">
        <f>TRIM(LEFT(Table3[[#This Row],[Group]],2))</f>
        <v/>
      </c>
      <c r="L1485" s="3" t="inlineStr">
        <is>
          <t>ARIS</t>
        </is>
      </c>
    </row>
    <row r="1486">
      <c r="A1486" s="5" t="inlineStr">
        <is>
          <t>OP09431</t>
        </is>
      </c>
      <c r="B1486" s="6" t="inlineStr">
        <is>
          <t>Alea 2</t>
        </is>
      </c>
      <c r="C1486" s="7" t="inlineStr">
        <is>
          <t>AT1 - Agen Tangerang</t>
        </is>
      </c>
      <c r="D1486" s="1" t="inlineStr">
        <is>
          <t>OP07683</t>
        </is>
      </c>
      <c r="E1486" s="8" t="n">
        <v>45215.79027777778</v>
      </c>
      <c r="F1486" s="7" t="inlineStr">
        <is>
          <t>AGEN</t>
        </is>
      </c>
      <c r="G1486" s="18" t="inlineStr">
        <is>
          <t>OP09431</t>
        </is>
      </c>
      <c r="H1486" s="19">
        <f>UPPER(Table3[[#This Row],[Agen id]]&amp;"-"&amp;VLOOKUP(Table3[[#This Row],[Agen id]],A:B,2,0)&amp;"("&amp;Table3[[#This Row],[Short]]&amp;")")</f>
        <v/>
      </c>
      <c r="J1486" s="7">
        <f>VLOOKUP(Table3[[#This Row],[Agen id]],Agen!A:C,3,0)</f>
        <v/>
      </c>
      <c r="K1486" s="37">
        <f>TRIM(LEFT(Table3[[#This Row],[Group]],2))</f>
        <v/>
      </c>
      <c r="L1486" s="3" t="inlineStr">
        <is>
          <t>AZIZ</t>
        </is>
      </c>
    </row>
    <row r="1487">
      <c r="A1487" s="5" t="inlineStr">
        <is>
          <t>OP09435</t>
        </is>
      </c>
      <c r="B1487" s="6" t="inlineStr">
        <is>
          <t>Zulfikar</t>
        </is>
      </c>
      <c r="C1487" s="7" t="inlineStr">
        <is>
          <t>A - Agen</t>
        </is>
      </c>
      <c r="D1487" s="1" t="inlineStr">
        <is>
          <t>OP00186</t>
        </is>
      </c>
      <c r="E1487" s="8" t="n">
        <v>45216.37430555555</v>
      </c>
      <c r="F1487" s="7" t="inlineStr">
        <is>
          <t>DOWNLINE</t>
        </is>
      </c>
      <c r="G1487" s="18" t="inlineStr">
        <is>
          <t>OP00185</t>
        </is>
      </c>
      <c r="H1487" s="19">
        <f>UPPER(Table3[[#This Row],[Agen id]]&amp;"-"&amp;VLOOKUP(Table3[[#This Row],[Agen id]],A:B,2,0)&amp;"("&amp;Table3[[#This Row],[Short]]&amp;")")</f>
        <v/>
      </c>
      <c r="J1487" s="7">
        <f>VLOOKUP(Table3[[#This Row],[Agen id]],Agen!A:C,3,0)</f>
        <v/>
      </c>
      <c r="K1487" s="37">
        <f>TRIM(LEFT(Table3[[#This Row],[Group]],2))</f>
        <v/>
      </c>
      <c r="L1487" s="3" t="inlineStr">
        <is>
          <t>NON SALES</t>
        </is>
      </c>
    </row>
    <row r="1488">
      <c r="A1488" s="5" t="inlineStr">
        <is>
          <t>OP09436</t>
        </is>
      </c>
      <c r="B1488" s="6" t="inlineStr">
        <is>
          <t>Sumber Rizki</t>
        </is>
      </c>
      <c r="C1488" s="7" t="inlineStr">
        <is>
          <t>AB1 - Agen Kab Bogor</t>
        </is>
      </c>
      <c r="D1488" s="1" t="inlineStr">
        <is>
          <t>OP09334</t>
        </is>
      </c>
      <c r="E1488" s="8" t="n">
        <v>45216.38541666666</v>
      </c>
      <c r="F1488" s="7" t="inlineStr">
        <is>
          <t>DOWNLINE</t>
        </is>
      </c>
      <c r="G1488" s="18" t="inlineStr">
        <is>
          <t>OP09334</t>
        </is>
      </c>
      <c r="H1488" s="19">
        <f>UPPER(Table3[[#This Row],[Agen id]]&amp;"-"&amp;VLOOKUP(Table3[[#This Row],[Agen id]],A:B,2,0)&amp;"("&amp;Table3[[#This Row],[Short]]&amp;")")</f>
        <v/>
      </c>
      <c r="J1488" s="7">
        <f>VLOOKUP(Table3[[#This Row],[Agen id]],Agen!A:C,3,0)</f>
        <v/>
      </c>
      <c r="K1488" s="37">
        <f>TRIM(LEFT(Table3[[#This Row],[Group]],2))</f>
        <v/>
      </c>
      <c r="L1488" s="3" t="inlineStr">
        <is>
          <t>NON SALES</t>
        </is>
      </c>
    </row>
    <row r="1489">
      <c r="A1489" s="5" t="inlineStr">
        <is>
          <t>OP09442</t>
        </is>
      </c>
      <c r="B1489" s="6" t="inlineStr">
        <is>
          <t>Blessed cell</t>
        </is>
      </c>
      <c r="C1489" s="7" t="inlineStr">
        <is>
          <t>AT1 - Agen Tangerang</t>
        </is>
      </c>
      <c r="D1489" s="1" t="inlineStr">
        <is>
          <t>OP07683</t>
        </is>
      </c>
      <c r="E1489" s="8" t="n">
        <v>45216.69375</v>
      </c>
      <c r="F1489" s="7" t="inlineStr">
        <is>
          <t>AGEN</t>
        </is>
      </c>
      <c r="G1489" s="18" t="inlineStr">
        <is>
          <t>OP09442</t>
        </is>
      </c>
      <c r="H1489" s="19">
        <f>UPPER(Table3[[#This Row],[Agen id]]&amp;"-"&amp;VLOOKUP(Table3[[#This Row],[Agen id]],A:B,2,0)&amp;"("&amp;Table3[[#This Row],[Short]]&amp;")")</f>
        <v/>
      </c>
      <c r="J1489" s="7">
        <f>VLOOKUP(Table3[[#This Row],[Agen id]],Agen!A:C,3,0)</f>
        <v/>
      </c>
      <c r="K1489" s="37">
        <f>TRIM(LEFT(Table3[[#This Row],[Group]],2))</f>
        <v/>
      </c>
      <c r="L1489" s="3" t="inlineStr">
        <is>
          <t>AZIZ</t>
        </is>
      </c>
    </row>
    <row r="1490">
      <c r="A1490" s="5" t="inlineStr">
        <is>
          <t>OP09443</t>
        </is>
      </c>
      <c r="B1490" s="6" t="inlineStr">
        <is>
          <t>SAMUNAH</t>
        </is>
      </c>
      <c r="C1490" s="7" t="inlineStr">
        <is>
          <t>AT1 - Agen Tangerang</t>
        </is>
      </c>
      <c r="D1490" s="1" t="inlineStr">
        <is>
          <t>OP00949</t>
        </is>
      </c>
      <c r="E1490" s="8" t="n">
        <v>45216.72222222222</v>
      </c>
      <c r="F1490" s="7" t="inlineStr">
        <is>
          <t>DOWNLINE</t>
        </is>
      </c>
      <c r="G1490" s="18" t="inlineStr">
        <is>
          <t>OP00949</t>
        </is>
      </c>
      <c r="H1490" s="19">
        <f>UPPER(Table3[[#This Row],[Agen id]]&amp;"-"&amp;VLOOKUP(Table3[[#This Row],[Agen id]],A:B,2,0)&amp;"("&amp;Table3[[#This Row],[Short]]&amp;")")</f>
        <v/>
      </c>
      <c r="J1490" s="7">
        <f>VLOOKUP(Table3[[#This Row],[Agen id]],Agen!A:C,3,0)</f>
        <v/>
      </c>
      <c r="K1490" s="37">
        <f>TRIM(LEFT(Table3[[#This Row],[Group]],2))</f>
        <v/>
      </c>
      <c r="L1490" s="3" t="inlineStr">
        <is>
          <t>NON SALES</t>
        </is>
      </c>
    </row>
    <row r="1491">
      <c r="A1491" s="5" t="inlineStr">
        <is>
          <t>OP09449</t>
        </is>
      </c>
      <c r="B1491" s="6" t="inlineStr">
        <is>
          <t>JAELANI</t>
        </is>
      </c>
      <c r="C1491" s="7" t="inlineStr">
        <is>
          <t>AV - Agen Verified</t>
        </is>
      </c>
      <c r="D1491" s="1" t="inlineStr">
        <is>
          <t>OP07079</t>
        </is>
      </c>
      <c r="E1491" s="8" t="n">
        <v>45216.97708333333</v>
      </c>
      <c r="F1491" s="7" t="inlineStr">
        <is>
          <t>DOWNLINE</t>
        </is>
      </c>
      <c r="G1491" s="18" t="inlineStr">
        <is>
          <t>OP07079</t>
        </is>
      </c>
      <c r="H1491" s="19">
        <f>UPPER(Table3[[#This Row],[Agen id]]&amp;"-"&amp;VLOOKUP(Table3[[#This Row],[Agen id]],A:B,2,0)&amp;"("&amp;Table3[[#This Row],[Short]]&amp;")")</f>
        <v/>
      </c>
      <c r="J1491" s="7">
        <f>VLOOKUP(Table3[[#This Row],[Agen id]],Agen!A:C,3,0)</f>
        <v/>
      </c>
      <c r="K1491" s="37">
        <f>TRIM(LEFT(Table3[[#This Row],[Group]],2))</f>
        <v/>
      </c>
      <c r="L1491" s="3" t="inlineStr">
        <is>
          <t>NON SALES</t>
        </is>
      </c>
    </row>
    <row r="1492">
      <c r="A1492" s="5" t="inlineStr">
        <is>
          <t>OP09459</t>
        </is>
      </c>
      <c r="B1492" s="6" t="inlineStr">
        <is>
          <t>putri yulia</t>
        </is>
      </c>
      <c r="C1492" s="7" t="inlineStr">
        <is>
          <t>AV - Agen Verified</t>
        </is>
      </c>
      <c r="D1492" s="1" t="inlineStr">
        <is>
          <t>OP03783</t>
        </is>
      </c>
      <c r="E1492" s="8" t="n">
        <v>45217.78263888889</v>
      </c>
      <c r="F1492" s="7" t="inlineStr">
        <is>
          <t>DOWNLINE</t>
        </is>
      </c>
      <c r="G1492" s="18" t="inlineStr">
        <is>
          <t>OP03699</t>
        </is>
      </c>
      <c r="H1492" s="19">
        <f>UPPER(Table3[[#This Row],[Agen id]]&amp;"-"&amp;VLOOKUP(Table3[[#This Row],[Agen id]],A:B,2,0)&amp;"("&amp;Table3[[#This Row],[Short]]&amp;")")</f>
        <v/>
      </c>
      <c r="J1492" s="7">
        <f>VLOOKUP(Table3[[#This Row],[Agen id]],Agen!A:C,3,0)</f>
        <v/>
      </c>
      <c r="K1492" s="37">
        <f>TRIM(LEFT(Table3[[#This Row],[Group]],2))</f>
        <v/>
      </c>
      <c r="L1492" s="3" t="inlineStr">
        <is>
          <t>NON SALES</t>
        </is>
      </c>
    </row>
    <row r="1493">
      <c r="A1493" s="5" t="inlineStr">
        <is>
          <t>OP09463</t>
        </is>
      </c>
      <c r="B1493" s="6" t="inlineStr">
        <is>
          <t>Marh Ponsel</t>
        </is>
      </c>
      <c r="C1493" s="7" t="inlineStr">
        <is>
          <t>AV - Agen Verified</t>
        </is>
      </c>
      <c r="D1493" s="1" t="inlineStr">
        <is>
          <t>OP08544</t>
        </is>
      </c>
      <c r="E1493" s="8" t="n">
        <v>45217.86875</v>
      </c>
      <c r="F1493" s="7" t="inlineStr">
        <is>
          <t>DOWNLINE</t>
        </is>
      </c>
      <c r="G1493" s="18" t="inlineStr">
        <is>
          <t>OP08544</t>
        </is>
      </c>
      <c r="H1493" s="19">
        <f>UPPER(Table3[[#This Row],[Agen id]]&amp;"-"&amp;VLOOKUP(Table3[[#This Row],[Agen id]],A:B,2,0)&amp;"("&amp;Table3[[#This Row],[Short]]&amp;")")</f>
        <v/>
      </c>
      <c r="J1493" s="7">
        <f>VLOOKUP(Table3[[#This Row],[Agen id]],Agen!A:C,3,0)</f>
        <v/>
      </c>
      <c r="K1493" s="37">
        <f>TRIM(LEFT(Table3[[#This Row],[Group]],2))</f>
        <v/>
      </c>
      <c r="L1493" s="3" t="inlineStr">
        <is>
          <t>NON SALES</t>
        </is>
      </c>
    </row>
    <row r="1494">
      <c r="A1494" s="5" t="inlineStr">
        <is>
          <t>OP09474</t>
        </is>
      </c>
      <c r="B1494" s="6" t="inlineStr">
        <is>
          <t>HNF Call</t>
        </is>
      </c>
      <c r="C1494" s="7" t="inlineStr">
        <is>
          <t>AT1 - Agen Tangerang</t>
        </is>
      </c>
      <c r="D1494" s="1" t="inlineStr">
        <is>
          <t>OP07683</t>
        </is>
      </c>
      <c r="E1494" s="8" t="n">
        <v>45218.78611111111</v>
      </c>
      <c r="F1494" s="7" t="inlineStr">
        <is>
          <t>AGEN</t>
        </is>
      </c>
      <c r="G1494" s="18" t="inlineStr">
        <is>
          <t>OP09474</t>
        </is>
      </c>
      <c r="H1494" s="19">
        <f>UPPER(Table3[[#This Row],[Agen id]]&amp;"-"&amp;VLOOKUP(Table3[[#This Row],[Agen id]],A:B,2,0)&amp;"("&amp;Table3[[#This Row],[Short]]&amp;")")</f>
        <v/>
      </c>
      <c r="J1494" s="7">
        <f>VLOOKUP(Table3[[#This Row],[Agen id]],Agen!A:C,3,0)</f>
        <v/>
      </c>
      <c r="K1494" s="37">
        <f>TRIM(LEFT(Table3[[#This Row],[Group]],2))</f>
        <v/>
      </c>
      <c r="L1494" s="3" t="inlineStr">
        <is>
          <t>AZIZ</t>
        </is>
      </c>
    </row>
    <row r="1495">
      <c r="A1495" s="5" t="inlineStr">
        <is>
          <t>OP09482</t>
        </is>
      </c>
      <c r="B1495" s="6" t="inlineStr">
        <is>
          <t>Detech phonsel</t>
        </is>
      </c>
      <c r="C1495" s="7" t="inlineStr">
        <is>
          <t>AV - Agen Verified</t>
        </is>
      </c>
      <c r="D1495" s="1" t="inlineStr">
        <is>
          <t>OP00002</t>
        </is>
      </c>
      <c r="E1495" s="8" t="n">
        <v>45219.59444444445</v>
      </c>
      <c r="F1495" s="7" t="inlineStr">
        <is>
          <t>AGEN</t>
        </is>
      </c>
      <c r="G1495" s="18" t="inlineStr">
        <is>
          <t>OP09482</t>
        </is>
      </c>
      <c r="H1495" s="19">
        <f>UPPER(Table3[[#This Row],[Agen id]]&amp;"-"&amp;VLOOKUP(Table3[[#This Row],[Agen id]],A:B,2,0)&amp;"("&amp;Table3[[#This Row],[Short]]&amp;")")</f>
        <v/>
      </c>
      <c r="J1495" s="7">
        <f>VLOOKUP(Table3[[#This Row],[Agen id]],Agen!A:C,3,0)</f>
        <v/>
      </c>
      <c r="K1495" s="37">
        <f>TRIM(LEFT(Table3[[#This Row],[Group]],2))</f>
        <v/>
      </c>
      <c r="L1495" s="3" t="inlineStr">
        <is>
          <t>NON SALES</t>
        </is>
      </c>
    </row>
    <row r="1496">
      <c r="A1496" s="5" t="inlineStr">
        <is>
          <t>OP09501</t>
        </is>
      </c>
      <c r="B1496" s="6" t="inlineStr">
        <is>
          <t>Agus</t>
        </is>
      </c>
      <c r="C1496" s="7" t="inlineStr">
        <is>
          <t>AV - Agen Verified</t>
        </is>
      </c>
      <c r="D1496" s="1" t="inlineStr">
        <is>
          <t>OP00002</t>
        </is>
      </c>
      <c r="E1496" s="8" t="n">
        <v>45221.51597222222</v>
      </c>
      <c r="F1496" s="7" t="inlineStr">
        <is>
          <t>AGEN</t>
        </is>
      </c>
      <c r="G1496" s="18" t="inlineStr">
        <is>
          <t>OP09501</t>
        </is>
      </c>
      <c r="H1496" s="19">
        <f>UPPER(Table3[[#This Row],[Agen id]]&amp;"-"&amp;VLOOKUP(Table3[[#This Row],[Agen id]],A:B,2,0)&amp;"("&amp;Table3[[#This Row],[Short]]&amp;")")</f>
        <v/>
      </c>
      <c r="J1496" s="7">
        <f>VLOOKUP(Table3[[#This Row],[Agen id]],Agen!A:C,3,0)</f>
        <v/>
      </c>
      <c r="K1496" s="37">
        <f>TRIM(LEFT(Table3[[#This Row],[Group]],2))</f>
        <v/>
      </c>
      <c r="L1496" s="3" t="inlineStr">
        <is>
          <t>NON SALES</t>
        </is>
      </c>
    </row>
    <row r="1497">
      <c r="A1497" s="5" t="inlineStr">
        <is>
          <t>OP09504</t>
        </is>
      </c>
      <c r="B1497" s="6" t="inlineStr">
        <is>
          <t>usman</t>
        </is>
      </c>
      <c r="C1497" s="7" t="inlineStr">
        <is>
          <t>AV - Agen Verified</t>
        </is>
      </c>
      <c r="D1497" s="1" t="inlineStr">
        <is>
          <t>OP01804</t>
        </is>
      </c>
      <c r="E1497" s="8" t="n">
        <v>45221.81944444445</v>
      </c>
      <c r="F1497" s="7" t="inlineStr">
        <is>
          <t>DOWNLINE</t>
        </is>
      </c>
      <c r="G1497" s="18" t="inlineStr">
        <is>
          <t>OP01804</t>
        </is>
      </c>
      <c r="H1497" s="19">
        <f>UPPER(Table3[[#This Row],[Agen id]]&amp;"-"&amp;VLOOKUP(Table3[[#This Row],[Agen id]],A:B,2,0)&amp;"("&amp;Table3[[#This Row],[Short]]&amp;")")</f>
        <v/>
      </c>
      <c r="J1497" s="7">
        <f>VLOOKUP(Table3[[#This Row],[Agen id]],Agen!A:C,3,0)</f>
        <v/>
      </c>
      <c r="K1497" s="37">
        <f>TRIM(LEFT(Table3[[#This Row],[Group]],2))</f>
        <v/>
      </c>
      <c r="L1497" s="3" t="inlineStr">
        <is>
          <t>NON SALES</t>
        </is>
      </c>
    </row>
    <row r="1498">
      <c r="A1498" s="5" t="inlineStr">
        <is>
          <t>OP09510</t>
        </is>
      </c>
      <c r="B1498" s="6" t="inlineStr">
        <is>
          <t>Fadhill cell</t>
        </is>
      </c>
      <c r="C1498" s="7" t="inlineStr">
        <is>
          <t>A - Agen</t>
        </is>
      </c>
      <c r="D1498" s="1" t="inlineStr">
        <is>
          <t>OP00002</t>
        </is>
      </c>
      <c r="E1498" s="8" t="n">
        <v>45222.52361111111</v>
      </c>
      <c r="F1498" s="7" t="inlineStr">
        <is>
          <t>AGEN</t>
        </is>
      </c>
      <c r="G1498" s="18" t="inlineStr">
        <is>
          <t>OP09510</t>
        </is>
      </c>
      <c r="H1498" s="19">
        <f>UPPER(Table3[[#This Row],[Agen id]]&amp;"-"&amp;VLOOKUP(Table3[[#This Row],[Agen id]],A:B,2,0)&amp;"("&amp;Table3[[#This Row],[Short]]&amp;")")</f>
        <v/>
      </c>
      <c r="J1498" s="7">
        <f>VLOOKUP(Table3[[#This Row],[Agen id]],Agen!A:C,3,0)</f>
        <v/>
      </c>
      <c r="K1498" s="37">
        <f>TRIM(LEFT(Table3[[#This Row],[Group]],2))</f>
        <v/>
      </c>
      <c r="L1498" s="3" t="inlineStr">
        <is>
          <t>NON SALES</t>
        </is>
      </c>
    </row>
    <row r="1499">
      <c r="A1499" s="5" t="inlineStr">
        <is>
          <t>OP09511</t>
        </is>
      </c>
      <c r="B1499" s="6" t="inlineStr">
        <is>
          <t>Cika</t>
        </is>
      </c>
      <c r="C1499" s="7" t="inlineStr">
        <is>
          <t>AV - Agen Verified</t>
        </is>
      </c>
      <c r="D1499" s="1" t="inlineStr">
        <is>
          <t>OP00002</t>
        </is>
      </c>
      <c r="E1499" s="8" t="n">
        <v>45222.57777777778</v>
      </c>
      <c r="F1499" s="7" t="inlineStr">
        <is>
          <t>AGEN</t>
        </is>
      </c>
      <c r="G1499" s="18" t="inlineStr">
        <is>
          <t>OP09511</t>
        </is>
      </c>
      <c r="H1499" s="19">
        <f>UPPER(Table3[[#This Row],[Agen id]]&amp;"-"&amp;VLOOKUP(Table3[[#This Row],[Agen id]],A:B,2,0)&amp;"("&amp;Table3[[#This Row],[Short]]&amp;")")</f>
        <v/>
      </c>
      <c r="J1499" s="7">
        <f>VLOOKUP(Table3[[#This Row],[Agen id]],Agen!A:C,3,0)</f>
        <v/>
      </c>
      <c r="K1499" s="37">
        <f>TRIM(LEFT(Table3[[#This Row],[Group]],2))</f>
        <v/>
      </c>
      <c r="L1499" s="3" t="inlineStr">
        <is>
          <t>NON SALES</t>
        </is>
      </c>
    </row>
    <row r="1500">
      <c r="A1500" s="5" t="inlineStr">
        <is>
          <t>OP09518</t>
        </is>
      </c>
      <c r="B1500" s="6" t="inlineStr">
        <is>
          <t>Yuito</t>
        </is>
      </c>
      <c r="C1500" s="7" t="inlineStr">
        <is>
          <t>A - Agen</t>
        </is>
      </c>
      <c r="D1500" s="1" t="inlineStr">
        <is>
          <t>OP00002</t>
        </is>
      </c>
      <c r="E1500" s="8" t="n">
        <v>45223.19027777778</v>
      </c>
      <c r="F1500" s="7" t="inlineStr">
        <is>
          <t>AGEN</t>
        </is>
      </c>
      <c r="G1500" s="18" t="inlineStr">
        <is>
          <t>OP09518</t>
        </is>
      </c>
      <c r="H1500" s="19">
        <f>UPPER(Table3[[#This Row],[Agen id]]&amp;"-"&amp;VLOOKUP(Table3[[#This Row],[Agen id]],A:B,2,0)&amp;"("&amp;Table3[[#This Row],[Short]]&amp;")")</f>
        <v/>
      </c>
      <c r="J1500" s="7">
        <f>VLOOKUP(Table3[[#This Row],[Agen id]],Agen!A:C,3,0)</f>
        <v/>
      </c>
      <c r="K1500" s="37">
        <f>TRIM(LEFT(Table3[[#This Row],[Group]],2))</f>
        <v/>
      </c>
      <c r="L1500" s="3" t="inlineStr">
        <is>
          <t>NON SALES</t>
        </is>
      </c>
    </row>
    <row r="1501">
      <c r="A1501" s="5" t="inlineStr">
        <is>
          <t>OP09525</t>
        </is>
      </c>
      <c r="B1501" s="6" t="inlineStr">
        <is>
          <t>Pandawa cell</t>
        </is>
      </c>
      <c r="C1501" s="7" t="inlineStr">
        <is>
          <t>AT1 - Agen Tangerang</t>
        </is>
      </c>
      <c r="D1501" s="1" t="inlineStr">
        <is>
          <t>OP07683</t>
        </is>
      </c>
      <c r="E1501" s="8" t="n">
        <v>45223.69583333333</v>
      </c>
      <c r="F1501" s="7" t="inlineStr">
        <is>
          <t>AGEN</t>
        </is>
      </c>
      <c r="G1501" s="18" t="inlineStr">
        <is>
          <t>OP09525</t>
        </is>
      </c>
      <c r="H1501" s="19">
        <f>UPPER(Table3[[#This Row],[Agen id]]&amp;"-"&amp;VLOOKUP(Table3[[#This Row],[Agen id]],A:B,2,0)&amp;"("&amp;Table3[[#This Row],[Short]]&amp;")")</f>
        <v/>
      </c>
      <c r="J1501" s="7">
        <f>VLOOKUP(Table3[[#This Row],[Agen id]],Agen!A:C,3,0)</f>
        <v/>
      </c>
      <c r="K1501" s="37">
        <f>TRIM(LEFT(Table3[[#This Row],[Group]],2))</f>
        <v/>
      </c>
      <c r="L1501" s="3" t="inlineStr">
        <is>
          <t>AZIZ</t>
        </is>
      </c>
    </row>
    <row r="1502">
      <c r="A1502" s="5" t="inlineStr">
        <is>
          <t>OP09527</t>
        </is>
      </c>
      <c r="B1502" s="6" t="inlineStr">
        <is>
          <t>IRAWAN</t>
        </is>
      </c>
      <c r="C1502" s="7" t="inlineStr">
        <is>
          <t>A - Agen</t>
        </is>
      </c>
      <c r="D1502" s="1" t="inlineStr">
        <is>
          <t>OP01840</t>
        </is>
      </c>
      <c r="E1502" s="8" t="n">
        <v>45223.75277777778</v>
      </c>
      <c r="F1502" s="7" t="inlineStr">
        <is>
          <t>DOWNLINE</t>
        </is>
      </c>
      <c r="G1502" s="18" t="inlineStr">
        <is>
          <t>OP01840</t>
        </is>
      </c>
      <c r="H1502" s="19">
        <f>UPPER(Table3[[#This Row],[Agen id]]&amp;"-"&amp;VLOOKUP(Table3[[#This Row],[Agen id]],A:B,2,0)&amp;"("&amp;Table3[[#This Row],[Short]]&amp;")")</f>
        <v/>
      </c>
      <c r="J1502" s="7">
        <f>VLOOKUP(Table3[[#This Row],[Agen id]],Agen!A:C,3,0)</f>
        <v/>
      </c>
      <c r="K1502" s="37">
        <f>TRIM(LEFT(Table3[[#This Row],[Group]],2))</f>
        <v/>
      </c>
      <c r="L1502" s="3" t="inlineStr">
        <is>
          <t>AZIZ</t>
        </is>
      </c>
    </row>
    <row r="1503">
      <c r="A1503" s="5" t="inlineStr">
        <is>
          <t>OP09528</t>
        </is>
      </c>
      <c r="B1503" s="6" t="inlineStr">
        <is>
          <t>Beyza cell 1</t>
        </is>
      </c>
      <c r="C1503" s="7" t="inlineStr">
        <is>
          <t>AT1 - Agen Tangerang</t>
        </is>
      </c>
      <c r="D1503" s="1" t="inlineStr">
        <is>
          <t>OP07683</t>
        </is>
      </c>
      <c r="E1503" s="8" t="n">
        <v>45223.75277777778</v>
      </c>
      <c r="F1503" s="7" t="inlineStr">
        <is>
          <t>AGEN</t>
        </is>
      </c>
      <c r="G1503" s="18" t="inlineStr">
        <is>
          <t>OP09528</t>
        </is>
      </c>
      <c r="H1503" s="19">
        <f>UPPER(Table3[[#This Row],[Agen id]]&amp;"-"&amp;VLOOKUP(Table3[[#This Row],[Agen id]],A:B,2,0)&amp;"("&amp;Table3[[#This Row],[Short]]&amp;")")</f>
        <v/>
      </c>
      <c r="J1503" s="7">
        <f>VLOOKUP(Table3[[#This Row],[Agen id]],Agen!A:C,3,0)</f>
        <v/>
      </c>
      <c r="K1503" s="37">
        <f>TRIM(LEFT(Table3[[#This Row],[Group]],2))</f>
        <v/>
      </c>
      <c r="L1503" s="3" t="inlineStr">
        <is>
          <t>AZIZ</t>
        </is>
      </c>
    </row>
    <row r="1504">
      <c r="A1504" s="5" t="inlineStr">
        <is>
          <t>OP09533</t>
        </is>
      </c>
      <c r="B1504" s="6" t="inlineStr">
        <is>
          <t>Toko Andika</t>
        </is>
      </c>
      <c r="C1504" s="7" t="inlineStr">
        <is>
          <t>MK - Marketing</t>
        </is>
      </c>
      <c r="D1504" s="1" t="inlineStr">
        <is>
          <t>OP03699</t>
        </is>
      </c>
      <c r="E1504" s="8" t="n">
        <v>45224.36875</v>
      </c>
      <c r="F1504" s="7" t="inlineStr">
        <is>
          <t>DOWNLINE</t>
        </is>
      </c>
      <c r="G1504" s="18" t="inlineStr">
        <is>
          <t>OP03699</t>
        </is>
      </c>
      <c r="H1504" s="19">
        <f>UPPER(Table3[[#This Row],[Agen id]]&amp;"-"&amp;VLOOKUP(Table3[[#This Row],[Agen id]],A:B,2,0)&amp;"("&amp;Table3[[#This Row],[Short]]&amp;")")</f>
        <v/>
      </c>
      <c r="J1504" s="7">
        <f>VLOOKUP(Table3[[#This Row],[Agen id]],Agen!A:C,3,0)</f>
        <v/>
      </c>
      <c r="K1504" s="37">
        <f>TRIM(LEFT(Table3[[#This Row],[Group]],2))</f>
        <v/>
      </c>
      <c r="L1504" s="3" t="inlineStr">
        <is>
          <t>NON SALES</t>
        </is>
      </c>
    </row>
    <row r="1505">
      <c r="A1505" s="5" t="inlineStr">
        <is>
          <t>OP09537</t>
        </is>
      </c>
      <c r="B1505" s="6" t="inlineStr">
        <is>
          <t>Azka cell</t>
        </is>
      </c>
      <c r="C1505" s="7" t="inlineStr">
        <is>
          <t>AT1 - Agen Tangerang</t>
        </is>
      </c>
      <c r="D1505" s="1" t="inlineStr">
        <is>
          <t>OP07683</t>
        </is>
      </c>
      <c r="E1505" s="8" t="n">
        <v>45224.72430555556</v>
      </c>
      <c r="F1505" s="7" t="inlineStr">
        <is>
          <t>AGEN</t>
        </is>
      </c>
      <c r="G1505" s="18" t="inlineStr">
        <is>
          <t>OP09537</t>
        </is>
      </c>
      <c r="H1505" s="19">
        <f>UPPER(Table3[[#This Row],[Agen id]]&amp;"-"&amp;VLOOKUP(Table3[[#This Row],[Agen id]],A:B,2,0)&amp;"("&amp;Table3[[#This Row],[Short]]&amp;")")</f>
        <v/>
      </c>
      <c r="J1505" s="7">
        <f>VLOOKUP(Table3[[#This Row],[Agen id]],Agen!A:C,3,0)</f>
        <v/>
      </c>
      <c r="K1505" s="37">
        <f>TRIM(LEFT(Table3[[#This Row],[Group]],2))</f>
        <v/>
      </c>
      <c r="L1505" s="3" t="inlineStr">
        <is>
          <t>AZIZ</t>
        </is>
      </c>
    </row>
    <row r="1506">
      <c r="A1506" s="5" t="inlineStr">
        <is>
          <t>OP09543</t>
        </is>
      </c>
      <c r="B1506" s="6" t="inlineStr">
        <is>
          <t>GGS cell</t>
        </is>
      </c>
      <c r="C1506" s="7" t="inlineStr">
        <is>
          <t>AB1 - Agen Kab Bogor</t>
        </is>
      </c>
      <c r="D1506" s="1" t="inlineStr">
        <is>
          <t>OP07367</t>
        </is>
      </c>
      <c r="E1506" s="8" t="n">
        <v>45225.43958333333</v>
      </c>
      <c r="F1506" s="7" t="inlineStr">
        <is>
          <t>AGEN</t>
        </is>
      </c>
      <c r="G1506" s="18" t="inlineStr">
        <is>
          <t>OP09543</t>
        </is>
      </c>
      <c r="H1506" s="19">
        <f>UPPER(Table3[[#This Row],[Agen id]]&amp;"-"&amp;VLOOKUP(Table3[[#This Row],[Agen id]],A:B,2,0)&amp;"("&amp;Table3[[#This Row],[Short]]&amp;")")</f>
        <v/>
      </c>
      <c r="J1506" s="7">
        <f>VLOOKUP(Table3[[#This Row],[Agen id]],Agen!A:C,3,0)</f>
        <v/>
      </c>
      <c r="K1506" s="37">
        <f>TRIM(LEFT(Table3[[#This Row],[Group]],2))</f>
        <v/>
      </c>
      <c r="L1506" s="3" t="inlineStr">
        <is>
          <t>ARIS</t>
        </is>
      </c>
    </row>
    <row r="1507">
      <c r="A1507" s="5" t="inlineStr">
        <is>
          <t>OP09546</t>
        </is>
      </c>
      <c r="B1507" s="6" t="inlineStr">
        <is>
          <t>26 CELL 2</t>
        </is>
      </c>
      <c r="C1507" s="7" t="inlineStr">
        <is>
          <t>AB1 - Agen Kab Bogor</t>
        </is>
      </c>
      <c r="D1507" s="1" t="inlineStr">
        <is>
          <t>OP07367</t>
        </is>
      </c>
      <c r="E1507" s="8" t="n">
        <v>45225.47222222222</v>
      </c>
      <c r="F1507" s="7" t="inlineStr">
        <is>
          <t>AGEN</t>
        </is>
      </c>
      <c r="G1507" s="18" t="inlineStr">
        <is>
          <t>OP09546</t>
        </is>
      </c>
      <c r="H1507" s="19">
        <f>UPPER(Table3[[#This Row],[Agen id]]&amp;"-"&amp;VLOOKUP(Table3[[#This Row],[Agen id]],A:B,2,0)&amp;"("&amp;Table3[[#This Row],[Short]]&amp;")")</f>
        <v/>
      </c>
      <c r="J1507" s="7">
        <f>VLOOKUP(Table3[[#This Row],[Agen id]],Agen!A:C,3,0)</f>
        <v/>
      </c>
      <c r="K1507" s="37">
        <f>TRIM(LEFT(Table3[[#This Row],[Group]],2))</f>
        <v/>
      </c>
      <c r="L1507" s="3" t="inlineStr">
        <is>
          <t>ARIS</t>
        </is>
      </c>
    </row>
    <row r="1508">
      <c r="A1508" s="5" t="inlineStr">
        <is>
          <t>OP09547</t>
        </is>
      </c>
      <c r="B1508" s="6" t="inlineStr">
        <is>
          <t>ZILI CELLULER</t>
        </is>
      </c>
      <c r="C1508" s="7" t="inlineStr">
        <is>
          <t>A - Agen</t>
        </is>
      </c>
      <c r="D1508" s="1" t="inlineStr">
        <is>
          <t>OP00003</t>
        </is>
      </c>
      <c r="E1508" s="8" t="n">
        <v>45225.56527777778</v>
      </c>
      <c r="F1508" s="7" t="inlineStr">
        <is>
          <t>AGEN</t>
        </is>
      </c>
      <c r="G1508" s="18" t="inlineStr">
        <is>
          <t>OP09547</t>
        </is>
      </c>
      <c r="H1508" s="19">
        <f>UPPER(Table3[[#This Row],[Agen id]]&amp;"-"&amp;VLOOKUP(Table3[[#This Row],[Agen id]],A:B,2,0)&amp;"("&amp;Table3[[#This Row],[Short]]&amp;")")</f>
        <v/>
      </c>
      <c r="J1508" s="7">
        <f>VLOOKUP(Table3[[#This Row],[Agen id]],Agen!A:C,3,0)</f>
        <v/>
      </c>
      <c r="K1508" s="37">
        <f>TRIM(LEFT(Table3[[#This Row],[Group]],2))</f>
        <v/>
      </c>
      <c r="L1508" s="3" t="inlineStr">
        <is>
          <t>NON SALES</t>
        </is>
      </c>
    </row>
    <row r="1509">
      <c r="A1509" s="5" t="inlineStr">
        <is>
          <t>OP09556</t>
        </is>
      </c>
      <c r="B1509" s="6" t="inlineStr">
        <is>
          <t>Remigius jerafin</t>
        </is>
      </c>
      <c r="C1509" s="7" t="inlineStr">
        <is>
          <t>AV - Agen Verified</t>
        </is>
      </c>
      <c r="D1509" s="1" t="inlineStr">
        <is>
          <t>OP00003</t>
        </is>
      </c>
      <c r="E1509" s="8" t="n">
        <v>45226.37291666667</v>
      </c>
      <c r="F1509" s="7" t="inlineStr">
        <is>
          <t>AGEN</t>
        </is>
      </c>
      <c r="G1509" s="18" t="inlineStr">
        <is>
          <t>OP09556</t>
        </is>
      </c>
      <c r="H1509" s="19">
        <f>UPPER(Table3[[#This Row],[Agen id]]&amp;"-"&amp;VLOOKUP(Table3[[#This Row],[Agen id]],A:B,2,0)&amp;"("&amp;Table3[[#This Row],[Short]]&amp;")")</f>
        <v/>
      </c>
      <c r="J1509" s="7">
        <f>VLOOKUP(Table3[[#This Row],[Agen id]],Agen!A:C,3,0)</f>
        <v/>
      </c>
      <c r="K1509" s="37">
        <f>TRIM(LEFT(Table3[[#This Row],[Group]],2))</f>
        <v/>
      </c>
      <c r="L1509" s="3" t="inlineStr">
        <is>
          <t>NON SALES</t>
        </is>
      </c>
    </row>
    <row r="1510">
      <c r="A1510" s="5" t="inlineStr">
        <is>
          <t>OP09557</t>
        </is>
      </c>
      <c r="B1510" s="6" t="inlineStr">
        <is>
          <t>JM CELL</t>
        </is>
      </c>
      <c r="C1510" s="7" t="inlineStr">
        <is>
          <t>AV - Agen Verified</t>
        </is>
      </c>
      <c r="D1510" s="1" t="inlineStr">
        <is>
          <t>OP00002</t>
        </is>
      </c>
      <c r="E1510" s="8" t="n">
        <v>45226.43263888889</v>
      </c>
      <c r="F1510" s="7" t="inlineStr">
        <is>
          <t>AGEN</t>
        </is>
      </c>
      <c r="G1510" s="18" t="inlineStr">
        <is>
          <t>OP09557</t>
        </is>
      </c>
      <c r="H1510" s="19">
        <f>UPPER(Table3[[#This Row],[Agen id]]&amp;"-"&amp;VLOOKUP(Table3[[#This Row],[Agen id]],A:B,2,0)&amp;"("&amp;Table3[[#This Row],[Short]]&amp;")")</f>
        <v/>
      </c>
      <c r="J1510" s="7">
        <f>VLOOKUP(Table3[[#This Row],[Agen id]],Agen!A:C,3,0)</f>
        <v/>
      </c>
      <c r="K1510" s="37">
        <f>TRIM(LEFT(Table3[[#This Row],[Group]],2))</f>
        <v/>
      </c>
      <c r="L1510" s="3" t="inlineStr">
        <is>
          <t>NON SALES</t>
        </is>
      </c>
    </row>
    <row r="1511">
      <c r="A1511" s="5" t="inlineStr">
        <is>
          <t>OP09577</t>
        </is>
      </c>
      <c r="B1511" s="6" t="inlineStr">
        <is>
          <t>Azka cell</t>
        </is>
      </c>
      <c r="C1511" s="7" t="inlineStr">
        <is>
          <t>AB1 - Agen Kab Bogor</t>
        </is>
      </c>
      <c r="D1511" s="1" t="inlineStr">
        <is>
          <t>OP00002</t>
        </is>
      </c>
      <c r="E1511" s="8" t="n">
        <v>45228.11458333334</v>
      </c>
      <c r="F1511" s="7" t="inlineStr">
        <is>
          <t>AGEN</t>
        </is>
      </c>
      <c r="G1511" s="18" t="inlineStr">
        <is>
          <t>OP09577</t>
        </is>
      </c>
      <c r="H1511" s="19">
        <f>UPPER(Table3[[#This Row],[Agen id]]&amp;"-"&amp;VLOOKUP(Table3[[#This Row],[Agen id]],A:B,2,0)&amp;"("&amp;Table3[[#This Row],[Short]]&amp;")")</f>
        <v/>
      </c>
      <c r="J1511" s="7">
        <f>VLOOKUP(Table3[[#This Row],[Agen id]],Agen!A:C,3,0)</f>
        <v/>
      </c>
      <c r="K1511" s="37">
        <f>TRIM(LEFT(Table3[[#This Row],[Group]],2))</f>
        <v/>
      </c>
      <c r="L1511" s="3" t="inlineStr">
        <is>
          <t>NON SALES</t>
        </is>
      </c>
    </row>
    <row r="1512">
      <c r="A1512" s="5" t="inlineStr">
        <is>
          <t>OP09579</t>
        </is>
      </c>
      <c r="B1512" s="6" t="inlineStr">
        <is>
          <t>Avriel</t>
        </is>
      </c>
      <c r="C1512" s="7" t="inlineStr">
        <is>
          <t>A - Agen</t>
        </is>
      </c>
      <c r="D1512" s="1" t="inlineStr">
        <is>
          <t>OP09547</t>
        </is>
      </c>
      <c r="E1512" s="8" t="n">
        <v>45228.22777777778</v>
      </c>
      <c r="F1512" s="7" t="inlineStr">
        <is>
          <t>DOWNLINE</t>
        </is>
      </c>
      <c r="G1512" s="18" t="inlineStr">
        <is>
          <t>OP09547</t>
        </is>
      </c>
      <c r="H1512" s="19">
        <f>UPPER(Table3[[#This Row],[Agen id]]&amp;"-"&amp;VLOOKUP(Table3[[#This Row],[Agen id]],A:B,2,0)&amp;"("&amp;Table3[[#This Row],[Short]]&amp;")")</f>
        <v/>
      </c>
      <c r="J1512" s="7">
        <f>VLOOKUP(Table3[[#This Row],[Agen id]],Agen!A:C,3,0)</f>
        <v/>
      </c>
      <c r="K1512" s="37">
        <f>TRIM(LEFT(Table3[[#This Row],[Group]],2))</f>
        <v/>
      </c>
      <c r="L1512" s="3" t="inlineStr">
        <is>
          <t>NON SALES</t>
        </is>
      </c>
    </row>
    <row r="1513">
      <c r="A1513" s="5" t="inlineStr">
        <is>
          <t>OP09589</t>
        </is>
      </c>
      <c r="B1513" s="6" t="inlineStr">
        <is>
          <t>SUMBER RIZQI 4</t>
        </is>
      </c>
      <c r="C1513" s="7" t="inlineStr">
        <is>
          <t>AB1 - Agen Kab Bogor</t>
        </is>
      </c>
      <c r="D1513" s="1" t="inlineStr">
        <is>
          <t>OP07367</t>
        </is>
      </c>
      <c r="E1513" s="8" t="n">
        <v>45228.77361111111</v>
      </c>
      <c r="F1513" s="7" t="inlineStr">
        <is>
          <t>AGEN</t>
        </is>
      </c>
      <c r="G1513" s="18" t="inlineStr">
        <is>
          <t>OP09589</t>
        </is>
      </c>
      <c r="H1513" s="19">
        <f>UPPER(Table3[[#This Row],[Agen id]]&amp;"-"&amp;VLOOKUP(Table3[[#This Row],[Agen id]],A:B,2,0)&amp;"("&amp;Table3[[#This Row],[Short]]&amp;")")</f>
        <v/>
      </c>
      <c r="J1513" s="7">
        <f>VLOOKUP(Table3[[#This Row],[Agen id]],Agen!A:C,3,0)</f>
        <v/>
      </c>
      <c r="K1513" s="37">
        <f>TRIM(LEFT(Table3[[#This Row],[Group]],2))</f>
        <v/>
      </c>
      <c r="L1513" s="3" t="inlineStr">
        <is>
          <t>ARIS</t>
        </is>
      </c>
    </row>
    <row r="1514">
      <c r="A1514" s="5" t="inlineStr">
        <is>
          <t>OP09596</t>
        </is>
      </c>
      <c r="B1514" s="6" t="inlineStr">
        <is>
          <t>edo</t>
        </is>
      </c>
      <c r="C1514" s="7" t="inlineStr">
        <is>
          <t>AV - Agen Verified</t>
        </is>
      </c>
      <c r="D1514" s="1" t="inlineStr">
        <is>
          <t>OP08090</t>
        </is>
      </c>
      <c r="E1514" s="8" t="n">
        <v>45229.48402777778</v>
      </c>
      <c r="F1514" s="7" t="inlineStr">
        <is>
          <t>DOWNLINE</t>
        </is>
      </c>
      <c r="G1514" s="18" t="inlineStr">
        <is>
          <t>OP08090</t>
        </is>
      </c>
      <c r="H1514" s="19">
        <f>UPPER(Table3[[#This Row],[Agen id]]&amp;"-"&amp;VLOOKUP(Table3[[#This Row],[Agen id]],A:B,2,0)&amp;"("&amp;Table3[[#This Row],[Short]]&amp;")")</f>
        <v/>
      </c>
      <c r="J1514" s="7">
        <f>VLOOKUP(Table3[[#This Row],[Agen id]],Agen!A:C,3,0)</f>
        <v/>
      </c>
      <c r="K1514" s="37">
        <f>TRIM(LEFT(Table3[[#This Row],[Group]],2))</f>
        <v/>
      </c>
      <c r="L1514" s="3" t="inlineStr">
        <is>
          <t>NON SALES</t>
        </is>
      </c>
    </row>
    <row r="1515">
      <c r="A1515" s="5" t="inlineStr">
        <is>
          <t>OP09598</t>
        </is>
      </c>
      <c r="B1515" s="6" t="inlineStr">
        <is>
          <t>Agus Ambo Djetta</t>
        </is>
      </c>
      <c r="C1515" s="7" t="inlineStr">
        <is>
          <t>A - Agen</t>
        </is>
      </c>
      <c r="D1515" s="1" t="inlineStr">
        <is>
          <t>OP00002</t>
        </is>
      </c>
      <c r="E1515" s="8" t="n">
        <v>45229.63680555556</v>
      </c>
      <c r="F1515" s="7" t="inlineStr">
        <is>
          <t>AGEN</t>
        </is>
      </c>
      <c r="G1515" s="18" t="inlineStr">
        <is>
          <t>OP09598</t>
        </is>
      </c>
      <c r="H1515" s="19">
        <f>UPPER(Table3[[#This Row],[Agen id]]&amp;"-"&amp;VLOOKUP(Table3[[#This Row],[Agen id]],A:B,2,0)&amp;"("&amp;Table3[[#This Row],[Short]]&amp;")")</f>
        <v/>
      </c>
      <c r="J1515" s="7">
        <f>VLOOKUP(Table3[[#This Row],[Agen id]],Agen!A:C,3,0)</f>
        <v/>
      </c>
      <c r="K1515" s="37">
        <f>TRIM(LEFT(Table3[[#This Row],[Group]],2))</f>
        <v/>
      </c>
      <c r="L1515" s="3" t="inlineStr">
        <is>
          <t>NON SALES</t>
        </is>
      </c>
    </row>
    <row r="1516">
      <c r="A1516" s="5" t="inlineStr">
        <is>
          <t>OP09599</t>
        </is>
      </c>
      <c r="B1516" s="6" t="inlineStr">
        <is>
          <t>Ghania cell</t>
        </is>
      </c>
      <c r="C1516" s="7" t="inlineStr">
        <is>
          <t>A - Agen</t>
        </is>
      </c>
      <c r="D1516" s="1" t="inlineStr">
        <is>
          <t>OP00996</t>
        </is>
      </c>
      <c r="E1516" s="8" t="n">
        <v>45229.63888888889</v>
      </c>
      <c r="F1516" s="7" t="inlineStr">
        <is>
          <t>DOWNLINE</t>
        </is>
      </c>
      <c r="G1516" s="18" t="inlineStr">
        <is>
          <t>OP00996</t>
        </is>
      </c>
      <c r="H1516" s="19">
        <f>UPPER(Table3[[#This Row],[Agen id]]&amp;"-"&amp;VLOOKUP(Table3[[#This Row],[Agen id]],A:B,2,0)&amp;"("&amp;Table3[[#This Row],[Short]]&amp;")")</f>
        <v/>
      </c>
      <c r="J1516" s="7">
        <f>VLOOKUP(Table3[[#This Row],[Agen id]],Agen!A:C,3,0)</f>
        <v/>
      </c>
      <c r="K1516" s="37">
        <f>TRIM(LEFT(Table3[[#This Row],[Group]],2))</f>
        <v/>
      </c>
      <c r="L1516" s="3" t="inlineStr">
        <is>
          <t>NON SALES</t>
        </is>
      </c>
    </row>
    <row r="1517">
      <c r="A1517" s="5" t="inlineStr">
        <is>
          <t>OP09600</t>
        </is>
      </c>
      <c r="B1517" s="6" t="inlineStr">
        <is>
          <t>Reyza Cell</t>
        </is>
      </c>
      <c r="C1517" s="7" t="inlineStr">
        <is>
          <t>AT1 - Agen Tangerang</t>
        </is>
      </c>
      <c r="D1517" s="1" t="inlineStr">
        <is>
          <t>OP07683</t>
        </is>
      </c>
      <c r="E1517" s="8" t="n">
        <v>45229.85138888889</v>
      </c>
      <c r="F1517" s="7" t="inlineStr">
        <is>
          <t>AGEN</t>
        </is>
      </c>
      <c r="G1517" s="18" t="inlineStr">
        <is>
          <t>OP09600</t>
        </is>
      </c>
      <c r="H1517" s="19">
        <f>UPPER(Table3[[#This Row],[Agen id]]&amp;"-"&amp;VLOOKUP(Table3[[#This Row],[Agen id]],A:B,2,0)&amp;"("&amp;Table3[[#This Row],[Short]]&amp;")")</f>
        <v/>
      </c>
      <c r="J1517" s="7">
        <f>VLOOKUP(Table3[[#This Row],[Agen id]],Agen!A:C,3,0)</f>
        <v/>
      </c>
      <c r="K1517" s="37">
        <f>TRIM(LEFT(Table3[[#This Row],[Group]],2))</f>
        <v/>
      </c>
      <c r="L1517" s="3" t="inlineStr">
        <is>
          <t>AZIZ</t>
        </is>
      </c>
    </row>
    <row r="1518">
      <c r="A1518" s="5" t="inlineStr">
        <is>
          <t>OP09610</t>
        </is>
      </c>
      <c r="B1518" s="6" t="inlineStr">
        <is>
          <t>Happy cell</t>
        </is>
      </c>
      <c r="C1518" s="7" t="inlineStr">
        <is>
          <t>AT1 - Agen Tangerang</t>
        </is>
      </c>
      <c r="D1518" s="1" t="inlineStr">
        <is>
          <t>OP07683</t>
        </is>
      </c>
      <c r="E1518" s="8" t="n">
        <v>45231.68055555555</v>
      </c>
      <c r="F1518" s="7" t="inlineStr">
        <is>
          <t>AGEN</t>
        </is>
      </c>
      <c r="G1518" s="18" t="inlineStr">
        <is>
          <t>OP09610</t>
        </is>
      </c>
      <c r="H1518" s="19">
        <f>UPPER(Table3[[#This Row],[Agen id]]&amp;"-"&amp;VLOOKUP(Table3[[#This Row],[Agen id]],A:B,2,0)&amp;"("&amp;Table3[[#This Row],[Short]]&amp;")")</f>
        <v/>
      </c>
      <c r="J1518" s="7">
        <f>VLOOKUP(Table3[[#This Row],[Agen id]],Agen!A:C,3,0)</f>
        <v/>
      </c>
      <c r="K1518" s="37">
        <f>TRIM(LEFT(Table3[[#This Row],[Group]],2))</f>
        <v/>
      </c>
      <c r="L1518" s="3" t="inlineStr">
        <is>
          <t>AZIZ</t>
        </is>
      </c>
    </row>
    <row r="1519">
      <c r="A1519" s="5" t="inlineStr">
        <is>
          <t>OP09614</t>
        </is>
      </c>
      <c r="B1519" s="6" t="inlineStr">
        <is>
          <t>awa cell</t>
        </is>
      </c>
      <c r="C1519" s="7" t="inlineStr">
        <is>
          <t>AV - Agen Verified</t>
        </is>
      </c>
      <c r="D1519" s="1" t="inlineStr">
        <is>
          <t>OP00120</t>
        </is>
      </c>
      <c r="E1519" s="8" t="n">
        <v>45231.75555555556</v>
      </c>
      <c r="F1519" s="7" t="inlineStr">
        <is>
          <t>DOWNLINE</t>
        </is>
      </c>
      <c r="G1519" s="18" t="inlineStr">
        <is>
          <t>OP00120</t>
        </is>
      </c>
      <c r="H1519" s="19">
        <f>UPPER(Table3[[#This Row],[Agen id]]&amp;"-"&amp;VLOOKUP(Table3[[#This Row],[Agen id]],A:B,2,0)&amp;"("&amp;Table3[[#This Row],[Short]]&amp;")")</f>
        <v/>
      </c>
      <c r="J1519" s="7">
        <f>VLOOKUP(Table3[[#This Row],[Agen id]],Agen!A:C,3,0)</f>
        <v/>
      </c>
      <c r="K1519" s="37">
        <f>TRIM(LEFT(Table3[[#This Row],[Group]],2))</f>
        <v/>
      </c>
      <c r="L1519" s="3" t="inlineStr">
        <is>
          <t>NON SALES</t>
        </is>
      </c>
    </row>
    <row r="1520">
      <c r="A1520" s="5" t="inlineStr">
        <is>
          <t>OP09618</t>
        </is>
      </c>
      <c r="B1520" s="6" t="inlineStr">
        <is>
          <t>Eve</t>
        </is>
      </c>
      <c r="C1520" s="7" t="inlineStr">
        <is>
          <t>AV - Agen Verified</t>
        </is>
      </c>
      <c r="D1520" s="1" t="inlineStr">
        <is>
          <t>OP00002</t>
        </is>
      </c>
      <c r="E1520" s="8" t="n">
        <v>45231.78680555556</v>
      </c>
      <c r="F1520" s="7" t="inlineStr">
        <is>
          <t>AGEN</t>
        </is>
      </c>
      <c r="G1520" s="18" t="inlineStr">
        <is>
          <t>OP09618</t>
        </is>
      </c>
      <c r="H1520" s="19">
        <f>UPPER(Table3[[#This Row],[Agen id]]&amp;"-"&amp;VLOOKUP(Table3[[#This Row],[Agen id]],A:B,2,0)&amp;"("&amp;Table3[[#This Row],[Short]]&amp;")")</f>
        <v/>
      </c>
      <c r="J1520" s="7">
        <f>VLOOKUP(Table3[[#This Row],[Agen id]],Agen!A:C,3,0)</f>
        <v/>
      </c>
      <c r="K1520" s="37">
        <f>TRIM(LEFT(Table3[[#This Row],[Group]],2))</f>
        <v/>
      </c>
      <c r="L1520" s="3" t="inlineStr">
        <is>
          <t>NON SALES</t>
        </is>
      </c>
    </row>
    <row r="1521">
      <c r="A1521" s="5" t="inlineStr">
        <is>
          <t>OP09620</t>
        </is>
      </c>
      <c r="B1521" s="6" t="inlineStr">
        <is>
          <t>Toko Nurul</t>
        </is>
      </c>
      <c r="C1521" s="7" t="inlineStr">
        <is>
          <t>AT1 - Agen Tangerang</t>
        </is>
      </c>
      <c r="D1521" s="1" t="inlineStr">
        <is>
          <t>OP07683</t>
        </is>
      </c>
      <c r="E1521" s="8" t="n">
        <v>45231.80486111111</v>
      </c>
      <c r="F1521" s="7" t="inlineStr">
        <is>
          <t>AGEN</t>
        </is>
      </c>
      <c r="G1521" s="18" t="inlineStr">
        <is>
          <t>OP09620</t>
        </is>
      </c>
      <c r="H1521" s="19">
        <f>UPPER(Table3[[#This Row],[Agen id]]&amp;"-"&amp;VLOOKUP(Table3[[#This Row],[Agen id]],A:B,2,0)&amp;"("&amp;Table3[[#This Row],[Short]]&amp;")")</f>
        <v/>
      </c>
      <c r="J1521" s="7">
        <f>VLOOKUP(Table3[[#This Row],[Agen id]],Agen!A:C,3,0)</f>
        <v/>
      </c>
      <c r="K1521" s="37">
        <f>TRIM(LEFT(Table3[[#This Row],[Group]],2))</f>
        <v/>
      </c>
      <c r="L1521" s="3" t="inlineStr">
        <is>
          <t>AZIZ</t>
        </is>
      </c>
    </row>
    <row r="1522">
      <c r="A1522" s="5" t="inlineStr">
        <is>
          <t>OP09623</t>
        </is>
      </c>
      <c r="B1522" s="6" t="inlineStr">
        <is>
          <t>Rizki cell</t>
        </is>
      </c>
      <c r="C1522" s="7" t="inlineStr">
        <is>
          <t>AT1 - Agen Tangerang</t>
        </is>
      </c>
      <c r="D1522" s="1" t="inlineStr">
        <is>
          <t>OP07683</t>
        </is>
      </c>
      <c r="E1522" s="8" t="n">
        <v>45231.87222222222</v>
      </c>
      <c r="F1522" s="7" t="inlineStr">
        <is>
          <t>AGEN</t>
        </is>
      </c>
      <c r="G1522" s="18" t="inlineStr">
        <is>
          <t>OP09623</t>
        </is>
      </c>
      <c r="H1522" s="19">
        <f>UPPER(Table3[[#This Row],[Agen id]]&amp;"-"&amp;VLOOKUP(Table3[[#This Row],[Agen id]],A:B,2,0)&amp;"("&amp;Table3[[#This Row],[Short]]&amp;")")</f>
        <v/>
      </c>
      <c r="J1522" s="7">
        <f>VLOOKUP(Table3[[#This Row],[Agen id]],Agen!A:C,3,0)</f>
        <v/>
      </c>
      <c r="K1522" s="37">
        <f>TRIM(LEFT(Table3[[#This Row],[Group]],2))</f>
        <v/>
      </c>
      <c r="L1522" s="3" t="inlineStr">
        <is>
          <t>AZIZ</t>
        </is>
      </c>
    </row>
    <row r="1523">
      <c r="A1523" s="5" t="inlineStr">
        <is>
          <t>OP09632</t>
        </is>
      </c>
      <c r="B1523" s="6" t="inlineStr">
        <is>
          <t>Eslly Store</t>
        </is>
      </c>
      <c r="C1523" s="7" t="inlineStr">
        <is>
          <t>A - Agen</t>
        </is>
      </c>
      <c r="D1523" s="1" t="inlineStr">
        <is>
          <t>OP00002</t>
        </is>
      </c>
      <c r="E1523" s="8" t="n">
        <v>45232.52083333334</v>
      </c>
      <c r="F1523" s="7" t="inlineStr">
        <is>
          <t>AGEN</t>
        </is>
      </c>
      <c r="G1523" s="18" t="inlineStr">
        <is>
          <t>OP09632</t>
        </is>
      </c>
      <c r="H1523" s="19">
        <f>UPPER(Table3[[#This Row],[Agen id]]&amp;"-"&amp;VLOOKUP(Table3[[#This Row],[Agen id]],A:B,2,0)&amp;"("&amp;Table3[[#This Row],[Short]]&amp;")")</f>
        <v/>
      </c>
      <c r="J1523" s="7">
        <f>VLOOKUP(Table3[[#This Row],[Agen id]],Agen!A:C,3,0)</f>
        <v/>
      </c>
      <c r="K1523" s="37">
        <f>TRIM(LEFT(Table3[[#This Row],[Group]],2))</f>
        <v/>
      </c>
      <c r="L1523" s="3" t="inlineStr">
        <is>
          <t>NON SALES</t>
        </is>
      </c>
    </row>
    <row r="1524">
      <c r="A1524" s="5" t="inlineStr">
        <is>
          <t>OP09638</t>
        </is>
      </c>
      <c r="B1524" s="6" t="inlineStr">
        <is>
          <t>Sakira Ponsel</t>
        </is>
      </c>
      <c r="C1524" s="7" t="inlineStr">
        <is>
          <t>AV - Agen Verified</t>
        </is>
      </c>
      <c r="D1524" s="1" t="inlineStr">
        <is>
          <t>OP08544</t>
        </is>
      </c>
      <c r="E1524" s="8" t="n">
        <v>45232.74305555555</v>
      </c>
      <c r="F1524" s="7" t="inlineStr">
        <is>
          <t>DOWNLINE</t>
        </is>
      </c>
      <c r="G1524" s="18" t="inlineStr">
        <is>
          <t>OP08544</t>
        </is>
      </c>
      <c r="H1524" s="19">
        <f>UPPER(Table3[[#This Row],[Agen id]]&amp;"-"&amp;VLOOKUP(Table3[[#This Row],[Agen id]],A:B,2,0)&amp;"("&amp;Table3[[#This Row],[Short]]&amp;")")</f>
        <v/>
      </c>
      <c r="J1524" s="7">
        <f>VLOOKUP(Table3[[#This Row],[Agen id]],Agen!A:C,3,0)</f>
        <v/>
      </c>
      <c r="K1524" s="37">
        <f>TRIM(LEFT(Table3[[#This Row],[Group]],2))</f>
        <v/>
      </c>
      <c r="L1524" s="3" t="inlineStr">
        <is>
          <t>NON SALES</t>
        </is>
      </c>
    </row>
    <row r="1525">
      <c r="A1525" s="5" t="inlineStr">
        <is>
          <t>OP09639</t>
        </is>
      </c>
      <c r="B1525" s="6" t="inlineStr">
        <is>
          <t>kios al falah</t>
        </is>
      </c>
      <c r="C1525" s="7" t="inlineStr">
        <is>
          <t>AV - Agen Verified</t>
        </is>
      </c>
      <c r="D1525" s="1" t="inlineStr">
        <is>
          <t>OP03216</t>
        </is>
      </c>
      <c r="E1525" s="8" t="n">
        <v>45232.76736111111</v>
      </c>
      <c r="F1525" s="7" t="inlineStr">
        <is>
          <t>DOWNLINE</t>
        </is>
      </c>
      <c r="G1525" s="18" t="inlineStr">
        <is>
          <t>OP00049</t>
        </is>
      </c>
      <c r="H1525" s="19">
        <f>UPPER(Table3[[#This Row],[Agen id]]&amp;"-"&amp;VLOOKUP(Table3[[#This Row],[Agen id]],A:B,2,0)&amp;"("&amp;Table3[[#This Row],[Short]]&amp;")")</f>
        <v/>
      </c>
      <c r="J1525" s="7">
        <f>VLOOKUP(Table3[[#This Row],[Agen id]],Agen!A:C,3,0)</f>
        <v/>
      </c>
      <c r="K1525" s="37">
        <f>TRIM(LEFT(Table3[[#This Row],[Group]],2))</f>
        <v/>
      </c>
      <c r="L1525" s="3" t="inlineStr">
        <is>
          <t>NON SALES</t>
        </is>
      </c>
    </row>
    <row r="1526">
      <c r="A1526" s="5" t="inlineStr">
        <is>
          <t>OP09640</t>
        </is>
      </c>
      <c r="B1526" s="6" t="inlineStr">
        <is>
          <t>Toko azril</t>
        </is>
      </c>
      <c r="C1526" s="7" t="inlineStr">
        <is>
          <t>AB1 - Agen Kab Bogor</t>
        </is>
      </c>
      <c r="D1526" s="1" t="inlineStr">
        <is>
          <t>OP07683</t>
        </is>
      </c>
      <c r="E1526" s="8" t="n">
        <v>45232.80416666667</v>
      </c>
      <c r="F1526" s="7" t="inlineStr">
        <is>
          <t>AGEN</t>
        </is>
      </c>
      <c r="G1526" s="18" t="inlineStr">
        <is>
          <t>OP09640</t>
        </is>
      </c>
      <c r="H1526" s="19">
        <f>UPPER(Table3[[#This Row],[Agen id]]&amp;"-"&amp;VLOOKUP(Table3[[#This Row],[Agen id]],A:B,2,0)&amp;"("&amp;Table3[[#This Row],[Short]]&amp;")")</f>
        <v/>
      </c>
      <c r="J1526" s="7">
        <f>VLOOKUP(Table3[[#This Row],[Agen id]],Agen!A:C,3,0)</f>
        <v/>
      </c>
      <c r="K1526" s="37">
        <f>TRIM(LEFT(Table3[[#This Row],[Group]],2))</f>
        <v/>
      </c>
      <c r="L1526" s="3" t="inlineStr">
        <is>
          <t>AZIZ</t>
        </is>
      </c>
    </row>
    <row r="1527">
      <c r="A1527" s="5" t="inlineStr">
        <is>
          <t>OP09641</t>
        </is>
      </c>
      <c r="B1527" s="6" t="inlineStr">
        <is>
          <t>Kame cell</t>
        </is>
      </c>
      <c r="C1527" s="7" t="inlineStr">
        <is>
          <t>AT1 - Agen Tangerang</t>
        </is>
      </c>
      <c r="D1527" s="1" t="inlineStr">
        <is>
          <t>OP07683</t>
        </is>
      </c>
      <c r="E1527" s="8" t="n">
        <v>45232.88055555556</v>
      </c>
      <c r="F1527" s="7" t="inlineStr">
        <is>
          <t>AGEN</t>
        </is>
      </c>
      <c r="G1527" s="18" t="inlineStr">
        <is>
          <t>OP09641</t>
        </is>
      </c>
      <c r="H1527" s="19">
        <f>UPPER(Table3[[#This Row],[Agen id]]&amp;"-"&amp;VLOOKUP(Table3[[#This Row],[Agen id]],A:B,2,0)&amp;"("&amp;Table3[[#This Row],[Short]]&amp;")")</f>
        <v/>
      </c>
      <c r="J1527" s="7">
        <f>VLOOKUP(Table3[[#This Row],[Agen id]],Agen!A:C,3,0)</f>
        <v/>
      </c>
      <c r="K1527" s="37">
        <f>TRIM(LEFT(Table3[[#This Row],[Group]],2))</f>
        <v/>
      </c>
      <c r="L1527" s="3" t="inlineStr">
        <is>
          <t>AZIZ</t>
        </is>
      </c>
    </row>
    <row r="1528">
      <c r="A1528" s="5" t="inlineStr">
        <is>
          <t>OP09650</t>
        </is>
      </c>
      <c r="B1528" s="6" t="inlineStr">
        <is>
          <t>Gemilang</t>
        </is>
      </c>
      <c r="C1528" s="7" t="inlineStr">
        <is>
          <t>A - Agen</t>
        </is>
      </c>
      <c r="D1528" s="1" t="inlineStr">
        <is>
          <t>OP00002</t>
        </is>
      </c>
      <c r="E1528" s="8" t="n">
        <v>45233.32847222222</v>
      </c>
      <c r="F1528" s="7" t="inlineStr">
        <is>
          <t>AGEN</t>
        </is>
      </c>
      <c r="G1528" s="18" t="inlineStr">
        <is>
          <t>OP09650</t>
        </is>
      </c>
      <c r="H1528" s="19">
        <f>UPPER(Table3[[#This Row],[Agen id]]&amp;"-"&amp;VLOOKUP(Table3[[#This Row],[Agen id]],A:B,2,0)&amp;"("&amp;Table3[[#This Row],[Short]]&amp;")")</f>
        <v/>
      </c>
      <c r="J1528" s="7">
        <f>VLOOKUP(Table3[[#This Row],[Agen id]],Agen!A:C,3,0)</f>
        <v/>
      </c>
      <c r="K1528" s="37">
        <f>TRIM(LEFT(Table3[[#This Row],[Group]],2))</f>
        <v/>
      </c>
      <c r="L1528" s="3" t="inlineStr">
        <is>
          <t>NON SALES</t>
        </is>
      </c>
    </row>
    <row r="1529">
      <c r="A1529" s="5" t="inlineStr">
        <is>
          <t>OP09658</t>
        </is>
      </c>
      <c r="B1529" s="6" t="inlineStr">
        <is>
          <t>Ahmad jailani</t>
        </is>
      </c>
      <c r="C1529" s="7" t="inlineStr">
        <is>
          <t>A - Agen</t>
        </is>
      </c>
      <c r="D1529" s="1" t="inlineStr">
        <is>
          <t>OP00002</t>
        </is>
      </c>
      <c r="E1529" s="8" t="n">
        <v>45233.62291666667</v>
      </c>
      <c r="F1529" s="7" t="inlineStr">
        <is>
          <t>AGEN</t>
        </is>
      </c>
      <c r="G1529" s="18" t="inlineStr">
        <is>
          <t>OP09658</t>
        </is>
      </c>
      <c r="H1529" s="19">
        <f>UPPER(Table3[[#This Row],[Agen id]]&amp;"-"&amp;VLOOKUP(Table3[[#This Row],[Agen id]],A:B,2,0)&amp;"("&amp;Table3[[#This Row],[Short]]&amp;")")</f>
        <v/>
      </c>
      <c r="J1529" s="7">
        <f>VLOOKUP(Table3[[#This Row],[Agen id]],Agen!A:C,3,0)</f>
        <v/>
      </c>
      <c r="K1529" s="37">
        <f>TRIM(LEFT(Table3[[#This Row],[Group]],2))</f>
        <v/>
      </c>
      <c r="L1529" s="3" t="inlineStr">
        <is>
          <t>NON SALES</t>
        </is>
      </c>
    </row>
    <row r="1530">
      <c r="A1530" s="5" t="inlineStr">
        <is>
          <t>OP09673</t>
        </is>
      </c>
      <c r="B1530" s="6" t="inlineStr">
        <is>
          <t>Gemilang Cell</t>
        </is>
      </c>
      <c r="C1530" s="7" t="inlineStr">
        <is>
          <t>A - Agen</t>
        </is>
      </c>
      <c r="D1530" s="1" t="inlineStr">
        <is>
          <t>OP00002</t>
        </is>
      </c>
      <c r="E1530" s="8" t="n">
        <v>45234.81944444445</v>
      </c>
      <c r="F1530" s="7" t="inlineStr">
        <is>
          <t>AGEN</t>
        </is>
      </c>
      <c r="G1530" s="18" t="inlineStr">
        <is>
          <t>OP09673</t>
        </is>
      </c>
      <c r="H1530" s="19">
        <f>UPPER(Table3[[#This Row],[Agen id]]&amp;"-"&amp;VLOOKUP(Table3[[#This Row],[Agen id]],A:B,2,0)&amp;"("&amp;Table3[[#This Row],[Short]]&amp;")")</f>
        <v/>
      </c>
      <c r="J1530" s="7">
        <f>VLOOKUP(Table3[[#This Row],[Agen id]],Agen!A:C,3,0)</f>
        <v/>
      </c>
      <c r="K1530" s="37">
        <f>TRIM(LEFT(Table3[[#This Row],[Group]],2))</f>
        <v/>
      </c>
      <c r="L1530" s="3" t="inlineStr">
        <is>
          <t>NON SALES</t>
        </is>
      </c>
    </row>
    <row r="1531">
      <c r="A1531" s="5" t="inlineStr">
        <is>
          <t>OP09675</t>
        </is>
      </c>
      <c r="B1531" s="6" t="inlineStr">
        <is>
          <t>Raudah</t>
        </is>
      </c>
      <c r="C1531" s="7" t="inlineStr">
        <is>
          <t>A - Agen</t>
        </is>
      </c>
      <c r="D1531" s="1" t="inlineStr">
        <is>
          <t>OP00996</t>
        </is>
      </c>
      <c r="E1531" s="8" t="n">
        <v>45234.86041666667</v>
      </c>
      <c r="F1531" s="7" t="inlineStr">
        <is>
          <t>DOWNLINE</t>
        </is>
      </c>
      <c r="G1531" s="18" t="inlineStr">
        <is>
          <t>OP00996</t>
        </is>
      </c>
      <c r="H1531" s="19">
        <f>UPPER(Table3[[#This Row],[Agen id]]&amp;"-"&amp;VLOOKUP(Table3[[#This Row],[Agen id]],A:B,2,0)&amp;"("&amp;Table3[[#This Row],[Short]]&amp;")")</f>
        <v/>
      </c>
      <c r="J1531" s="7">
        <f>VLOOKUP(Table3[[#This Row],[Agen id]],Agen!A:C,3,0)</f>
        <v/>
      </c>
      <c r="K1531" s="37">
        <f>TRIM(LEFT(Table3[[#This Row],[Group]],2))</f>
        <v/>
      </c>
      <c r="L1531" s="3" t="inlineStr">
        <is>
          <t>NON SALES</t>
        </is>
      </c>
    </row>
    <row r="1532">
      <c r="A1532" s="5" t="inlineStr">
        <is>
          <t>OP09685</t>
        </is>
      </c>
      <c r="B1532" s="6" t="inlineStr">
        <is>
          <t>ghis</t>
        </is>
      </c>
      <c r="C1532" s="7" t="inlineStr">
        <is>
          <t>AV - Agen Verified</t>
        </is>
      </c>
      <c r="D1532" s="1" t="inlineStr">
        <is>
          <t>OP00002</t>
        </is>
      </c>
      <c r="E1532" s="8" t="n">
        <v>45235.80555555555</v>
      </c>
      <c r="F1532" s="7" t="inlineStr">
        <is>
          <t>AGEN</t>
        </is>
      </c>
      <c r="G1532" s="18" t="inlineStr">
        <is>
          <t>OP09685</t>
        </is>
      </c>
      <c r="H1532" s="19">
        <f>UPPER(Table3[[#This Row],[Agen id]]&amp;"-"&amp;VLOOKUP(Table3[[#This Row],[Agen id]],A:B,2,0)&amp;"("&amp;Table3[[#This Row],[Short]]&amp;")")</f>
        <v/>
      </c>
      <c r="J1532" s="7">
        <f>VLOOKUP(Table3[[#This Row],[Agen id]],Agen!A:C,3,0)</f>
        <v/>
      </c>
      <c r="K1532" s="37">
        <f>TRIM(LEFT(Table3[[#This Row],[Group]],2))</f>
        <v/>
      </c>
      <c r="L1532" s="3" t="inlineStr">
        <is>
          <t>NON SALES</t>
        </is>
      </c>
    </row>
    <row r="1533">
      <c r="A1533" s="5" t="inlineStr">
        <is>
          <t>OP09698</t>
        </is>
      </c>
      <c r="B1533" s="6" t="inlineStr">
        <is>
          <t>ILHAM CELL</t>
        </is>
      </c>
      <c r="C1533" s="7" t="inlineStr">
        <is>
          <t>AV - Agen Verified</t>
        </is>
      </c>
      <c r="D1533" s="1" t="inlineStr">
        <is>
          <t>OP06544</t>
        </is>
      </c>
      <c r="E1533" s="8" t="n">
        <v>45236.64166666667</v>
      </c>
      <c r="F1533" s="7" t="inlineStr">
        <is>
          <t>DOWNLINE</t>
        </is>
      </c>
      <c r="G1533" s="18" t="inlineStr">
        <is>
          <t>OP01570</t>
        </is>
      </c>
      <c r="H1533" s="19">
        <f>UPPER(Table3[[#This Row],[Agen id]]&amp;"-"&amp;VLOOKUP(Table3[[#This Row],[Agen id]],A:B,2,0)&amp;"("&amp;Table3[[#This Row],[Short]]&amp;")")</f>
        <v/>
      </c>
      <c r="J1533" s="7">
        <f>VLOOKUP(Table3[[#This Row],[Agen id]],Agen!A:C,3,0)</f>
        <v/>
      </c>
      <c r="K1533" s="37">
        <f>TRIM(LEFT(Table3[[#This Row],[Group]],2))</f>
        <v/>
      </c>
      <c r="L1533" s="3" t="inlineStr">
        <is>
          <t>NON SALES</t>
        </is>
      </c>
    </row>
    <row r="1534">
      <c r="A1534" s="5" t="inlineStr">
        <is>
          <t>OP09700</t>
        </is>
      </c>
      <c r="B1534" s="6" t="inlineStr">
        <is>
          <t>Rexzy Apriadi Nanasi</t>
        </is>
      </c>
      <c r="C1534" s="7" t="inlineStr">
        <is>
          <t>A - Agen</t>
        </is>
      </c>
      <c r="D1534" s="1" t="inlineStr">
        <is>
          <t>OP09557</t>
        </is>
      </c>
      <c r="E1534" s="8" t="n">
        <v>45236.75069444445</v>
      </c>
      <c r="F1534" s="7" t="inlineStr">
        <is>
          <t>DOWNLINE</t>
        </is>
      </c>
      <c r="G1534" s="18" t="inlineStr">
        <is>
          <t>OP09557</t>
        </is>
      </c>
      <c r="H1534" s="19">
        <f>UPPER(Table3[[#This Row],[Agen id]]&amp;"-"&amp;VLOOKUP(Table3[[#This Row],[Agen id]],A:B,2,0)&amp;"("&amp;Table3[[#This Row],[Short]]&amp;")")</f>
        <v/>
      </c>
      <c r="J1534" s="7">
        <f>VLOOKUP(Table3[[#This Row],[Agen id]],Agen!A:C,3,0)</f>
        <v/>
      </c>
      <c r="K1534" s="37">
        <f>TRIM(LEFT(Table3[[#This Row],[Group]],2))</f>
        <v/>
      </c>
      <c r="L1534" s="3" t="inlineStr">
        <is>
          <t>NON SALES</t>
        </is>
      </c>
    </row>
    <row r="1535">
      <c r="A1535" s="5" t="inlineStr">
        <is>
          <t>OP09703</t>
        </is>
      </c>
      <c r="B1535" s="6" t="inlineStr">
        <is>
          <t>GUXEN</t>
        </is>
      </c>
      <c r="C1535" s="7" t="inlineStr">
        <is>
          <t>A - Agen</t>
        </is>
      </c>
      <c r="D1535" s="1" t="inlineStr">
        <is>
          <t>OP00002</t>
        </is>
      </c>
      <c r="E1535" s="8" t="n">
        <v>45236.92291666667</v>
      </c>
      <c r="F1535" s="7" t="inlineStr">
        <is>
          <t>AGEN</t>
        </is>
      </c>
      <c r="G1535" s="18" t="inlineStr">
        <is>
          <t>OP09703</t>
        </is>
      </c>
      <c r="H1535" s="19">
        <f>UPPER(Table3[[#This Row],[Agen id]]&amp;"-"&amp;VLOOKUP(Table3[[#This Row],[Agen id]],A:B,2,0)&amp;"("&amp;Table3[[#This Row],[Short]]&amp;")")</f>
        <v/>
      </c>
      <c r="J1535" s="7">
        <f>VLOOKUP(Table3[[#This Row],[Agen id]],Agen!A:C,3,0)</f>
        <v/>
      </c>
      <c r="K1535" s="37">
        <f>TRIM(LEFT(Table3[[#This Row],[Group]],2))</f>
        <v/>
      </c>
      <c r="L1535" s="3" t="inlineStr">
        <is>
          <t>NON SALES</t>
        </is>
      </c>
    </row>
    <row r="1536">
      <c r="A1536" s="5" t="inlineStr">
        <is>
          <t>OP09710</t>
        </is>
      </c>
      <c r="B1536" s="6" t="inlineStr">
        <is>
          <t>Danil heriyanto</t>
        </is>
      </c>
      <c r="C1536" s="7" t="inlineStr">
        <is>
          <t>A - Agen</t>
        </is>
      </c>
      <c r="D1536" s="1" t="inlineStr">
        <is>
          <t>OP00002</t>
        </is>
      </c>
      <c r="E1536" s="8" t="n">
        <v>45237.52222222222</v>
      </c>
      <c r="F1536" s="7" t="inlineStr">
        <is>
          <t>AGEN</t>
        </is>
      </c>
      <c r="G1536" s="18" t="inlineStr">
        <is>
          <t>OP09710</t>
        </is>
      </c>
      <c r="H1536" s="19">
        <f>UPPER(Table3[[#This Row],[Agen id]]&amp;"-"&amp;VLOOKUP(Table3[[#This Row],[Agen id]],A:B,2,0)&amp;"("&amp;Table3[[#This Row],[Short]]&amp;")")</f>
        <v/>
      </c>
      <c r="J1536" s="7">
        <f>VLOOKUP(Table3[[#This Row],[Agen id]],Agen!A:C,3,0)</f>
        <v/>
      </c>
      <c r="K1536" s="37">
        <f>TRIM(LEFT(Table3[[#This Row],[Group]],2))</f>
        <v/>
      </c>
      <c r="L1536" s="3" t="inlineStr">
        <is>
          <t>NON SALES</t>
        </is>
      </c>
    </row>
    <row r="1537">
      <c r="A1537" s="5" t="inlineStr">
        <is>
          <t>OP09714</t>
        </is>
      </c>
      <c r="B1537" s="6" t="inlineStr">
        <is>
          <t>Dian cell</t>
        </is>
      </c>
      <c r="C1537" s="7" t="inlineStr">
        <is>
          <t>AT1 - Agen Tangerang</t>
        </is>
      </c>
      <c r="D1537" s="1" t="inlineStr">
        <is>
          <t>OP07683</t>
        </is>
      </c>
      <c r="E1537" s="8" t="n">
        <v>45237.69236111111</v>
      </c>
      <c r="F1537" s="7" t="inlineStr">
        <is>
          <t>AGEN</t>
        </is>
      </c>
      <c r="G1537" s="18" t="inlineStr">
        <is>
          <t>OP09714</t>
        </is>
      </c>
      <c r="H1537" s="19">
        <f>UPPER(Table3[[#This Row],[Agen id]]&amp;"-"&amp;VLOOKUP(Table3[[#This Row],[Agen id]],A:B,2,0)&amp;"("&amp;Table3[[#This Row],[Short]]&amp;")")</f>
        <v/>
      </c>
      <c r="J1537" s="7">
        <f>VLOOKUP(Table3[[#This Row],[Agen id]],Agen!A:C,3,0)</f>
        <v/>
      </c>
      <c r="K1537" s="37">
        <f>TRIM(LEFT(Table3[[#This Row],[Group]],2))</f>
        <v/>
      </c>
      <c r="L1537" s="3" t="inlineStr">
        <is>
          <t>AZIZ</t>
        </is>
      </c>
    </row>
    <row r="1538">
      <c r="A1538" s="5" t="inlineStr">
        <is>
          <t>OP09715</t>
        </is>
      </c>
      <c r="B1538" s="6" t="inlineStr">
        <is>
          <t>Elita sapitri</t>
        </is>
      </c>
      <c r="C1538" s="7" t="inlineStr">
        <is>
          <t>A - Agen</t>
        </is>
      </c>
      <c r="D1538" s="1" t="inlineStr">
        <is>
          <t>OP00002</t>
        </is>
      </c>
      <c r="E1538" s="8" t="n">
        <v>45237.71666666667</v>
      </c>
      <c r="F1538" s="7" t="inlineStr">
        <is>
          <t>AGEN</t>
        </is>
      </c>
      <c r="G1538" s="18" t="inlineStr">
        <is>
          <t>OP09715</t>
        </is>
      </c>
      <c r="H1538" s="19">
        <f>UPPER(Table3[[#This Row],[Agen id]]&amp;"-"&amp;VLOOKUP(Table3[[#This Row],[Agen id]],A:B,2,0)&amp;"("&amp;Table3[[#This Row],[Short]]&amp;")")</f>
        <v/>
      </c>
      <c r="J1538" s="7">
        <f>VLOOKUP(Table3[[#This Row],[Agen id]],Agen!A:C,3,0)</f>
        <v/>
      </c>
      <c r="K1538" s="37">
        <f>TRIM(LEFT(Table3[[#This Row],[Group]],2))</f>
        <v/>
      </c>
      <c r="L1538" s="3" t="inlineStr">
        <is>
          <t>NON SALES</t>
        </is>
      </c>
    </row>
    <row r="1539">
      <c r="A1539" s="5" t="inlineStr">
        <is>
          <t>OP09722</t>
        </is>
      </c>
      <c r="B1539" s="6" t="inlineStr">
        <is>
          <t>Agrice</t>
        </is>
      </c>
      <c r="C1539" s="7" t="inlineStr">
        <is>
          <t>A - Agen</t>
        </is>
      </c>
      <c r="D1539" s="1" t="inlineStr">
        <is>
          <t>OP00002</t>
        </is>
      </c>
      <c r="E1539" s="8" t="n">
        <v>45238.19513888889</v>
      </c>
      <c r="F1539" s="7" t="inlineStr">
        <is>
          <t>AGEN</t>
        </is>
      </c>
      <c r="G1539" s="18" t="inlineStr">
        <is>
          <t>OP09722</t>
        </is>
      </c>
      <c r="H1539" s="19">
        <f>UPPER(Table3[[#This Row],[Agen id]]&amp;"-"&amp;VLOOKUP(Table3[[#This Row],[Agen id]],A:B,2,0)&amp;"("&amp;Table3[[#This Row],[Short]]&amp;")")</f>
        <v/>
      </c>
      <c r="J1539" s="7">
        <f>VLOOKUP(Table3[[#This Row],[Agen id]],Agen!A:C,3,0)</f>
        <v/>
      </c>
      <c r="K1539" s="37">
        <f>TRIM(LEFT(Table3[[#This Row],[Group]],2))</f>
        <v/>
      </c>
      <c r="L1539" s="3" t="inlineStr">
        <is>
          <t>NON SALES</t>
        </is>
      </c>
    </row>
    <row r="1540">
      <c r="A1540" s="5" t="inlineStr">
        <is>
          <t>OP09724</t>
        </is>
      </c>
      <c r="B1540" s="6" t="inlineStr">
        <is>
          <t>Aishofi Cell</t>
        </is>
      </c>
      <c r="C1540" s="7" t="inlineStr">
        <is>
          <t>A - Agen</t>
        </is>
      </c>
      <c r="D1540" s="1" t="inlineStr">
        <is>
          <t>OP00996</t>
        </is>
      </c>
      <c r="E1540" s="8" t="n">
        <v>45238.32083333333</v>
      </c>
      <c r="F1540" s="7" t="inlineStr">
        <is>
          <t>DOWNLINE</t>
        </is>
      </c>
      <c r="G1540" s="18" t="inlineStr">
        <is>
          <t>OP00996</t>
        </is>
      </c>
      <c r="H1540" s="19">
        <f>UPPER(Table3[[#This Row],[Agen id]]&amp;"-"&amp;VLOOKUP(Table3[[#This Row],[Agen id]],A:B,2,0)&amp;"("&amp;Table3[[#This Row],[Short]]&amp;")")</f>
        <v/>
      </c>
      <c r="J1540" s="7">
        <f>VLOOKUP(Table3[[#This Row],[Agen id]],Agen!A:C,3,0)</f>
        <v/>
      </c>
      <c r="K1540" s="37">
        <f>TRIM(LEFT(Table3[[#This Row],[Group]],2))</f>
        <v/>
      </c>
      <c r="L1540" s="3" t="inlineStr">
        <is>
          <t>NON SALES</t>
        </is>
      </c>
    </row>
    <row r="1541">
      <c r="A1541" s="5" t="inlineStr">
        <is>
          <t>OP09726</t>
        </is>
      </c>
      <c r="B1541" s="6" t="inlineStr">
        <is>
          <t>Plaza Cell</t>
        </is>
      </c>
      <c r="C1541" s="7" t="inlineStr">
        <is>
          <t>A - Agen</t>
        </is>
      </c>
      <c r="D1541" s="1" t="inlineStr">
        <is>
          <t>OP01840</t>
        </is>
      </c>
      <c r="E1541" s="8" t="n">
        <v>45238.38402777778</v>
      </c>
      <c r="F1541" s="7" t="inlineStr">
        <is>
          <t>DOWNLINE</t>
        </is>
      </c>
      <c r="G1541" s="18" t="inlineStr">
        <is>
          <t>OP01840</t>
        </is>
      </c>
      <c r="H1541" s="19">
        <f>UPPER(Table3[[#This Row],[Agen id]]&amp;"-"&amp;VLOOKUP(Table3[[#This Row],[Agen id]],A:B,2,0)&amp;"("&amp;Table3[[#This Row],[Short]]&amp;")")</f>
        <v/>
      </c>
      <c r="J1541" s="7">
        <f>VLOOKUP(Table3[[#This Row],[Agen id]],Agen!A:C,3,0)</f>
        <v/>
      </c>
      <c r="K1541" s="37">
        <f>TRIM(LEFT(Table3[[#This Row],[Group]],2))</f>
        <v/>
      </c>
      <c r="L1541" s="3" t="inlineStr">
        <is>
          <t>NON SALES</t>
        </is>
      </c>
    </row>
    <row r="1542">
      <c r="A1542" s="5" t="inlineStr">
        <is>
          <t>OP09728</t>
        </is>
      </c>
      <c r="B1542" s="6" t="inlineStr">
        <is>
          <t>Nazri</t>
        </is>
      </c>
      <c r="C1542" s="7" t="inlineStr">
        <is>
          <t>A - Agen</t>
        </is>
      </c>
      <c r="D1542" s="1" t="inlineStr">
        <is>
          <t>OP00002</t>
        </is>
      </c>
      <c r="E1542" s="8" t="n">
        <v>45238.46111111111</v>
      </c>
      <c r="F1542" s="7" t="inlineStr">
        <is>
          <t>AGEN</t>
        </is>
      </c>
      <c r="G1542" s="18" t="inlineStr">
        <is>
          <t>OP09728</t>
        </is>
      </c>
      <c r="H1542" s="19">
        <f>UPPER(Table3[[#This Row],[Agen id]]&amp;"-"&amp;VLOOKUP(Table3[[#This Row],[Agen id]],A:B,2,0)&amp;"("&amp;Table3[[#This Row],[Short]]&amp;")")</f>
        <v/>
      </c>
      <c r="J1542" s="7">
        <f>VLOOKUP(Table3[[#This Row],[Agen id]],Agen!A:C,3,0)</f>
        <v/>
      </c>
      <c r="K1542" s="37">
        <f>TRIM(LEFT(Table3[[#This Row],[Group]],2))</f>
        <v/>
      </c>
      <c r="L1542" s="3" t="inlineStr">
        <is>
          <t>NON SALES</t>
        </is>
      </c>
    </row>
    <row r="1543">
      <c r="A1543" s="5" t="inlineStr">
        <is>
          <t>OP09731</t>
        </is>
      </c>
      <c r="B1543" s="6" t="inlineStr">
        <is>
          <t>IRPAN</t>
        </is>
      </c>
      <c r="C1543" s="7" t="inlineStr">
        <is>
          <t>AT1 - Agen Tangerang</t>
        </is>
      </c>
      <c r="D1543" s="1" t="inlineStr">
        <is>
          <t>OP00949</t>
        </is>
      </c>
      <c r="E1543" s="8" t="n">
        <v>45238.68194444444</v>
      </c>
      <c r="F1543" s="7" t="inlineStr">
        <is>
          <t>DOWNLINE</t>
        </is>
      </c>
      <c r="G1543" s="18" t="inlineStr">
        <is>
          <t>OP00949</t>
        </is>
      </c>
      <c r="H1543" s="19">
        <f>UPPER(Table3[[#This Row],[Agen id]]&amp;"-"&amp;VLOOKUP(Table3[[#This Row],[Agen id]],A:B,2,0)&amp;"("&amp;Table3[[#This Row],[Short]]&amp;")")</f>
        <v/>
      </c>
      <c r="J1543" s="7">
        <f>VLOOKUP(Table3[[#This Row],[Agen id]],Agen!A:C,3,0)</f>
        <v/>
      </c>
      <c r="K1543" s="37">
        <f>TRIM(LEFT(Table3[[#This Row],[Group]],2))</f>
        <v/>
      </c>
      <c r="L1543" s="3" t="inlineStr">
        <is>
          <t>NON SALES</t>
        </is>
      </c>
    </row>
    <row r="1544">
      <c r="A1544" s="5" t="inlineStr">
        <is>
          <t>OP09737</t>
        </is>
      </c>
      <c r="B1544" s="6" t="inlineStr">
        <is>
          <t>NONA BIGBOSS CELL</t>
        </is>
      </c>
      <c r="C1544" s="7" t="inlineStr">
        <is>
          <t>A - Agen</t>
        </is>
      </c>
      <c r="D1544" s="1" t="inlineStr">
        <is>
          <t>OP00002</t>
        </is>
      </c>
      <c r="E1544" s="8" t="n">
        <v>45238.82222222222</v>
      </c>
      <c r="F1544" s="7" t="inlineStr">
        <is>
          <t>AGEN</t>
        </is>
      </c>
      <c r="G1544" s="18" t="inlineStr">
        <is>
          <t>OP09737</t>
        </is>
      </c>
      <c r="H1544" s="19">
        <f>UPPER(Table3[[#This Row],[Agen id]]&amp;"-"&amp;VLOOKUP(Table3[[#This Row],[Agen id]],A:B,2,0)&amp;"("&amp;Table3[[#This Row],[Short]]&amp;")")</f>
        <v/>
      </c>
      <c r="J1544" s="7">
        <f>VLOOKUP(Table3[[#This Row],[Agen id]],Agen!A:C,3,0)</f>
        <v/>
      </c>
      <c r="K1544" s="37">
        <f>TRIM(LEFT(Table3[[#This Row],[Group]],2))</f>
        <v/>
      </c>
      <c r="L1544" s="3" t="inlineStr">
        <is>
          <t>NON SALES</t>
        </is>
      </c>
    </row>
    <row r="1545">
      <c r="A1545" s="5" t="inlineStr">
        <is>
          <t>OP09738</t>
        </is>
      </c>
      <c r="B1545" s="6" t="inlineStr">
        <is>
          <t>Rafiska</t>
        </is>
      </c>
      <c r="C1545" s="7" t="inlineStr">
        <is>
          <t>A - Agen</t>
        </is>
      </c>
      <c r="D1545" s="1" t="inlineStr">
        <is>
          <t>OP00002</t>
        </is>
      </c>
      <c r="E1545" s="8" t="n">
        <v>45238.82430555556</v>
      </c>
      <c r="F1545" s="7" t="inlineStr">
        <is>
          <t>AGEN</t>
        </is>
      </c>
      <c r="G1545" s="18" t="inlineStr">
        <is>
          <t>OP09738</t>
        </is>
      </c>
      <c r="H1545" s="19">
        <f>UPPER(Table3[[#This Row],[Agen id]]&amp;"-"&amp;VLOOKUP(Table3[[#This Row],[Agen id]],A:B,2,0)&amp;"("&amp;Table3[[#This Row],[Short]]&amp;")")</f>
        <v/>
      </c>
      <c r="J1545" s="7">
        <f>VLOOKUP(Table3[[#This Row],[Agen id]],Agen!A:C,3,0)</f>
        <v/>
      </c>
      <c r="K1545" s="37">
        <f>TRIM(LEFT(Table3[[#This Row],[Group]],2))</f>
        <v/>
      </c>
      <c r="L1545" s="3" t="inlineStr">
        <is>
          <t>NON SALES</t>
        </is>
      </c>
    </row>
    <row r="1546">
      <c r="A1546" s="5" t="inlineStr">
        <is>
          <t>OP09739</t>
        </is>
      </c>
      <c r="B1546" s="6" t="inlineStr">
        <is>
          <t>Anggi</t>
        </is>
      </c>
      <c r="C1546" s="7" t="inlineStr">
        <is>
          <t>A - Agen</t>
        </is>
      </c>
      <c r="D1546" s="1" t="inlineStr">
        <is>
          <t>OP04706</t>
        </is>
      </c>
      <c r="E1546" s="8" t="n">
        <v>45238.85138888889</v>
      </c>
      <c r="F1546" s="7" t="inlineStr">
        <is>
          <t>DOWNLINE</t>
        </is>
      </c>
      <c r="G1546" s="18" t="inlineStr">
        <is>
          <t>OP04706</t>
        </is>
      </c>
      <c r="H1546" s="19">
        <f>UPPER(Table3[[#This Row],[Agen id]]&amp;"-"&amp;VLOOKUP(Table3[[#This Row],[Agen id]],A:B,2,0)&amp;"("&amp;Table3[[#This Row],[Short]]&amp;")")</f>
        <v/>
      </c>
      <c r="J1546" s="7">
        <f>VLOOKUP(Table3[[#This Row],[Agen id]],Agen!A:C,3,0)</f>
        <v/>
      </c>
      <c r="K1546" s="37">
        <f>TRIM(LEFT(Table3[[#This Row],[Group]],2))</f>
        <v/>
      </c>
      <c r="L1546" s="3" t="inlineStr">
        <is>
          <t>NON SALES</t>
        </is>
      </c>
    </row>
    <row r="1547">
      <c r="A1547" s="5" t="inlineStr">
        <is>
          <t>OP09748</t>
        </is>
      </c>
      <c r="B1547" s="6" t="inlineStr">
        <is>
          <t>Namira Kuota</t>
        </is>
      </c>
      <c r="C1547" s="7" t="inlineStr">
        <is>
          <t>A - Agen</t>
        </is>
      </c>
      <c r="D1547" s="1" t="inlineStr">
        <is>
          <t>OP00002</t>
        </is>
      </c>
      <c r="E1547" s="8" t="n">
        <v>45239.36458333334</v>
      </c>
      <c r="F1547" s="7" t="inlineStr">
        <is>
          <t>AGEN</t>
        </is>
      </c>
      <c r="G1547" s="18" t="inlineStr">
        <is>
          <t>OP09748</t>
        </is>
      </c>
      <c r="H1547" s="19">
        <f>UPPER(Table3[[#This Row],[Agen id]]&amp;"-"&amp;VLOOKUP(Table3[[#This Row],[Agen id]],A:B,2,0)&amp;"("&amp;Table3[[#This Row],[Short]]&amp;")")</f>
        <v/>
      </c>
      <c r="J1547" s="7">
        <f>VLOOKUP(Table3[[#This Row],[Agen id]],Agen!A:C,3,0)</f>
        <v/>
      </c>
      <c r="K1547" s="37">
        <f>TRIM(LEFT(Table3[[#This Row],[Group]],2))</f>
        <v/>
      </c>
      <c r="L1547" s="3" t="inlineStr">
        <is>
          <t>NON SALES</t>
        </is>
      </c>
    </row>
    <row r="1548">
      <c r="A1548" s="5" t="inlineStr">
        <is>
          <t>OP09755</t>
        </is>
      </c>
      <c r="B1548" s="6" t="inlineStr">
        <is>
          <t>El-celluler</t>
        </is>
      </c>
      <c r="C1548" s="7" t="inlineStr">
        <is>
          <t>AB1 - Agen Kab Bogor</t>
        </is>
      </c>
      <c r="D1548" s="1" t="inlineStr">
        <is>
          <t>OP07683</t>
        </is>
      </c>
      <c r="E1548" s="8" t="n">
        <v>45239.63611111111</v>
      </c>
      <c r="F1548" s="7" t="inlineStr">
        <is>
          <t>AGEN</t>
        </is>
      </c>
      <c r="G1548" s="18" t="inlineStr">
        <is>
          <t>OP09755</t>
        </is>
      </c>
      <c r="H1548" s="19">
        <f>UPPER(Table3[[#This Row],[Agen id]]&amp;"-"&amp;VLOOKUP(Table3[[#This Row],[Agen id]],A:B,2,0)&amp;"("&amp;Table3[[#This Row],[Short]]&amp;")")</f>
        <v/>
      </c>
      <c r="J1548" s="7">
        <f>VLOOKUP(Table3[[#This Row],[Agen id]],Agen!A:C,3,0)</f>
        <v/>
      </c>
      <c r="K1548" s="37">
        <f>TRIM(LEFT(Table3[[#This Row],[Group]],2))</f>
        <v/>
      </c>
      <c r="L1548" s="3" t="inlineStr">
        <is>
          <t>AZIZ</t>
        </is>
      </c>
    </row>
    <row r="1549">
      <c r="A1549" s="5" t="inlineStr">
        <is>
          <t>OP09758</t>
        </is>
      </c>
      <c r="B1549" s="6" t="inlineStr">
        <is>
          <t>Rudi Andri</t>
        </is>
      </c>
      <c r="C1549" s="7" t="inlineStr">
        <is>
          <t>A - Agen</t>
        </is>
      </c>
      <c r="D1549" s="1" t="inlineStr">
        <is>
          <t>OP00002</t>
        </is>
      </c>
      <c r="E1549" s="8" t="n">
        <v>45239.63611111111</v>
      </c>
      <c r="F1549" s="7" t="inlineStr">
        <is>
          <t>AGEN</t>
        </is>
      </c>
      <c r="G1549" s="18" t="inlineStr">
        <is>
          <t>OP09758</t>
        </is>
      </c>
      <c r="H1549" s="19">
        <f>UPPER(Table3[[#This Row],[Agen id]]&amp;"-"&amp;VLOOKUP(Table3[[#This Row],[Agen id]],A:B,2,0)&amp;"("&amp;Table3[[#This Row],[Short]]&amp;")")</f>
        <v/>
      </c>
      <c r="J1549" s="7">
        <f>VLOOKUP(Table3[[#This Row],[Agen id]],Agen!A:C,3,0)</f>
        <v/>
      </c>
      <c r="K1549" s="37">
        <f>TRIM(LEFT(Table3[[#This Row],[Group]],2))</f>
        <v/>
      </c>
      <c r="L1549" s="3" t="inlineStr">
        <is>
          <t>AZIZ</t>
        </is>
      </c>
    </row>
    <row r="1550">
      <c r="A1550" s="5" t="inlineStr">
        <is>
          <t>OP09759</t>
        </is>
      </c>
      <c r="B1550" s="6" t="inlineStr">
        <is>
          <t>hari wadha r</t>
        </is>
      </c>
      <c r="C1550" s="7" t="inlineStr">
        <is>
          <t>AV - Agen Verified</t>
        </is>
      </c>
      <c r="D1550" s="1" t="inlineStr">
        <is>
          <t>OP00002</t>
        </is>
      </c>
      <c r="E1550" s="8" t="n">
        <v>45239.63611111111</v>
      </c>
      <c r="F1550" s="7" t="inlineStr">
        <is>
          <t>AGEN</t>
        </is>
      </c>
      <c r="G1550" s="18" t="inlineStr">
        <is>
          <t>OP09759</t>
        </is>
      </c>
      <c r="H1550" s="19">
        <f>UPPER(Table3[[#This Row],[Agen id]]&amp;"-"&amp;VLOOKUP(Table3[[#This Row],[Agen id]],A:B,2,0)&amp;"("&amp;Table3[[#This Row],[Short]]&amp;")")</f>
        <v/>
      </c>
      <c r="J1550" s="7">
        <f>VLOOKUP(Table3[[#This Row],[Agen id]],Agen!A:C,3,0)</f>
        <v/>
      </c>
      <c r="K1550" s="37">
        <f>TRIM(LEFT(Table3[[#This Row],[Group]],2))</f>
        <v/>
      </c>
      <c r="L1550" s="3" t="inlineStr">
        <is>
          <t>NON SALES</t>
        </is>
      </c>
    </row>
    <row r="1551">
      <c r="A1551" s="5" t="inlineStr">
        <is>
          <t>OP09762</t>
        </is>
      </c>
      <c r="B1551" s="6" t="inlineStr">
        <is>
          <t>hari</t>
        </is>
      </c>
      <c r="C1551" s="7" t="inlineStr">
        <is>
          <t>A - Agen</t>
        </is>
      </c>
      <c r="D1551" s="1" t="inlineStr">
        <is>
          <t>OP00996</t>
        </is>
      </c>
      <c r="E1551" s="8" t="n">
        <v>45239.64861111111</v>
      </c>
      <c r="F1551" s="7" t="inlineStr">
        <is>
          <t>DOWNLINE</t>
        </is>
      </c>
      <c r="G1551" s="18" t="inlineStr">
        <is>
          <t>OP00996</t>
        </is>
      </c>
      <c r="H1551" s="19">
        <f>UPPER(Table3[[#This Row],[Agen id]]&amp;"-"&amp;VLOOKUP(Table3[[#This Row],[Agen id]],A:B,2,0)&amp;"("&amp;Table3[[#This Row],[Short]]&amp;")")</f>
        <v/>
      </c>
      <c r="J1551" s="7">
        <f>VLOOKUP(Table3[[#This Row],[Agen id]],Agen!A:C,3,0)</f>
        <v/>
      </c>
      <c r="K1551" s="37">
        <f>TRIM(LEFT(Table3[[#This Row],[Group]],2))</f>
        <v/>
      </c>
      <c r="L1551" s="3" t="inlineStr">
        <is>
          <t>NON SALES</t>
        </is>
      </c>
    </row>
    <row r="1552">
      <c r="A1552" s="5" t="inlineStr">
        <is>
          <t>OP09770</t>
        </is>
      </c>
      <c r="B1552" s="6" t="inlineStr">
        <is>
          <t>H. Mubarok</t>
        </is>
      </c>
      <c r="C1552" s="7" t="inlineStr">
        <is>
          <t>A - Agen</t>
        </is>
      </c>
      <c r="D1552" s="1" t="inlineStr">
        <is>
          <t>OP00002</t>
        </is>
      </c>
      <c r="E1552" s="8" t="n">
        <v>45240.3875</v>
      </c>
      <c r="F1552" s="7" t="inlineStr">
        <is>
          <t>AGEN</t>
        </is>
      </c>
      <c r="G1552" s="18" t="inlineStr">
        <is>
          <t>OP09770</t>
        </is>
      </c>
      <c r="H1552" s="19">
        <f>UPPER(Table3[[#This Row],[Agen id]]&amp;"-"&amp;VLOOKUP(Table3[[#This Row],[Agen id]],A:B,2,0)&amp;"("&amp;Table3[[#This Row],[Short]]&amp;")")</f>
        <v/>
      </c>
      <c r="J1552" s="7">
        <f>VLOOKUP(Table3[[#This Row],[Agen id]],Agen!A:C,3,0)</f>
        <v/>
      </c>
      <c r="K1552" s="37">
        <f>TRIM(LEFT(Table3[[#This Row],[Group]],2))</f>
        <v/>
      </c>
      <c r="L1552" s="3" t="inlineStr">
        <is>
          <t>NON SALES</t>
        </is>
      </c>
    </row>
    <row r="1553">
      <c r="A1553" s="5" t="inlineStr">
        <is>
          <t>OP09775</t>
        </is>
      </c>
      <c r="B1553" s="6" t="inlineStr">
        <is>
          <t>Twingkel cell</t>
        </is>
      </c>
      <c r="C1553" s="7" t="inlineStr">
        <is>
          <t>AB1 - Agen Kab Bogor</t>
        </is>
      </c>
      <c r="D1553" s="1" t="inlineStr">
        <is>
          <t>OP07367</t>
        </is>
      </c>
      <c r="E1553" s="8" t="n">
        <v>45240.44305555556</v>
      </c>
      <c r="F1553" s="7" t="inlineStr">
        <is>
          <t>AGEN</t>
        </is>
      </c>
      <c r="G1553" s="18" t="inlineStr">
        <is>
          <t>OP09775</t>
        </is>
      </c>
      <c r="H1553" s="19">
        <f>UPPER(Table3[[#This Row],[Agen id]]&amp;"-"&amp;VLOOKUP(Table3[[#This Row],[Agen id]],A:B,2,0)&amp;"("&amp;Table3[[#This Row],[Short]]&amp;")")</f>
        <v/>
      </c>
      <c r="J1553" s="7">
        <f>VLOOKUP(Table3[[#This Row],[Agen id]],Agen!A:C,3,0)</f>
        <v/>
      </c>
      <c r="K1553" s="37">
        <f>TRIM(LEFT(Table3[[#This Row],[Group]],2))</f>
        <v/>
      </c>
      <c r="L1553" s="3" t="inlineStr">
        <is>
          <t>ARIS</t>
        </is>
      </c>
    </row>
    <row r="1554">
      <c r="A1554" s="5" t="inlineStr">
        <is>
          <t>OP09776</t>
        </is>
      </c>
      <c r="B1554" s="6" t="inlineStr">
        <is>
          <t>vika</t>
        </is>
      </c>
      <c r="C1554" s="7" t="inlineStr">
        <is>
          <t>AV - Agen Verified</t>
        </is>
      </c>
      <c r="D1554" s="1" t="inlineStr">
        <is>
          <t>OP01054</t>
        </is>
      </c>
      <c r="E1554" s="8" t="n">
        <v>45240.45555555556</v>
      </c>
      <c r="F1554" s="7" t="inlineStr">
        <is>
          <t>DOWNLINE</t>
        </is>
      </c>
      <c r="G1554" s="18" t="inlineStr">
        <is>
          <t>OP01054</t>
        </is>
      </c>
      <c r="H1554" s="19">
        <f>UPPER(Table3[[#This Row],[Agen id]]&amp;"-"&amp;VLOOKUP(Table3[[#This Row],[Agen id]],A:B,2,0)&amp;"("&amp;Table3[[#This Row],[Short]]&amp;")")</f>
        <v/>
      </c>
      <c r="J1554" s="7">
        <f>VLOOKUP(Table3[[#This Row],[Agen id]],Agen!A:C,3,0)</f>
        <v/>
      </c>
      <c r="K1554" s="37">
        <f>TRIM(LEFT(Table3[[#This Row],[Group]],2))</f>
        <v/>
      </c>
      <c r="L1554" s="3" t="inlineStr">
        <is>
          <t>NON SALES</t>
        </is>
      </c>
    </row>
    <row r="1555">
      <c r="A1555" s="5" t="inlineStr">
        <is>
          <t>OP09801</t>
        </is>
      </c>
      <c r="B1555" s="6" t="inlineStr">
        <is>
          <t>Raja siregar</t>
        </is>
      </c>
      <c r="C1555" s="7" t="inlineStr">
        <is>
          <t>AV - Agen Verified</t>
        </is>
      </c>
      <c r="D1555" s="1" t="inlineStr">
        <is>
          <t>OP00002</t>
        </is>
      </c>
      <c r="E1555" s="8" t="n">
        <v>45241.59930555556</v>
      </c>
      <c r="F1555" s="7" t="inlineStr">
        <is>
          <t>AGEN</t>
        </is>
      </c>
      <c r="G1555" s="18" t="inlineStr">
        <is>
          <t>OP09801</t>
        </is>
      </c>
      <c r="H1555" s="19">
        <f>UPPER(Table3[[#This Row],[Agen id]]&amp;"-"&amp;VLOOKUP(Table3[[#This Row],[Agen id]],A:B,2,0)&amp;"("&amp;Table3[[#This Row],[Short]]&amp;")")</f>
        <v/>
      </c>
      <c r="J1555" s="7">
        <f>VLOOKUP(Table3[[#This Row],[Agen id]],Agen!A:C,3,0)</f>
        <v/>
      </c>
      <c r="K1555" s="37">
        <f>TRIM(LEFT(Table3[[#This Row],[Group]],2))</f>
        <v/>
      </c>
      <c r="L1555" s="3" t="inlineStr">
        <is>
          <t>NON SALES</t>
        </is>
      </c>
    </row>
    <row r="1556">
      <c r="A1556" s="5" t="inlineStr">
        <is>
          <t>OP09804</t>
        </is>
      </c>
      <c r="B1556" s="6" t="inlineStr">
        <is>
          <t>Toko dinda</t>
        </is>
      </c>
      <c r="C1556" s="7" t="inlineStr">
        <is>
          <t>AT1 - Agen Tangerang</t>
        </is>
      </c>
      <c r="D1556" s="1" t="inlineStr">
        <is>
          <t>OP07683</t>
        </is>
      </c>
      <c r="E1556" s="8" t="n">
        <v>45241.66458333333</v>
      </c>
      <c r="F1556" s="7" t="inlineStr">
        <is>
          <t>AGEN</t>
        </is>
      </c>
      <c r="G1556" s="18" t="inlineStr">
        <is>
          <t>OP09804</t>
        </is>
      </c>
      <c r="H1556" s="19">
        <f>UPPER(Table3[[#This Row],[Agen id]]&amp;"-"&amp;VLOOKUP(Table3[[#This Row],[Agen id]],A:B,2,0)&amp;"("&amp;Table3[[#This Row],[Short]]&amp;")")</f>
        <v/>
      </c>
      <c r="J1556" s="7">
        <f>VLOOKUP(Table3[[#This Row],[Agen id]],Agen!A:C,3,0)</f>
        <v/>
      </c>
      <c r="K1556" s="37">
        <f>TRIM(LEFT(Table3[[#This Row],[Group]],2))</f>
        <v/>
      </c>
      <c r="L1556" s="3" t="inlineStr">
        <is>
          <t>AZIZ</t>
        </is>
      </c>
    </row>
    <row r="1557">
      <c r="A1557" s="5" t="inlineStr">
        <is>
          <t>OP09823</t>
        </is>
      </c>
      <c r="B1557" s="6" t="inlineStr">
        <is>
          <t>Yulia</t>
        </is>
      </c>
      <c r="C1557" s="7" t="inlineStr">
        <is>
          <t>AV - Agen Verified</t>
        </is>
      </c>
      <c r="D1557" s="1" t="inlineStr">
        <is>
          <t>OP00996</t>
        </is>
      </c>
      <c r="E1557" s="8" t="n">
        <v>45242.55625</v>
      </c>
      <c r="F1557" s="7" t="inlineStr">
        <is>
          <t>DOWNLINE</t>
        </is>
      </c>
      <c r="G1557" s="18" t="inlineStr">
        <is>
          <t>OP00996</t>
        </is>
      </c>
      <c r="H1557" s="19">
        <f>UPPER(Table3[[#This Row],[Agen id]]&amp;"-"&amp;VLOOKUP(Table3[[#This Row],[Agen id]],A:B,2,0)&amp;"("&amp;Table3[[#This Row],[Short]]&amp;")")</f>
        <v/>
      </c>
      <c r="J1557" s="7">
        <f>VLOOKUP(Table3[[#This Row],[Agen id]],Agen!A:C,3,0)</f>
        <v/>
      </c>
      <c r="K1557" s="37">
        <f>TRIM(LEFT(Table3[[#This Row],[Group]],2))</f>
        <v/>
      </c>
      <c r="L1557" s="3" t="inlineStr">
        <is>
          <t>NON SALES</t>
        </is>
      </c>
    </row>
    <row r="1558">
      <c r="A1558" s="5" t="inlineStr">
        <is>
          <t>OP09824</t>
        </is>
      </c>
      <c r="B1558" s="6" t="inlineStr">
        <is>
          <t>NANA SELL</t>
        </is>
      </c>
      <c r="C1558" s="7" t="inlineStr">
        <is>
          <t>A - Agen</t>
        </is>
      </c>
      <c r="D1558" s="1" t="inlineStr">
        <is>
          <t>OP00002</t>
        </is>
      </c>
      <c r="E1558" s="8" t="n">
        <v>45242.65069444444</v>
      </c>
      <c r="F1558" s="7" t="inlineStr">
        <is>
          <t>AGEN</t>
        </is>
      </c>
      <c r="G1558" s="18" t="inlineStr">
        <is>
          <t>OP09824</t>
        </is>
      </c>
      <c r="H1558" s="19">
        <f>UPPER(Table3[[#This Row],[Agen id]]&amp;"-"&amp;VLOOKUP(Table3[[#This Row],[Agen id]],A:B,2,0)&amp;"("&amp;Table3[[#This Row],[Short]]&amp;")")</f>
        <v/>
      </c>
      <c r="J1558" s="7">
        <f>VLOOKUP(Table3[[#This Row],[Agen id]],Agen!A:C,3,0)</f>
        <v/>
      </c>
      <c r="K1558" s="37">
        <f>TRIM(LEFT(Table3[[#This Row],[Group]],2))</f>
        <v/>
      </c>
      <c r="L1558" s="3" t="inlineStr">
        <is>
          <t>NON SALES</t>
        </is>
      </c>
    </row>
    <row r="1559">
      <c r="A1559" s="5" t="inlineStr">
        <is>
          <t>OP09826</t>
        </is>
      </c>
      <c r="B1559" s="6" t="inlineStr">
        <is>
          <t>Thalia</t>
        </is>
      </c>
      <c r="C1559" s="7" t="inlineStr">
        <is>
          <t>A - Agen</t>
        </is>
      </c>
      <c r="D1559" s="1" t="inlineStr">
        <is>
          <t>OP00002</t>
        </is>
      </c>
      <c r="E1559" s="8" t="n">
        <v>45242.76041666666</v>
      </c>
      <c r="F1559" s="7" t="inlineStr">
        <is>
          <t>AGEN</t>
        </is>
      </c>
      <c r="G1559" s="18" t="inlineStr">
        <is>
          <t>OP09826</t>
        </is>
      </c>
      <c r="H1559" s="19">
        <f>UPPER(Table3[[#This Row],[Agen id]]&amp;"-"&amp;VLOOKUP(Table3[[#This Row],[Agen id]],A:B,2,0)&amp;"("&amp;Table3[[#This Row],[Short]]&amp;")")</f>
        <v/>
      </c>
      <c r="J1559" s="7">
        <f>VLOOKUP(Table3[[#This Row],[Agen id]],Agen!A:C,3,0)</f>
        <v/>
      </c>
      <c r="K1559" s="37">
        <f>TRIM(LEFT(Table3[[#This Row],[Group]],2))</f>
        <v/>
      </c>
      <c r="L1559" s="3" t="inlineStr">
        <is>
          <t>NON SALES</t>
        </is>
      </c>
    </row>
    <row r="1560">
      <c r="A1560" s="5" t="inlineStr">
        <is>
          <t>OP09833</t>
        </is>
      </c>
      <c r="B1560" s="6" t="inlineStr">
        <is>
          <t>Amin</t>
        </is>
      </c>
      <c r="C1560" s="7" t="inlineStr">
        <is>
          <t>A - Agen</t>
        </is>
      </c>
      <c r="D1560" s="1" t="inlineStr">
        <is>
          <t>OP00036</t>
        </is>
      </c>
      <c r="E1560" s="8" t="n">
        <v>45243.31805555556</v>
      </c>
      <c r="F1560" s="7" t="inlineStr">
        <is>
          <t>DOWNLINE</t>
        </is>
      </c>
      <c r="G1560" s="18" t="inlineStr">
        <is>
          <t>OP00036</t>
        </is>
      </c>
      <c r="H1560" s="19">
        <f>UPPER(Table3[[#This Row],[Agen id]]&amp;"-"&amp;VLOOKUP(Table3[[#This Row],[Agen id]],A:B,2,0)&amp;"("&amp;Table3[[#This Row],[Short]]&amp;")")</f>
        <v/>
      </c>
      <c r="J1560" s="7">
        <f>VLOOKUP(Table3[[#This Row],[Agen id]],Agen!A:C,3,0)</f>
        <v/>
      </c>
      <c r="K1560" s="37">
        <f>TRIM(LEFT(Table3[[#This Row],[Group]],2))</f>
        <v/>
      </c>
      <c r="L1560" s="3" t="inlineStr">
        <is>
          <t>NON SALES</t>
        </is>
      </c>
    </row>
    <row r="1561">
      <c r="A1561" s="5" t="inlineStr">
        <is>
          <t>OP09838</t>
        </is>
      </c>
      <c r="B1561" s="6" t="inlineStr">
        <is>
          <t>Noval</t>
        </is>
      </c>
      <c r="C1561" s="7" t="inlineStr">
        <is>
          <t>A - Agen</t>
        </is>
      </c>
      <c r="D1561" s="1" t="inlineStr">
        <is>
          <t>OP00049</t>
        </is>
      </c>
      <c r="E1561" s="8" t="n">
        <v>45243.4875</v>
      </c>
      <c r="F1561" s="7" t="inlineStr">
        <is>
          <t>DOWNLINE</t>
        </is>
      </c>
      <c r="G1561" s="18" t="inlineStr">
        <is>
          <t>OP00049</t>
        </is>
      </c>
      <c r="H1561" s="19">
        <f>UPPER(Table3[[#This Row],[Agen id]]&amp;"-"&amp;VLOOKUP(Table3[[#This Row],[Agen id]],A:B,2,0)&amp;"("&amp;Table3[[#This Row],[Short]]&amp;")")</f>
        <v/>
      </c>
      <c r="J1561" s="7">
        <f>VLOOKUP(Table3[[#This Row],[Agen id]],Agen!A:C,3,0)</f>
        <v/>
      </c>
      <c r="K1561" s="37">
        <f>TRIM(LEFT(Table3[[#This Row],[Group]],2))</f>
        <v/>
      </c>
      <c r="L1561" s="3" t="inlineStr">
        <is>
          <t>NON SALES</t>
        </is>
      </c>
    </row>
    <row r="1562">
      <c r="A1562" s="5" t="inlineStr">
        <is>
          <t>OP09839</t>
        </is>
      </c>
      <c r="B1562" s="6" t="inlineStr">
        <is>
          <t>Gabriella Kotangon</t>
        </is>
      </c>
      <c r="C1562" s="7" t="inlineStr">
        <is>
          <t>A - Agen</t>
        </is>
      </c>
      <c r="D1562" s="1" t="inlineStr">
        <is>
          <t>OP00996</t>
        </is>
      </c>
      <c r="E1562" s="8" t="n">
        <v>45243.49930555555</v>
      </c>
      <c r="F1562" s="7" t="inlineStr">
        <is>
          <t>DOWNLINE</t>
        </is>
      </c>
      <c r="G1562" s="18" t="inlineStr">
        <is>
          <t>OP00996</t>
        </is>
      </c>
      <c r="H1562" s="19">
        <f>UPPER(Table3[[#This Row],[Agen id]]&amp;"-"&amp;VLOOKUP(Table3[[#This Row],[Agen id]],A:B,2,0)&amp;"("&amp;Table3[[#This Row],[Short]]&amp;")")</f>
        <v/>
      </c>
      <c r="J1562" s="7">
        <f>VLOOKUP(Table3[[#This Row],[Agen id]],Agen!A:C,3,0)</f>
        <v/>
      </c>
      <c r="K1562" s="37">
        <f>TRIM(LEFT(Table3[[#This Row],[Group]],2))</f>
        <v/>
      </c>
      <c r="L1562" s="3" t="inlineStr">
        <is>
          <t>NON SALES</t>
        </is>
      </c>
    </row>
    <row r="1563">
      <c r="A1563" s="5" t="inlineStr">
        <is>
          <t>OP09845</t>
        </is>
      </c>
      <c r="B1563" s="6" t="inlineStr">
        <is>
          <t>Erasdi cell</t>
        </is>
      </c>
      <c r="C1563" s="7" t="inlineStr">
        <is>
          <t>A - Agen</t>
        </is>
      </c>
      <c r="D1563" s="1" t="inlineStr">
        <is>
          <t>OP00002</t>
        </is>
      </c>
      <c r="E1563" s="8" t="n">
        <v>45243.68194444444</v>
      </c>
      <c r="F1563" s="7" t="inlineStr">
        <is>
          <t>AGEN</t>
        </is>
      </c>
      <c r="G1563" s="18" t="inlineStr">
        <is>
          <t>OP09845</t>
        </is>
      </c>
      <c r="H1563" s="19">
        <f>UPPER(Table3[[#This Row],[Agen id]]&amp;"-"&amp;VLOOKUP(Table3[[#This Row],[Agen id]],A:B,2,0)&amp;"("&amp;Table3[[#This Row],[Short]]&amp;")")</f>
        <v/>
      </c>
      <c r="J1563" s="7">
        <f>VLOOKUP(Table3[[#This Row],[Agen id]],Agen!A:C,3,0)</f>
        <v/>
      </c>
      <c r="K1563" s="37">
        <f>TRIM(LEFT(Table3[[#This Row],[Group]],2))</f>
        <v/>
      </c>
      <c r="L1563" s="3" t="inlineStr">
        <is>
          <t>NON SALES</t>
        </is>
      </c>
    </row>
    <row r="1564">
      <c r="A1564" s="5" t="inlineStr">
        <is>
          <t>OP09846</t>
        </is>
      </c>
      <c r="B1564" s="6" t="inlineStr">
        <is>
          <t>tk wati</t>
        </is>
      </c>
      <c r="C1564" s="7" t="inlineStr">
        <is>
          <t>AV - Agen Verified</t>
        </is>
      </c>
      <c r="D1564" s="1" t="inlineStr">
        <is>
          <t>OP03216</t>
        </is>
      </c>
      <c r="E1564" s="8" t="n">
        <v>45243.68402777778</v>
      </c>
      <c r="F1564" s="7" t="inlineStr">
        <is>
          <t>DOWNLINE</t>
        </is>
      </c>
      <c r="G1564" s="18" t="inlineStr">
        <is>
          <t>OP00049</t>
        </is>
      </c>
      <c r="H1564" s="19">
        <f>UPPER(Table3[[#This Row],[Agen id]]&amp;"-"&amp;VLOOKUP(Table3[[#This Row],[Agen id]],A:B,2,0)&amp;"("&amp;Table3[[#This Row],[Short]]&amp;")")</f>
        <v/>
      </c>
      <c r="J1564" s="7">
        <f>VLOOKUP(Table3[[#This Row],[Agen id]],Agen!A:C,3,0)</f>
        <v/>
      </c>
      <c r="K1564" s="37">
        <f>TRIM(LEFT(Table3[[#This Row],[Group]],2))</f>
        <v/>
      </c>
      <c r="L1564" s="3" t="inlineStr">
        <is>
          <t>NON SALES</t>
        </is>
      </c>
    </row>
    <row r="1565">
      <c r="A1565" s="5" t="inlineStr">
        <is>
          <t>OP09849</t>
        </is>
      </c>
      <c r="B1565" s="6" t="inlineStr">
        <is>
          <t>Del</t>
        </is>
      </c>
      <c r="C1565" s="7" t="inlineStr">
        <is>
          <t>A - Agen</t>
        </is>
      </c>
      <c r="D1565" s="1" t="inlineStr">
        <is>
          <t>OP00004</t>
        </is>
      </c>
      <c r="E1565" s="8" t="n">
        <v>45243.71805555555</v>
      </c>
      <c r="F1565" s="7" t="inlineStr">
        <is>
          <t>SALES</t>
        </is>
      </c>
      <c r="G1565" s="18" t="inlineStr">
        <is>
          <t>OP09849</t>
        </is>
      </c>
      <c r="H1565" s="19">
        <f>UPPER(Table3[[#This Row],[Agen id]]&amp;"-"&amp;VLOOKUP(Table3[[#This Row],[Agen id]],A:B,2,0)&amp;"("&amp;Table3[[#This Row],[Short]]&amp;")")</f>
        <v/>
      </c>
      <c r="J1565" s="7">
        <f>VLOOKUP(Table3[[#This Row],[Agen id]],Agen!A:C,3,0)</f>
        <v/>
      </c>
      <c r="K1565" s="37">
        <f>TRIM(LEFT(Table3[[#This Row],[Group]],2))</f>
        <v/>
      </c>
      <c r="L1565" s="3" t="inlineStr">
        <is>
          <t>NON SALES</t>
        </is>
      </c>
    </row>
    <row r="1566">
      <c r="A1566" s="5" t="inlineStr">
        <is>
          <t>OP09855</t>
        </is>
      </c>
      <c r="B1566" s="6" t="inlineStr">
        <is>
          <t>Isal</t>
        </is>
      </c>
      <c r="C1566" s="7" t="inlineStr">
        <is>
          <t>AB1 - Agen Kab Bogor</t>
        </is>
      </c>
      <c r="D1566" s="1" t="inlineStr">
        <is>
          <t>OP00002</t>
        </is>
      </c>
      <c r="E1566" s="8" t="n">
        <v>45244.27777777778</v>
      </c>
      <c r="F1566" s="7" t="inlineStr">
        <is>
          <t>AGEN</t>
        </is>
      </c>
      <c r="G1566" s="18" t="inlineStr">
        <is>
          <t>OP09855</t>
        </is>
      </c>
      <c r="H1566" s="19">
        <f>UPPER(Table3[[#This Row],[Agen id]]&amp;"-"&amp;VLOOKUP(Table3[[#This Row],[Agen id]],A:B,2,0)&amp;"("&amp;Table3[[#This Row],[Short]]&amp;")")</f>
        <v/>
      </c>
      <c r="J1566" s="7">
        <f>VLOOKUP(Table3[[#This Row],[Agen id]],Agen!A:C,3,0)</f>
        <v/>
      </c>
      <c r="K1566" s="37">
        <f>TRIM(LEFT(Table3[[#This Row],[Group]],2))</f>
        <v/>
      </c>
      <c r="L1566" s="3" t="inlineStr">
        <is>
          <t>NON SALES</t>
        </is>
      </c>
    </row>
    <row r="1567">
      <c r="A1567" s="5" t="inlineStr">
        <is>
          <t>OP09861</t>
        </is>
      </c>
      <c r="B1567" s="6" t="inlineStr">
        <is>
          <t>Helna susanti</t>
        </is>
      </c>
      <c r="C1567" s="7" t="inlineStr">
        <is>
          <t>A - Agen</t>
        </is>
      </c>
      <c r="D1567" s="1" t="inlineStr">
        <is>
          <t>OP00002</t>
        </is>
      </c>
      <c r="E1567" s="8" t="n">
        <v>45244.46388888889</v>
      </c>
      <c r="F1567" s="7" t="inlineStr">
        <is>
          <t>AGEN</t>
        </is>
      </c>
      <c r="G1567" s="18" t="inlineStr">
        <is>
          <t>OP09861</t>
        </is>
      </c>
      <c r="H1567" s="19">
        <f>UPPER(Table3[[#This Row],[Agen id]]&amp;"-"&amp;VLOOKUP(Table3[[#This Row],[Agen id]],A:B,2,0)&amp;"("&amp;Table3[[#This Row],[Short]]&amp;")")</f>
        <v/>
      </c>
      <c r="J1567" s="7">
        <f>VLOOKUP(Table3[[#This Row],[Agen id]],Agen!A:C,3,0)</f>
        <v/>
      </c>
      <c r="K1567" s="37">
        <f>TRIM(LEFT(Table3[[#This Row],[Group]],2))</f>
        <v/>
      </c>
      <c r="L1567" s="3" t="inlineStr">
        <is>
          <t>NON SALES</t>
        </is>
      </c>
    </row>
    <row r="1568">
      <c r="A1568" s="5" t="inlineStr">
        <is>
          <t>OP09864</t>
        </is>
      </c>
      <c r="B1568" s="6" t="inlineStr">
        <is>
          <t>Hoki cell</t>
        </is>
      </c>
      <c r="C1568" s="7" t="inlineStr">
        <is>
          <t>A - Agen</t>
        </is>
      </c>
      <c r="D1568" s="1" t="inlineStr">
        <is>
          <t>OP00002</t>
        </is>
      </c>
      <c r="E1568" s="8" t="n">
        <v>45244.63333333333</v>
      </c>
      <c r="F1568" s="7" t="inlineStr">
        <is>
          <t>AGEN</t>
        </is>
      </c>
      <c r="G1568" s="18" t="inlineStr">
        <is>
          <t>OP09864</t>
        </is>
      </c>
      <c r="H1568" s="19">
        <f>UPPER(Table3[[#This Row],[Agen id]]&amp;"-"&amp;VLOOKUP(Table3[[#This Row],[Agen id]],A:B,2,0)&amp;"("&amp;Table3[[#This Row],[Short]]&amp;")")</f>
        <v/>
      </c>
      <c r="J1568" s="7">
        <f>VLOOKUP(Table3[[#This Row],[Agen id]],Agen!A:C,3,0)</f>
        <v/>
      </c>
      <c r="K1568" s="37">
        <f>TRIM(LEFT(Table3[[#This Row],[Group]],2))</f>
        <v/>
      </c>
      <c r="L1568" s="3" t="inlineStr">
        <is>
          <t>NON SALES</t>
        </is>
      </c>
    </row>
    <row r="1569">
      <c r="A1569" s="5" t="inlineStr">
        <is>
          <t>OP09866</t>
        </is>
      </c>
      <c r="B1569" s="6" t="inlineStr">
        <is>
          <t>Didik pulsa</t>
        </is>
      </c>
      <c r="C1569" s="7" t="inlineStr">
        <is>
          <t>AV - Agen Verified</t>
        </is>
      </c>
      <c r="D1569" s="1" t="inlineStr">
        <is>
          <t>OP01054</t>
        </is>
      </c>
      <c r="E1569" s="8" t="n">
        <v>45244.63819444444</v>
      </c>
      <c r="F1569" s="7" t="inlineStr">
        <is>
          <t>DOWNLINE</t>
        </is>
      </c>
      <c r="G1569" s="18" t="inlineStr">
        <is>
          <t>OP01054</t>
        </is>
      </c>
      <c r="H1569" s="19">
        <f>UPPER(Table3[[#This Row],[Agen id]]&amp;"-"&amp;VLOOKUP(Table3[[#This Row],[Agen id]],A:B,2,0)&amp;"("&amp;Table3[[#This Row],[Short]]&amp;")")</f>
        <v/>
      </c>
      <c r="J1569" s="7">
        <f>VLOOKUP(Table3[[#This Row],[Agen id]],Agen!A:C,3,0)</f>
        <v/>
      </c>
      <c r="K1569" s="37">
        <f>TRIM(LEFT(Table3[[#This Row],[Group]],2))</f>
        <v/>
      </c>
      <c r="L1569" s="3" t="inlineStr">
        <is>
          <t>NON SALES</t>
        </is>
      </c>
    </row>
    <row r="1570">
      <c r="A1570" s="5" t="inlineStr">
        <is>
          <t>OP09875</t>
        </is>
      </c>
      <c r="B1570" s="6" t="inlineStr">
        <is>
          <t>Blasius ola</t>
        </is>
      </c>
      <c r="C1570" s="7" t="inlineStr">
        <is>
          <t>AV - Agen Verified</t>
        </is>
      </c>
      <c r="D1570" s="1" t="inlineStr">
        <is>
          <t>OP00002</t>
        </is>
      </c>
      <c r="E1570" s="8" t="n">
        <v>45245.18333333333</v>
      </c>
      <c r="F1570" s="7" t="inlineStr">
        <is>
          <t>AGEN</t>
        </is>
      </c>
      <c r="G1570" s="18" t="inlineStr">
        <is>
          <t>OP09875</t>
        </is>
      </c>
      <c r="H1570" s="19">
        <f>UPPER(Table3[[#This Row],[Agen id]]&amp;"-"&amp;VLOOKUP(Table3[[#This Row],[Agen id]],A:B,2,0)&amp;"("&amp;Table3[[#This Row],[Short]]&amp;")")</f>
        <v/>
      </c>
      <c r="J1570" s="7">
        <f>VLOOKUP(Table3[[#This Row],[Agen id]],Agen!A:C,3,0)</f>
        <v/>
      </c>
      <c r="K1570" s="37">
        <f>TRIM(LEFT(Table3[[#This Row],[Group]],2))</f>
        <v/>
      </c>
      <c r="L1570" s="3" t="inlineStr">
        <is>
          <t>NON SALES</t>
        </is>
      </c>
    </row>
    <row r="1571">
      <c r="A1571" s="5" t="inlineStr">
        <is>
          <t>OP09880</t>
        </is>
      </c>
      <c r="B1571" s="6" t="inlineStr">
        <is>
          <t>Ikrom</t>
        </is>
      </c>
      <c r="C1571" s="7" t="inlineStr">
        <is>
          <t>A - Agen</t>
        </is>
      </c>
      <c r="D1571" s="1" t="inlineStr">
        <is>
          <t>OP00002</t>
        </is>
      </c>
      <c r="E1571" s="8" t="n">
        <v>45245.38680555556</v>
      </c>
      <c r="F1571" s="7" t="inlineStr">
        <is>
          <t>AGEN</t>
        </is>
      </c>
      <c r="G1571" s="18" t="inlineStr">
        <is>
          <t>OP09880</t>
        </is>
      </c>
      <c r="H1571" s="19">
        <f>UPPER(Table3[[#This Row],[Agen id]]&amp;"-"&amp;VLOOKUP(Table3[[#This Row],[Agen id]],A:B,2,0)&amp;"("&amp;Table3[[#This Row],[Short]]&amp;")")</f>
        <v/>
      </c>
      <c r="J1571" s="7">
        <f>VLOOKUP(Table3[[#This Row],[Agen id]],Agen!A:C,3,0)</f>
        <v/>
      </c>
      <c r="K1571" s="37">
        <f>TRIM(LEFT(Table3[[#This Row],[Group]],2))</f>
        <v/>
      </c>
      <c r="L1571" s="3" t="inlineStr">
        <is>
          <t>NON SALES</t>
        </is>
      </c>
    </row>
    <row r="1572">
      <c r="A1572" s="5" t="inlineStr">
        <is>
          <t>OP09888</t>
        </is>
      </c>
      <c r="B1572" s="6" t="inlineStr">
        <is>
          <t>NAYZAHCELL</t>
        </is>
      </c>
      <c r="C1572" s="7" t="inlineStr">
        <is>
          <t>A - Agen</t>
        </is>
      </c>
      <c r="D1572" s="1" t="inlineStr">
        <is>
          <t>OP00002</t>
        </is>
      </c>
      <c r="E1572" s="8" t="n">
        <v>45245.60138888889</v>
      </c>
      <c r="F1572" s="7" t="inlineStr">
        <is>
          <t>AGEN</t>
        </is>
      </c>
      <c r="G1572" s="18" t="inlineStr">
        <is>
          <t>OP09888</t>
        </is>
      </c>
      <c r="H1572" s="19">
        <f>UPPER(Table3[[#This Row],[Agen id]]&amp;"-"&amp;VLOOKUP(Table3[[#This Row],[Agen id]],A:B,2,0)&amp;"("&amp;Table3[[#This Row],[Short]]&amp;")")</f>
        <v/>
      </c>
      <c r="J1572" s="7">
        <f>VLOOKUP(Table3[[#This Row],[Agen id]],Agen!A:C,3,0)</f>
        <v/>
      </c>
      <c r="K1572" s="37">
        <f>TRIM(LEFT(Table3[[#This Row],[Group]],2))</f>
        <v/>
      </c>
      <c r="L1572" s="3" t="inlineStr">
        <is>
          <t>NON SALES</t>
        </is>
      </c>
    </row>
    <row r="1573">
      <c r="A1573" s="5" t="inlineStr">
        <is>
          <t>OP09899</t>
        </is>
      </c>
      <c r="B1573" s="6" t="inlineStr">
        <is>
          <t>DPM CELL</t>
        </is>
      </c>
      <c r="C1573" s="7" t="inlineStr">
        <is>
          <t>AT1 - Agen Tangerang</t>
        </is>
      </c>
      <c r="D1573" s="1" t="inlineStr">
        <is>
          <t>OP07683</t>
        </is>
      </c>
      <c r="E1573" s="8" t="n">
        <v>45245.83958333333</v>
      </c>
      <c r="F1573" s="7" t="inlineStr">
        <is>
          <t>AGEN</t>
        </is>
      </c>
      <c r="G1573" s="18" t="inlineStr">
        <is>
          <t>OP09899</t>
        </is>
      </c>
      <c r="H1573" s="19">
        <f>UPPER(Table3[[#This Row],[Agen id]]&amp;"-"&amp;VLOOKUP(Table3[[#This Row],[Agen id]],A:B,2,0)&amp;"("&amp;Table3[[#This Row],[Short]]&amp;")")</f>
        <v/>
      </c>
      <c r="J1573" s="7">
        <f>VLOOKUP(Table3[[#This Row],[Agen id]],Agen!A:C,3,0)</f>
        <v/>
      </c>
      <c r="K1573" s="37">
        <f>TRIM(LEFT(Table3[[#This Row],[Group]],2))</f>
        <v/>
      </c>
      <c r="L1573" s="3" t="inlineStr">
        <is>
          <t>AZIZ</t>
        </is>
      </c>
    </row>
    <row r="1574">
      <c r="A1574" s="5" t="inlineStr">
        <is>
          <t>OP09900</t>
        </is>
      </c>
      <c r="B1574" s="6" t="inlineStr">
        <is>
          <t>M Yan Fajar</t>
        </is>
      </c>
      <c r="C1574" s="7" t="inlineStr">
        <is>
          <t>A - Agen</t>
        </is>
      </c>
      <c r="D1574" s="1" t="inlineStr">
        <is>
          <t>OP00002</t>
        </is>
      </c>
      <c r="E1574" s="8" t="n">
        <v>45245.86805555555</v>
      </c>
      <c r="F1574" s="7" t="inlineStr">
        <is>
          <t>AGEN</t>
        </is>
      </c>
      <c r="G1574" s="18" t="inlineStr">
        <is>
          <t>OP09900</t>
        </is>
      </c>
      <c r="H1574" s="19">
        <f>UPPER(Table3[[#This Row],[Agen id]]&amp;"-"&amp;VLOOKUP(Table3[[#This Row],[Agen id]],A:B,2,0)&amp;"("&amp;Table3[[#This Row],[Short]]&amp;")")</f>
        <v/>
      </c>
      <c r="J1574" s="7">
        <f>VLOOKUP(Table3[[#This Row],[Agen id]],Agen!A:C,3,0)</f>
        <v/>
      </c>
      <c r="K1574" s="37">
        <f>TRIM(LEFT(Table3[[#This Row],[Group]],2))</f>
        <v/>
      </c>
      <c r="L1574" s="3" t="inlineStr">
        <is>
          <t>NON SALES</t>
        </is>
      </c>
    </row>
    <row r="1575">
      <c r="A1575" s="5" t="inlineStr">
        <is>
          <t>OP09903</t>
        </is>
      </c>
      <c r="B1575" s="6" t="inlineStr">
        <is>
          <t>keyla cell</t>
        </is>
      </c>
      <c r="C1575" s="7" t="inlineStr">
        <is>
          <t>AV - Agen Verified</t>
        </is>
      </c>
      <c r="D1575" s="1" t="inlineStr">
        <is>
          <t>OP00002</t>
        </is>
      </c>
      <c r="E1575" s="8" t="n">
        <v>45246.09583333333</v>
      </c>
      <c r="F1575" s="7" t="inlineStr">
        <is>
          <t>AGEN</t>
        </is>
      </c>
      <c r="G1575" s="18" t="inlineStr">
        <is>
          <t>OP09903</t>
        </is>
      </c>
      <c r="H1575" s="19">
        <f>UPPER(Table3[[#This Row],[Agen id]]&amp;"-"&amp;VLOOKUP(Table3[[#This Row],[Agen id]],A:B,2,0)&amp;"("&amp;Table3[[#This Row],[Short]]&amp;")")</f>
        <v/>
      </c>
      <c r="J1575" s="7">
        <f>VLOOKUP(Table3[[#This Row],[Agen id]],Agen!A:C,3,0)</f>
        <v/>
      </c>
      <c r="K1575" s="37">
        <f>TRIM(LEFT(Table3[[#This Row],[Group]],2))</f>
        <v/>
      </c>
      <c r="L1575" s="3" t="inlineStr">
        <is>
          <t>NON SALES</t>
        </is>
      </c>
    </row>
    <row r="1576">
      <c r="A1576" s="5" t="inlineStr">
        <is>
          <t>OP09910</t>
        </is>
      </c>
      <c r="B1576" s="6" t="inlineStr">
        <is>
          <t>Abdullah55</t>
        </is>
      </c>
      <c r="C1576" s="7" t="inlineStr">
        <is>
          <t>A - Agen</t>
        </is>
      </c>
      <c r="D1576" s="1" t="inlineStr">
        <is>
          <t>OP08109</t>
        </is>
      </c>
      <c r="E1576" s="8" t="n">
        <v>45246.43333333333</v>
      </c>
      <c r="F1576" s="7" t="inlineStr">
        <is>
          <t>DOWNLINE</t>
        </is>
      </c>
      <c r="G1576" s="18" t="inlineStr">
        <is>
          <t>OP08109</t>
        </is>
      </c>
      <c r="H1576" s="19">
        <f>UPPER(Table3[[#This Row],[Agen id]]&amp;"-"&amp;VLOOKUP(Table3[[#This Row],[Agen id]],A:B,2,0)&amp;"("&amp;Table3[[#This Row],[Short]]&amp;")")</f>
        <v/>
      </c>
      <c r="J1576" s="7">
        <f>VLOOKUP(Table3[[#This Row],[Agen id]],Agen!A:C,3,0)</f>
        <v/>
      </c>
      <c r="K1576" s="37">
        <f>TRIM(LEFT(Table3[[#This Row],[Group]],2))</f>
        <v/>
      </c>
      <c r="L1576" s="3" t="inlineStr">
        <is>
          <t>NON SALES</t>
        </is>
      </c>
    </row>
    <row r="1577">
      <c r="A1577" s="5" t="inlineStr">
        <is>
          <t>OP09912</t>
        </is>
      </c>
      <c r="B1577" s="6" t="inlineStr">
        <is>
          <t>Sumber Rezeki 4</t>
        </is>
      </c>
      <c r="C1577" s="7" t="inlineStr">
        <is>
          <t>AB1 - Agen Kab Bogor</t>
        </is>
      </c>
      <c r="D1577" s="1" t="inlineStr">
        <is>
          <t>OP07367</t>
        </is>
      </c>
      <c r="E1577" s="8" t="n">
        <v>45246.43819444445</v>
      </c>
      <c r="F1577" s="7" t="inlineStr">
        <is>
          <t>AGEN</t>
        </is>
      </c>
      <c r="G1577" s="18" t="inlineStr">
        <is>
          <t>OP09912</t>
        </is>
      </c>
      <c r="H1577" s="19">
        <f>UPPER(Table3[[#This Row],[Agen id]]&amp;"-"&amp;VLOOKUP(Table3[[#This Row],[Agen id]],A:B,2,0)&amp;"("&amp;Table3[[#This Row],[Short]]&amp;")")</f>
        <v/>
      </c>
      <c r="J1577" s="7">
        <f>VLOOKUP(Table3[[#This Row],[Agen id]],Agen!A:C,3,0)</f>
        <v/>
      </c>
      <c r="K1577" s="37">
        <f>TRIM(LEFT(Table3[[#This Row],[Group]],2))</f>
        <v/>
      </c>
      <c r="L1577" s="3" t="inlineStr">
        <is>
          <t>ARIS</t>
        </is>
      </c>
    </row>
    <row r="1578">
      <c r="A1578" s="5" t="inlineStr">
        <is>
          <t>OP09925</t>
        </is>
      </c>
      <c r="B1578" s="6" t="inlineStr">
        <is>
          <t>ABI SHOP.</t>
        </is>
      </c>
      <c r="C1578" s="7" t="inlineStr">
        <is>
          <t>AV - Agen Verified</t>
        </is>
      </c>
      <c r="D1578" s="1" t="inlineStr">
        <is>
          <t>OP00002</t>
        </is>
      </c>
      <c r="E1578" s="8" t="n">
        <v>45246.70555555556</v>
      </c>
      <c r="F1578" s="7" t="inlineStr">
        <is>
          <t>AGEN</t>
        </is>
      </c>
      <c r="G1578" s="18" t="inlineStr">
        <is>
          <t>OP09925</t>
        </is>
      </c>
      <c r="H1578" s="19">
        <f>UPPER(Table3[[#This Row],[Agen id]]&amp;"-"&amp;VLOOKUP(Table3[[#This Row],[Agen id]],A:B,2,0)&amp;"("&amp;Table3[[#This Row],[Short]]&amp;")")</f>
        <v/>
      </c>
      <c r="J1578" s="7">
        <f>VLOOKUP(Table3[[#This Row],[Agen id]],Agen!A:C,3,0)</f>
        <v/>
      </c>
      <c r="K1578" s="37">
        <f>TRIM(LEFT(Table3[[#This Row],[Group]],2))</f>
        <v/>
      </c>
      <c r="L1578" s="3" t="inlineStr">
        <is>
          <t>NON SALES</t>
        </is>
      </c>
    </row>
    <row r="1579">
      <c r="A1579" s="5" t="inlineStr">
        <is>
          <t>OP09929</t>
        </is>
      </c>
      <c r="B1579" s="6" t="inlineStr">
        <is>
          <t>Cinnong Cell</t>
        </is>
      </c>
      <c r="C1579" s="7" t="inlineStr">
        <is>
          <t>AB1 - Agen Kab Bogor</t>
        </is>
      </c>
      <c r="D1579" s="1" t="inlineStr">
        <is>
          <t>OP09318</t>
        </is>
      </c>
      <c r="E1579" s="8" t="n">
        <v>45246.86875</v>
      </c>
      <c r="F1579" s="7" t="inlineStr">
        <is>
          <t>DOWNLINE</t>
        </is>
      </c>
      <c r="G1579" s="18" t="inlineStr">
        <is>
          <t>OP09318</t>
        </is>
      </c>
      <c r="H1579" s="19">
        <f>UPPER(Table3[[#This Row],[Agen id]]&amp;"-"&amp;VLOOKUP(Table3[[#This Row],[Agen id]],A:B,2,0)&amp;"("&amp;Table3[[#This Row],[Short]]&amp;")")</f>
        <v/>
      </c>
      <c r="J1579" s="7">
        <f>VLOOKUP(Table3[[#This Row],[Agen id]],Agen!A:C,3,0)</f>
        <v/>
      </c>
      <c r="K1579" s="37">
        <f>TRIM(LEFT(Table3[[#This Row],[Group]],2))</f>
        <v/>
      </c>
      <c r="L1579" s="3" t="inlineStr">
        <is>
          <t>NON SALES</t>
        </is>
      </c>
    </row>
    <row r="1580">
      <c r="A1580" s="5" t="inlineStr">
        <is>
          <t>OP09938</t>
        </is>
      </c>
      <c r="B1580" s="6" t="inlineStr">
        <is>
          <t>Hendra</t>
        </is>
      </c>
      <c r="C1580" s="7" t="inlineStr">
        <is>
          <t>AV - Agen Verified</t>
        </is>
      </c>
      <c r="D1580" s="1" t="inlineStr">
        <is>
          <t>OP08163</t>
        </is>
      </c>
      <c r="E1580" s="8" t="n">
        <v>45247.34930555556</v>
      </c>
      <c r="F1580" s="7" t="inlineStr">
        <is>
          <t>DOWNLINE</t>
        </is>
      </c>
      <c r="G1580" s="18" t="inlineStr">
        <is>
          <t>OP08163</t>
        </is>
      </c>
      <c r="H1580" s="19">
        <f>UPPER(Table3[[#This Row],[Agen id]]&amp;"-"&amp;VLOOKUP(Table3[[#This Row],[Agen id]],A:B,2,0)&amp;"("&amp;Table3[[#This Row],[Short]]&amp;")")</f>
        <v/>
      </c>
      <c r="J1580" s="7">
        <f>VLOOKUP(Table3[[#This Row],[Agen id]],Agen!A:C,3,0)</f>
        <v/>
      </c>
      <c r="K1580" s="37">
        <f>TRIM(LEFT(Table3[[#This Row],[Group]],2))</f>
        <v/>
      </c>
      <c r="L1580" s="3" t="inlineStr">
        <is>
          <t>NON SALES</t>
        </is>
      </c>
    </row>
    <row r="1581">
      <c r="A1581" s="5" t="inlineStr">
        <is>
          <t>OP09940</t>
        </is>
      </c>
      <c r="B1581" s="6" t="inlineStr">
        <is>
          <t>Halimah-Cell</t>
        </is>
      </c>
      <c r="C1581" s="7" t="inlineStr">
        <is>
          <t>AB1 - Agen Kab Bogor</t>
        </is>
      </c>
      <c r="D1581" s="1" t="inlineStr">
        <is>
          <t>OP00996</t>
        </is>
      </c>
      <c r="E1581" s="8" t="n">
        <v>45247.37361111111</v>
      </c>
      <c r="F1581" s="7" t="inlineStr">
        <is>
          <t>DOWNLINE</t>
        </is>
      </c>
      <c r="G1581" s="18" t="inlineStr">
        <is>
          <t>OP00996</t>
        </is>
      </c>
      <c r="H1581" s="19">
        <f>UPPER(Table3[[#This Row],[Agen id]]&amp;"-"&amp;VLOOKUP(Table3[[#This Row],[Agen id]],A:B,2,0)&amp;"("&amp;Table3[[#This Row],[Short]]&amp;")")</f>
        <v/>
      </c>
      <c r="J1581" s="7">
        <f>VLOOKUP(Table3[[#This Row],[Agen id]],Agen!A:C,3,0)</f>
        <v/>
      </c>
      <c r="K1581" s="37">
        <f>TRIM(LEFT(Table3[[#This Row],[Group]],2))</f>
        <v/>
      </c>
      <c r="L1581" s="3" t="inlineStr">
        <is>
          <t>NON SALES</t>
        </is>
      </c>
    </row>
    <row r="1582">
      <c r="A1582" s="5" t="inlineStr">
        <is>
          <t>OP09949</t>
        </is>
      </c>
      <c r="B1582" s="6" t="inlineStr">
        <is>
          <t>dinda</t>
        </is>
      </c>
      <c r="C1582" s="7" t="inlineStr">
        <is>
          <t>A - Agen</t>
        </is>
      </c>
      <c r="D1582" s="1" t="inlineStr">
        <is>
          <t>OP03216</t>
        </is>
      </c>
      <c r="E1582" s="8" t="n">
        <v>45247.6375</v>
      </c>
      <c r="F1582" s="7" t="inlineStr">
        <is>
          <t>DOWNLINE</t>
        </is>
      </c>
      <c r="G1582" s="18" t="inlineStr">
        <is>
          <t>OP00049</t>
        </is>
      </c>
      <c r="H1582" s="19">
        <f>UPPER(Table3[[#This Row],[Agen id]]&amp;"-"&amp;VLOOKUP(Table3[[#This Row],[Agen id]],A:B,2,0)&amp;"("&amp;Table3[[#This Row],[Short]]&amp;")")</f>
        <v/>
      </c>
      <c r="J1582" s="7">
        <f>VLOOKUP(Table3[[#This Row],[Agen id]],Agen!A:C,3,0)</f>
        <v/>
      </c>
      <c r="K1582" s="37">
        <f>TRIM(LEFT(Table3[[#This Row],[Group]],2))</f>
        <v/>
      </c>
      <c r="L1582" s="3" t="inlineStr">
        <is>
          <t>NON SALES</t>
        </is>
      </c>
    </row>
    <row r="1583">
      <c r="A1583" s="5" t="inlineStr">
        <is>
          <t>OP09957</t>
        </is>
      </c>
      <c r="B1583" s="6" t="inlineStr">
        <is>
          <t>TOKO ZAIN</t>
        </is>
      </c>
      <c r="C1583" s="7" t="inlineStr">
        <is>
          <t>AV - Agen Verified</t>
        </is>
      </c>
      <c r="D1583" s="1" t="inlineStr">
        <is>
          <t>OP07087</t>
        </is>
      </c>
      <c r="E1583" s="8" t="n">
        <v>45247.87083333333</v>
      </c>
      <c r="F1583" s="7" t="inlineStr">
        <is>
          <t>DOWNLINE</t>
        </is>
      </c>
      <c r="G1583" s="18" t="inlineStr">
        <is>
          <t>OP00761</t>
        </is>
      </c>
      <c r="H1583" s="19">
        <f>UPPER(Table3[[#This Row],[Agen id]]&amp;"-"&amp;VLOOKUP(Table3[[#This Row],[Agen id]],A:B,2,0)&amp;"("&amp;Table3[[#This Row],[Short]]&amp;")")</f>
        <v/>
      </c>
      <c r="J1583" s="7">
        <f>VLOOKUP(Table3[[#This Row],[Agen id]],Agen!A:C,3,0)</f>
        <v/>
      </c>
      <c r="K1583" s="37">
        <f>TRIM(LEFT(Table3[[#This Row],[Group]],2))</f>
        <v/>
      </c>
      <c r="L1583" s="3" t="inlineStr">
        <is>
          <t>NON SALES</t>
        </is>
      </c>
    </row>
    <row r="1584">
      <c r="A1584" s="5" t="inlineStr">
        <is>
          <t>OP09958</t>
        </is>
      </c>
      <c r="B1584" s="6" t="inlineStr">
        <is>
          <t>Tapis Cell</t>
        </is>
      </c>
      <c r="C1584" s="7" t="inlineStr">
        <is>
          <t>AT1 - Agen Tangerang</t>
        </is>
      </c>
      <c r="D1584" s="1" t="inlineStr">
        <is>
          <t>OP07683</t>
        </is>
      </c>
      <c r="E1584" s="8" t="n">
        <v>45247.87777777778</v>
      </c>
      <c r="F1584" s="7" t="inlineStr">
        <is>
          <t>AGEN</t>
        </is>
      </c>
      <c r="G1584" s="18" t="inlineStr">
        <is>
          <t>OP09958</t>
        </is>
      </c>
      <c r="H1584" s="19">
        <f>UPPER(Table3[[#This Row],[Agen id]]&amp;"-"&amp;VLOOKUP(Table3[[#This Row],[Agen id]],A:B,2,0)&amp;"("&amp;Table3[[#This Row],[Short]]&amp;")")</f>
        <v/>
      </c>
      <c r="J1584" s="7">
        <f>VLOOKUP(Table3[[#This Row],[Agen id]],Agen!A:C,3,0)</f>
        <v/>
      </c>
      <c r="K1584" s="37">
        <f>TRIM(LEFT(Table3[[#This Row],[Group]],2))</f>
        <v/>
      </c>
      <c r="L1584" s="3" t="inlineStr">
        <is>
          <t>AZIZ</t>
        </is>
      </c>
    </row>
    <row r="1585">
      <c r="A1585" s="5" t="inlineStr">
        <is>
          <t>OP09966</t>
        </is>
      </c>
      <c r="B1585" s="6" t="inlineStr">
        <is>
          <t>Miya</t>
        </is>
      </c>
      <c r="C1585" s="7" t="inlineStr">
        <is>
          <t>A - Agen</t>
        </is>
      </c>
      <c r="D1585" s="1" t="inlineStr">
        <is>
          <t>OP00002</t>
        </is>
      </c>
      <c r="E1585" s="8" t="n">
        <v>45248.59791666667</v>
      </c>
      <c r="F1585" s="7" t="inlineStr">
        <is>
          <t>AGEN</t>
        </is>
      </c>
      <c r="G1585" s="18" t="inlineStr">
        <is>
          <t>OP09966</t>
        </is>
      </c>
      <c r="H1585" s="19">
        <f>UPPER(Table3[[#This Row],[Agen id]]&amp;"-"&amp;VLOOKUP(Table3[[#This Row],[Agen id]],A:B,2,0)&amp;"("&amp;Table3[[#This Row],[Short]]&amp;")")</f>
        <v/>
      </c>
      <c r="J1585" s="7">
        <f>VLOOKUP(Table3[[#This Row],[Agen id]],Agen!A:C,3,0)</f>
        <v/>
      </c>
      <c r="K1585" s="37">
        <f>TRIM(LEFT(Table3[[#This Row],[Group]],2))</f>
        <v/>
      </c>
      <c r="L1585" s="3" t="inlineStr">
        <is>
          <t>NON SALES</t>
        </is>
      </c>
    </row>
    <row r="1586">
      <c r="A1586" s="5" t="inlineStr">
        <is>
          <t>OP09976</t>
        </is>
      </c>
      <c r="B1586" s="6" t="inlineStr">
        <is>
          <t>Nabil</t>
        </is>
      </c>
      <c r="C1586" s="7" t="inlineStr">
        <is>
          <t>A - Agen</t>
        </is>
      </c>
      <c r="D1586" s="1" t="inlineStr">
        <is>
          <t>OP00002</t>
        </is>
      </c>
      <c r="E1586" s="8" t="n">
        <v>45249.31597222222</v>
      </c>
      <c r="F1586" s="7" t="inlineStr">
        <is>
          <t>AGEN</t>
        </is>
      </c>
      <c r="G1586" s="18" t="inlineStr">
        <is>
          <t>OP09976</t>
        </is>
      </c>
      <c r="H1586" s="19">
        <f>UPPER(Table3[[#This Row],[Agen id]]&amp;"-"&amp;VLOOKUP(Table3[[#This Row],[Agen id]],A:B,2,0)&amp;"("&amp;Table3[[#This Row],[Short]]&amp;")")</f>
        <v/>
      </c>
      <c r="J1586" s="7">
        <f>VLOOKUP(Table3[[#This Row],[Agen id]],Agen!A:C,3,0)</f>
        <v/>
      </c>
      <c r="K1586" s="37">
        <f>TRIM(LEFT(Table3[[#This Row],[Group]],2))</f>
        <v/>
      </c>
      <c r="L1586" s="3" t="inlineStr">
        <is>
          <t>NON SALES</t>
        </is>
      </c>
    </row>
    <row r="1587">
      <c r="A1587" s="5" t="inlineStr">
        <is>
          <t>OP09988</t>
        </is>
      </c>
      <c r="B1587" s="6" t="inlineStr">
        <is>
          <t>isha</t>
        </is>
      </c>
      <c r="C1587" s="7" t="inlineStr">
        <is>
          <t>A - Agen</t>
        </is>
      </c>
      <c r="D1587" s="1" t="inlineStr">
        <is>
          <t>OP04706</t>
        </is>
      </c>
      <c r="E1587" s="8" t="n">
        <v>45250.37430555555</v>
      </c>
      <c r="F1587" s="7" t="inlineStr">
        <is>
          <t>DOWNLINE</t>
        </is>
      </c>
      <c r="G1587" s="18" t="inlineStr">
        <is>
          <t>OP04706</t>
        </is>
      </c>
      <c r="H1587" s="19">
        <f>UPPER(Table3[[#This Row],[Agen id]]&amp;"-"&amp;VLOOKUP(Table3[[#This Row],[Agen id]],A:B,2,0)&amp;"("&amp;Table3[[#This Row],[Short]]&amp;")")</f>
        <v/>
      </c>
      <c r="J1587" s="7">
        <f>VLOOKUP(Table3[[#This Row],[Agen id]],Agen!A:C,3,0)</f>
        <v/>
      </c>
      <c r="K1587" s="37">
        <f>TRIM(LEFT(Table3[[#This Row],[Group]],2))</f>
        <v/>
      </c>
      <c r="L1587" s="3" t="inlineStr">
        <is>
          <t>NON SALES</t>
        </is>
      </c>
    </row>
    <row r="1588">
      <c r="A1588" s="5" t="inlineStr">
        <is>
          <t>OP09993</t>
        </is>
      </c>
      <c r="B1588" s="6" t="inlineStr">
        <is>
          <t>Syifa cell</t>
        </is>
      </c>
      <c r="C1588" s="7" t="inlineStr">
        <is>
          <t>A - Agen</t>
        </is>
      </c>
      <c r="D1588" s="1" t="inlineStr">
        <is>
          <t>OP00036</t>
        </is>
      </c>
      <c r="E1588" s="8" t="n">
        <v>45250.58402777778</v>
      </c>
      <c r="F1588" s="7" t="inlineStr">
        <is>
          <t>DOWNLINE</t>
        </is>
      </c>
      <c r="G1588" s="18" t="inlineStr">
        <is>
          <t>OP00036</t>
        </is>
      </c>
      <c r="H1588" s="19">
        <f>UPPER(Table3[[#This Row],[Agen id]]&amp;"-"&amp;VLOOKUP(Table3[[#This Row],[Agen id]],A:B,2,0)&amp;"("&amp;Table3[[#This Row],[Short]]&amp;")")</f>
        <v/>
      </c>
      <c r="J1588" s="7">
        <f>VLOOKUP(Table3[[#This Row],[Agen id]],Agen!A:C,3,0)</f>
        <v/>
      </c>
      <c r="K1588" s="37">
        <f>TRIM(LEFT(Table3[[#This Row],[Group]],2))</f>
        <v/>
      </c>
      <c r="L1588" s="3" t="inlineStr">
        <is>
          <t>NON SALES</t>
        </is>
      </c>
    </row>
    <row r="1589">
      <c r="A1589" s="5" t="inlineStr">
        <is>
          <t>OP09996</t>
        </is>
      </c>
      <c r="B1589" s="6" t="inlineStr">
        <is>
          <t>IG CELL</t>
        </is>
      </c>
      <c r="C1589" s="7" t="inlineStr">
        <is>
          <t>AT1 - Agen Tangerang</t>
        </is>
      </c>
      <c r="D1589" s="1" t="inlineStr">
        <is>
          <t>OP07683</t>
        </is>
      </c>
      <c r="E1589" s="8" t="n">
        <v>45250.76041666666</v>
      </c>
      <c r="F1589" s="7" t="inlineStr">
        <is>
          <t>AGEN</t>
        </is>
      </c>
      <c r="G1589" s="18" t="inlineStr">
        <is>
          <t>OP09996</t>
        </is>
      </c>
      <c r="H1589" s="19">
        <f>UPPER(Table3[[#This Row],[Agen id]]&amp;"-"&amp;VLOOKUP(Table3[[#This Row],[Agen id]],A:B,2,0)&amp;"("&amp;Table3[[#This Row],[Short]]&amp;")")</f>
        <v/>
      </c>
      <c r="J1589" s="7">
        <f>VLOOKUP(Table3[[#This Row],[Agen id]],Agen!A:C,3,0)</f>
        <v/>
      </c>
      <c r="K1589" s="37">
        <f>TRIM(LEFT(Table3[[#This Row],[Group]],2))</f>
        <v/>
      </c>
      <c r="L1589" s="3" t="inlineStr">
        <is>
          <t>AZIZ</t>
        </is>
      </c>
    </row>
    <row r="1590">
      <c r="A1590" s="5" t="inlineStr">
        <is>
          <t>OP10000</t>
        </is>
      </c>
      <c r="B1590" s="6" t="inlineStr">
        <is>
          <t>ATIN KURNIAYIN</t>
        </is>
      </c>
      <c r="C1590" s="7" t="inlineStr">
        <is>
          <t>A - Agen</t>
        </is>
      </c>
      <c r="D1590" s="1" t="inlineStr">
        <is>
          <t>OP00615</t>
        </is>
      </c>
      <c r="E1590" s="8" t="n">
        <v>45250.86180555556</v>
      </c>
      <c r="F1590" s="7" t="inlineStr">
        <is>
          <t>DOWNLINE</t>
        </is>
      </c>
      <c r="G1590" s="18" t="inlineStr">
        <is>
          <t>OP00049</t>
        </is>
      </c>
      <c r="H1590" s="19">
        <f>UPPER(Table3[[#This Row],[Agen id]]&amp;"-"&amp;VLOOKUP(Table3[[#This Row],[Agen id]],A:B,2,0)&amp;"("&amp;Table3[[#This Row],[Short]]&amp;")")</f>
        <v/>
      </c>
      <c r="J1590" s="7">
        <f>VLOOKUP(Table3[[#This Row],[Agen id]],Agen!A:C,3,0)</f>
        <v/>
      </c>
      <c r="K1590" s="37">
        <f>TRIM(LEFT(Table3[[#This Row],[Group]],2))</f>
        <v/>
      </c>
      <c r="L1590" s="3" t="inlineStr">
        <is>
          <t>NON SALES</t>
        </is>
      </c>
    </row>
    <row r="1591">
      <c r="A1591" s="5" t="inlineStr">
        <is>
          <t>OP10032</t>
        </is>
      </c>
      <c r="B1591" s="6" t="inlineStr">
        <is>
          <t>Farhan Fadilah</t>
        </is>
      </c>
      <c r="C1591" s="7" t="inlineStr">
        <is>
          <t>A - Agen</t>
        </is>
      </c>
      <c r="D1591" s="1" t="inlineStr">
        <is>
          <t>OP00002</t>
        </is>
      </c>
      <c r="E1591" s="8" t="n">
        <v>45253.62222222222</v>
      </c>
      <c r="F1591" s="7" t="inlineStr">
        <is>
          <t>AGEN</t>
        </is>
      </c>
      <c r="G1591" s="18" t="inlineStr">
        <is>
          <t>OP10032</t>
        </is>
      </c>
      <c r="H1591" s="19">
        <f>UPPER(Table3[[#This Row],[Agen id]]&amp;"-"&amp;VLOOKUP(Table3[[#This Row],[Agen id]],A:B,2,0)&amp;"("&amp;Table3[[#This Row],[Short]]&amp;")")</f>
        <v/>
      </c>
      <c r="J1591" s="7">
        <f>VLOOKUP(Table3[[#This Row],[Agen id]],Agen!A:C,3,0)</f>
        <v/>
      </c>
      <c r="K1591" s="37">
        <f>TRIM(LEFT(Table3[[#This Row],[Group]],2))</f>
        <v/>
      </c>
      <c r="L1591" s="3" t="inlineStr">
        <is>
          <t>NON SALES</t>
        </is>
      </c>
    </row>
    <row r="1592">
      <c r="A1592" s="5" t="inlineStr">
        <is>
          <t>OP10036</t>
        </is>
      </c>
      <c r="B1592" s="6" t="inlineStr">
        <is>
          <t>Aurel cell</t>
        </is>
      </c>
      <c r="C1592" s="7" t="inlineStr">
        <is>
          <t>AV - Agen Verified</t>
        </is>
      </c>
      <c r="D1592" s="1" t="inlineStr">
        <is>
          <t>OP00180</t>
        </is>
      </c>
      <c r="E1592" s="8" t="n">
        <v>45254.30486111111</v>
      </c>
      <c r="F1592" s="7" t="inlineStr">
        <is>
          <t>DOWNLINE</t>
        </is>
      </c>
      <c r="G1592" s="18" t="inlineStr">
        <is>
          <t>OP00180</t>
        </is>
      </c>
      <c r="H1592" s="19">
        <f>UPPER(Table3[[#This Row],[Agen id]]&amp;"-"&amp;VLOOKUP(Table3[[#This Row],[Agen id]],A:B,2,0)&amp;"("&amp;Table3[[#This Row],[Short]]&amp;")")</f>
        <v/>
      </c>
      <c r="J1592" s="7">
        <f>VLOOKUP(Table3[[#This Row],[Agen id]],Agen!A:C,3,0)</f>
        <v/>
      </c>
      <c r="K1592" s="37">
        <f>TRIM(LEFT(Table3[[#This Row],[Group]],2))</f>
        <v/>
      </c>
      <c r="L1592" s="3" t="inlineStr">
        <is>
          <t>NON SALES</t>
        </is>
      </c>
    </row>
    <row r="1593">
      <c r="A1593" s="5" t="inlineStr">
        <is>
          <t>OP10037</t>
        </is>
      </c>
      <c r="B1593" s="6" t="inlineStr">
        <is>
          <t>Ratnah</t>
        </is>
      </c>
      <c r="C1593" s="7" t="inlineStr">
        <is>
          <t>A - Agen</t>
        </is>
      </c>
      <c r="D1593" s="1" t="inlineStr">
        <is>
          <t>OP00091</t>
        </is>
      </c>
      <c r="E1593" s="8" t="n">
        <v>45254.31597222222</v>
      </c>
      <c r="F1593" s="7" t="inlineStr">
        <is>
          <t>DOWNLINE</t>
        </is>
      </c>
      <c r="G1593" s="18" t="inlineStr">
        <is>
          <t>OP00091</t>
        </is>
      </c>
      <c r="H1593" s="19">
        <f>UPPER(Table3[[#This Row],[Agen id]]&amp;"-"&amp;VLOOKUP(Table3[[#This Row],[Agen id]],A:B,2,0)&amp;"("&amp;Table3[[#This Row],[Short]]&amp;")")</f>
        <v/>
      </c>
      <c r="J1593" s="7">
        <f>VLOOKUP(Table3[[#This Row],[Agen id]],Agen!A:C,3,0)</f>
        <v/>
      </c>
      <c r="K1593" s="37">
        <f>TRIM(LEFT(Table3[[#This Row],[Group]],2))</f>
        <v/>
      </c>
      <c r="L1593" s="3" t="inlineStr">
        <is>
          <t>NON SALES</t>
        </is>
      </c>
    </row>
    <row r="1594">
      <c r="A1594" s="5" t="inlineStr">
        <is>
          <t>OP10038</t>
        </is>
      </c>
      <c r="B1594" s="6" t="inlineStr">
        <is>
          <t>Toko AGUS</t>
        </is>
      </c>
      <c r="C1594" s="7" t="inlineStr">
        <is>
          <t>A - Agen</t>
        </is>
      </c>
      <c r="D1594" s="1" t="inlineStr">
        <is>
          <t>OP00002</t>
        </is>
      </c>
      <c r="E1594" s="8" t="n">
        <v>45254.31597222222</v>
      </c>
      <c r="F1594" s="7" t="inlineStr">
        <is>
          <t>AGEN</t>
        </is>
      </c>
      <c r="G1594" s="18" t="inlineStr">
        <is>
          <t>OP10038</t>
        </is>
      </c>
      <c r="H1594" s="19">
        <f>UPPER(Table3[[#This Row],[Agen id]]&amp;"-"&amp;VLOOKUP(Table3[[#This Row],[Agen id]],A:B,2,0)&amp;"("&amp;Table3[[#This Row],[Short]]&amp;")")</f>
        <v/>
      </c>
      <c r="J1594" s="7">
        <f>VLOOKUP(Table3[[#This Row],[Agen id]],Agen!A:C,3,0)</f>
        <v/>
      </c>
      <c r="K1594" s="37">
        <f>TRIM(LEFT(Table3[[#This Row],[Group]],2))</f>
        <v/>
      </c>
      <c r="L1594" s="3" t="inlineStr">
        <is>
          <t>NON SALES</t>
        </is>
      </c>
    </row>
    <row r="1595">
      <c r="A1595" s="5" t="inlineStr">
        <is>
          <t>OP10041</t>
        </is>
      </c>
      <c r="B1595" s="6" t="inlineStr">
        <is>
          <t>Rafencell</t>
        </is>
      </c>
      <c r="C1595" s="7" t="inlineStr">
        <is>
          <t>A - Agen</t>
        </is>
      </c>
      <c r="D1595" s="1" t="inlineStr">
        <is>
          <t>OP00996</t>
        </is>
      </c>
      <c r="E1595" s="8" t="n">
        <v>45254.35416666666</v>
      </c>
      <c r="F1595" s="7" t="inlineStr">
        <is>
          <t>DOWNLINE</t>
        </is>
      </c>
      <c r="G1595" s="18" t="inlineStr">
        <is>
          <t>OP00996</t>
        </is>
      </c>
      <c r="H1595" s="19">
        <f>UPPER(Table3[[#This Row],[Agen id]]&amp;"-"&amp;VLOOKUP(Table3[[#This Row],[Agen id]],A:B,2,0)&amp;"("&amp;Table3[[#This Row],[Short]]&amp;")")</f>
        <v/>
      </c>
      <c r="J1595" s="7">
        <f>VLOOKUP(Table3[[#This Row],[Agen id]],Agen!A:C,3,0)</f>
        <v/>
      </c>
      <c r="K1595" s="37">
        <f>TRIM(LEFT(Table3[[#This Row],[Group]],2))</f>
        <v/>
      </c>
      <c r="L1595" s="3" t="inlineStr">
        <is>
          <t>NON SALES</t>
        </is>
      </c>
    </row>
    <row r="1596">
      <c r="A1596" s="5" t="inlineStr">
        <is>
          <t>OP10044</t>
        </is>
      </c>
      <c r="B1596" s="6" t="inlineStr">
        <is>
          <t>Pratama cell</t>
        </is>
      </c>
      <c r="C1596" s="7" t="inlineStr">
        <is>
          <t>AV - Agen Verified</t>
        </is>
      </c>
      <c r="D1596" s="1" t="inlineStr">
        <is>
          <t>OP08054</t>
        </is>
      </c>
      <c r="E1596" s="8" t="n">
        <v>45254.61319444444</v>
      </c>
      <c r="F1596" s="7" t="inlineStr">
        <is>
          <t>DOWNLINE</t>
        </is>
      </c>
      <c r="G1596" s="18" t="inlineStr">
        <is>
          <t>OP00049</t>
        </is>
      </c>
      <c r="H1596" s="19">
        <f>UPPER(Table3[[#This Row],[Agen id]]&amp;"-"&amp;VLOOKUP(Table3[[#This Row],[Agen id]],A:B,2,0)&amp;"("&amp;Table3[[#This Row],[Short]]&amp;")")</f>
        <v/>
      </c>
      <c r="J1596" s="7">
        <f>VLOOKUP(Table3[[#This Row],[Agen id]],Agen!A:C,3,0)</f>
        <v/>
      </c>
      <c r="K1596" s="37">
        <f>TRIM(LEFT(Table3[[#This Row],[Group]],2))</f>
        <v/>
      </c>
      <c r="L1596" s="3" t="inlineStr">
        <is>
          <t>NON SALES</t>
        </is>
      </c>
    </row>
    <row r="1597">
      <c r="A1597" s="5" t="inlineStr">
        <is>
          <t>OP10050</t>
        </is>
      </c>
      <c r="B1597" s="6" t="inlineStr">
        <is>
          <t>MIA CELL</t>
        </is>
      </c>
      <c r="C1597" s="7" t="inlineStr">
        <is>
          <t>AV - Agen Verified</t>
        </is>
      </c>
      <c r="D1597" s="1" t="inlineStr">
        <is>
          <t>OP00002</t>
        </is>
      </c>
      <c r="E1597" s="8" t="n">
        <v>45255.32222222222</v>
      </c>
      <c r="F1597" s="7" t="inlineStr">
        <is>
          <t>AGEN</t>
        </is>
      </c>
      <c r="G1597" s="18" t="inlineStr">
        <is>
          <t>OP10050</t>
        </is>
      </c>
      <c r="H1597" s="19">
        <f>UPPER(Table3[[#This Row],[Agen id]]&amp;"-"&amp;VLOOKUP(Table3[[#This Row],[Agen id]],A:B,2,0)&amp;"("&amp;Table3[[#This Row],[Short]]&amp;")")</f>
        <v/>
      </c>
      <c r="J1597" s="7">
        <f>VLOOKUP(Table3[[#This Row],[Agen id]],Agen!A:C,3,0)</f>
        <v/>
      </c>
      <c r="K1597" s="37">
        <f>TRIM(LEFT(Table3[[#This Row],[Group]],2))</f>
        <v/>
      </c>
      <c r="L1597" s="3" t="inlineStr">
        <is>
          <t>NON SALES</t>
        </is>
      </c>
    </row>
    <row r="1598">
      <c r="A1598" s="5" t="inlineStr">
        <is>
          <t>OP10060</t>
        </is>
      </c>
      <c r="B1598" s="6" t="inlineStr">
        <is>
          <t>MIA CELL</t>
        </is>
      </c>
      <c r="C1598" s="7" t="inlineStr">
        <is>
          <t>AV - Agen Verified</t>
        </is>
      </c>
      <c r="D1598" s="1" t="inlineStr">
        <is>
          <t>OP00002</t>
        </is>
      </c>
      <c r="E1598" s="8" t="n">
        <v>45255.90486111111</v>
      </c>
      <c r="F1598" s="7" t="inlineStr">
        <is>
          <t>AGEN</t>
        </is>
      </c>
      <c r="G1598" s="18" t="inlineStr">
        <is>
          <t>OP10060</t>
        </is>
      </c>
      <c r="H1598" s="19">
        <f>UPPER(Table3[[#This Row],[Agen id]]&amp;"-"&amp;VLOOKUP(Table3[[#This Row],[Agen id]],A:B,2,0)&amp;"("&amp;Table3[[#This Row],[Short]]&amp;")")</f>
        <v/>
      </c>
      <c r="J1598" s="7">
        <f>VLOOKUP(Table3[[#This Row],[Agen id]],Agen!A:C,3,0)</f>
        <v/>
      </c>
      <c r="K1598" s="37">
        <f>TRIM(LEFT(Table3[[#This Row],[Group]],2))</f>
        <v/>
      </c>
      <c r="L1598" s="3" t="inlineStr">
        <is>
          <t>NON SALES</t>
        </is>
      </c>
    </row>
    <row r="1599">
      <c r="A1599" s="5" t="inlineStr">
        <is>
          <t>OP10063</t>
        </is>
      </c>
      <c r="B1599" s="6" t="inlineStr">
        <is>
          <t>Rimba cell</t>
        </is>
      </c>
      <c r="C1599" s="7" t="inlineStr">
        <is>
          <t>A - Agen</t>
        </is>
      </c>
      <c r="D1599" s="1" t="inlineStr">
        <is>
          <t>OP00996</t>
        </is>
      </c>
      <c r="E1599" s="8" t="n">
        <v>45256.28888888889</v>
      </c>
      <c r="F1599" s="7" t="inlineStr">
        <is>
          <t>DOWNLINE</t>
        </is>
      </c>
      <c r="G1599" s="18" t="inlineStr">
        <is>
          <t>OP00996</t>
        </is>
      </c>
      <c r="H1599" s="19">
        <f>UPPER(Table3[[#This Row],[Agen id]]&amp;"-"&amp;VLOOKUP(Table3[[#This Row],[Agen id]],A:B,2,0)&amp;"("&amp;Table3[[#This Row],[Short]]&amp;")")</f>
        <v/>
      </c>
      <c r="J1599" s="7">
        <f>VLOOKUP(Table3[[#This Row],[Agen id]],Agen!A:C,3,0)</f>
        <v/>
      </c>
      <c r="K1599" s="37">
        <f>TRIM(LEFT(Table3[[#This Row],[Group]],2))</f>
        <v/>
      </c>
      <c r="L1599" s="3" t="inlineStr">
        <is>
          <t>NON SALES</t>
        </is>
      </c>
    </row>
    <row r="1600">
      <c r="A1600" s="5" t="inlineStr">
        <is>
          <t>OP10065</t>
        </is>
      </c>
      <c r="B1600" s="6" t="inlineStr">
        <is>
          <t>Aryfarer</t>
        </is>
      </c>
      <c r="C1600" s="7" t="inlineStr">
        <is>
          <t>AV - Agen Verified</t>
        </is>
      </c>
      <c r="D1600" s="1" t="inlineStr">
        <is>
          <t>OP00002</t>
        </is>
      </c>
      <c r="E1600" s="8" t="n">
        <v>45256.37916666667</v>
      </c>
      <c r="F1600" s="7" t="inlineStr">
        <is>
          <t>AGEN</t>
        </is>
      </c>
      <c r="G1600" s="18" t="inlineStr">
        <is>
          <t>OP10065</t>
        </is>
      </c>
      <c r="H1600" s="19">
        <f>UPPER(Table3[[#This Row],[Agen id]]&amp;"-"&amp;VLOOKUP(Table3[[#This Row],[Agen id]],A:B,2,0)&amp;"("&amp;Table3[[#This Row],[Short]]&amp;")")</f>
        <v/>
      </c>
      <c r="J1600" s="7">
        <f>VLOOKUP(Table3[[#This Row],[Agen id]],Agen!A:C,3,0)</f>
        <v/>
      </c>
      <c r="K1600" s="37">
        <f>TRIM(LEFT(Table3[[#This Row],[Group]],2))</f>
        <v/>
      </c>
      <c r="L1600" s="3" t="inlineStr">
        <is>
          <t>NON SALES</t>
        </is>
      </c>
    </row>
    <row r="1601">
      <c r="A1601" s="5" t="inlineStr">
        <is>
          <t>OP10067</t>
        </is>
      </c>
      <c r="B1601" s="6" t="inlineStr">
        <is>
          <t>nerlyn antula</t>
        </is>
      </c>
      <c r="C1601" s="7" t="inlineStr">
        <is>
          <t>A - Agen</t>
        </is>
      </c>
      <c r="D1601" s="1" t="inlineStr">
        <is>
          <t>OP04706</t>
        </is>
      </c>
      <c r="E1601" s="8" t="n">
        <v>45256.45902777778</v>
      </c>
      <c r="F1601" s="7" t="inlineStr">
        <is>
          <t>DOWNLINE</t>
        </is>
      </c>
      <c r="G1601" s="18" t="inlineStr">
        <is>
          <t>OP04706</t>
        </is>
      </c>
      <c r="H1601" s="19">
        <f>UPPER(Table3[[#This Row],[Agen id]]&amp;"-"&amp;VLOOKUP(Table3[[#This Row],[Agen id]],A:B,2,0)&amp;"("&amp;Table3[[#This Row],[Short]]&amp;")")</f>
        <v/>
      </c>
      <c r="J1601" s="7">
        <f>VLOOKUP(Table3[[#This Row],[Agen id]],Agen!A:C,3,0)</f>
        <v/>
      </c>
      <c r="K1601" s="37">
        <f>TRIM(LEFT(Table3[[#This Row],[Group]],2))</f>
        <v/>
      </c>
      <c r="L1601" s="3" t="inlineStr">
        <is>
          <t>NON SALES</t>
        </is>
      </c>
    </row>
    <row r="1602">
      <c r="A1602" s="5" t="inlineStr">
        <is>
          <t>OP10074</t>
        </is>
      </c>
      <c r="B1602" s="6" t="inlineStr">
        <is>
          <t>4 SAUDARA</t>
        </is>
      </c>
      <c r="C1602" s="7" t="inlineStr">
        <is>
          <t>AT1 - Agen Tangerang</t>
        </is>
      </c>
      <c r="D1602" s="1" t="inlineStr">
        <is>
          <t>OP07683</t>
        </is>
      </c>
      <c r="E1602" s="8" t="n">
        <v>45256.73402777778</v>
      </c>
      <c r="F1602" s="7" t="inlineStr">
        <is>
          <t>AGEN</t>
        </is>
      </c>
      <c r="G1602" s="18" t="inlineStr">
        <is>
          <t>OP10074</t>
        </is>
      </c>
      <c r="H1602" s="19">
        <f>UPPER(Table3[[#This Row],[Agen id]]&amp;"-"&amp;VLOOKUP(Table3[[#This Row],[Agen id]],A:B,2,0)&amp;"("&amp;Table3[[#This Row],[Short]]&amp;")")</f>
        <v/>
      </c>
      <c r="J1602" s="7">
        <f>VLOOKUP(Table3[[#This Row],[Agen id]],Agen!A:C,3,0)</f>
        <v/>
      </c>
      <c r="K1602" s="37">
        <f>TRIM(LEFT(Table3[[#This Row],[Group]],2))</f>
        <v/>
      </c>
      <c r="L1602" s="3" t="inlineStr">
        <is>
          <t>AZIZ</t>
        </is>
      </c>
    </row>
    <row r="1603">
      <c r="A1603" s="5" t="inlineStr">
        <is>
          <t>OP10085</t>
        </is>
      </c>
      <c r="B1603" s="6" t="inlineStr">
        <is>
          <t>Attatic Cell</t>
        </is>
      </c>
      <c r="C1603" s="7" t="inlineStr">
        <is>
          <t>AB1 - Agen Kab Bogor</t>
        </is>
      </c>
      <c r="D1603" s="1" t="inlineStr">
        <is>
          <t>OP07367</t>
        </is>
      </c>
      <c r="E1603" s="8" t="n">
        <v>45257.60416666666</v>
      </c>
      <c r="F1603" s="7" t="inlineStr">
        <is>
          <t>AGEN</t>
        </is>
      </c>
      <c r="G1603" s="18" t="inlineStr">
        <is>
          <t>OP10085</t>
        </is>
      </c>
      <c r="H1603" s="19">
        <f>UPPER(Table3[[#This Row],[Agen id]]&amp;"-"&amp;VLOOKUP(Table3[[#This Row],[Agen id]],A:B,2,0)&amp;"("&amp;Table3[[#This Row],[Short]]&amp;")")</f>
        <v/>
      </c>
      <c r="J1603" s="7">
        <f>VLOOKUP(Table3[[#This Row],[Agen id]],Agen!A:C,3,0)</f>
        <v/>
      </c>
      <c r="K1603" s="37">
        <f>TRIM(LEFT(Table3[[#This Row],[Group]],2))</f>
        <v/>
      </c>
      <c r="L1603" s="3" t="inlineStr">
        <is>
          <t>ARIS</t>
        </is>
      </c>
    </row>
    <row r="1604">
      <c r="A1604" s="5" t="inlineStr">
        <is>
          <t>OP10086</t>
        </is>
      </c>
      <c r="B1604" s="6" t="inlineStr">
        <is>
          <t>Hani</t>
        </is>
      </c>
      <c r="C1604" s="7" t="inlineStr">
        <is>
          <t>AV - Agen Verified</t>
        </is>
      </c>
      <c r="D1604" s="1" t="inlineStr">
        <is>
          <t>OP00003</t>
        </is>
      </c>
      <c r="E1604" s="8" t="n">
        <v>45257.62152777778</v>
      </c>
      <c r="F1604" s="7" t="inlineStr">
        <is>
          <t>AGEN</t>
        </is>
      </c>
      <c r="G1604" s="18" t="inlineStr">
        <is>
          <t>OP10086</t>
        </is>
      </c>
      <c r="H1604" s="19">
        <f>UPPER(Table3[[#This Row],[Agen id]]&amp;"-"&amp;VLOOKUP(Table3[[#This Row],[Agen id]],A:B,2,0)&amp;"("&amp;Table3[[#This Row],[Short]]&amp;")")</f>
        <v/>
      </c>
      <c r="J1604" s="7">
        <f>VLOOKUP(Table3[[#This Row],[Agen id]],Agen!A:C,3,0)</f>
        <v/>
      </c>
      <c r="K1604" s="37">
        <f>TRIM(LEFT(Table3[[#This Row],[Group]],2))</f>
        <v/>
      </c>
      <c r="L1604" s="3" t="inlineStr">
        <is>
          <t>NON SALES</t>
        </is>
      </c>
    </row>
    <row r="1605">
      <c r="A1605" s="5" t="inlineStr">
        <is>
          <t>OP10096</t>
        </is>
      </c>
      <c r="B1605" s="6" t="inlineStr">
        <is>
          <t>My Cell</t>
        </is>
      </c>
      <c r="C1605" s="7" t="inlineStr">
        <is>
          <t>AV - Agen Verified</t>
        </is>
      </c>
      <c r="D1605" s="1" t="inlineStr">
        <is>
          <t>OP08206</t>
        </is>
      </c>
      <c r="E1605" s="8" t="n">
        <v>45258.44791666666</v>
      </c>
      <c r="F1605" s="7" t="inlineStr">
        <is>
          <t>DOWNLINE</t>
        </is>
      </c>
      <c r="G1605" s="18" t="inlineStr">
        <is>
          <t>OP08206</t>
        </is>
      </c>
      <c r="H1605" s="19">
        <f>UPPER(Table3[[#This Row],[Agen id]]&amp;"-"&amp;VLOOKUP(Table3[[#This Row],[Agen id]],A:B,2,0)&amp;"("&amp;Table3[[#This Row],[Short]]&amp;")")</f>
        <v/>
      </c>
      <c r="J1605" s="7">
        <f>VLOOKUP(Table3[[#This Row],[Agen id]],Agen!A:C,3,0)</f>
        <v/>
      </c>
      <c r="K1605" s="37">
        <f>TRIM(LEFT(Table3[[#This Row],[Group]],2))</f>
        <v/>
      </c>
      <c r="L1605" s="3" t="inlineStr">
        <is>
          <t>NON SALES</t>
        </is>
      </c>
    </row>
    <row r="1606">
      <c r="A1606" s="5" t="inlineStr">
        <is>
          <t>OP10099</t>
        </is>
      </c>
      <c r="B1606" s="6" t="inlineStr">
        <is>
          <t>Lita</t>
        </is>
      </c>
      <c r="C1606" s="7" t="inlineStr">
        <is>
          <t>A - Agen</t>
        </is>
      </c>
      <c r="D1606" s="1" t="inlineStr">
        <is>
          <t>OP00003</t>
        </is>
      </c>
      <c r="E1606" s="8" t="n">
        <v>45258.55416666667</v>
      </c>
      <c r="F1606" s="7" t="inlineStr">
        <is>
          <t>AGEN</t>
        </is>
      </c>
      <c r="G1606" s="18" t="inlineStr">
        <is>
          <t>OP10099</t>
        </is>
      </c>
      <c r="H1606" s="19">
        <f>UPPER(Table3[[#This Row],[Agen id]]&amp;"-"&amp;VLOOKUP(Table3[[#This Row],[Agen id]],A:B,2,0)&amp;"("&amp;Table3[[#This Row],[Short]]&amp;")")</f>
        <v/>
      </c>
      <c r="J1606" s="7">
        <f>VLOOKUP(Table3[[#This Row],[Agen id]],Agen!A:C,3,0)</f>
        <v/>
      </c>
      <c r="K1606" s="37">
        <f>TRIM(LEFT(Table3[[#This Row],[Group]],2))</f>
        <v/>
      </c>
      <c r="L1606" s="3" t="inlineStr">
        <is>
          <t>NON SALES</t>
        </is>
      </c>
    </row>
    <row r="1607">
      <c r="A1607" s="5" t="inlineStr">
        <is>
          <t>OP10102</t>
        </is>
      </c>
      <c r="B1607" s="6" t="inlineStr">
        <is>
          <t>Abah Lilo</t>
        </is>
      </c>
      <c r="C1607" s="7" t="inlineStr">
        <is>
          <t>A - Agen</t>
        </is>
      </c>
      <c r="D1607" s="1" t="inlineStr">
        <is>
          <t>OP00002</t>
        </is>
      </c>
      <c r="E1607" s="8" t="n">
        <v>45259.24027777778</v>
      </c>
      <c r="F1607" s="7" t="inlineStr">
        <is>
          <t>AGEN</t>
        </is>
      </c>
      <c r="G1607" s="18" t="inlineStr">
        <is>
          <t>OP10102</t>
        </is>
      </c>
      <c r="H1607" s="19">
        <f>UPPER(Table3[[#This Row],[Agen id]]&amp;"-"&amp;VLOOKUP(Table3[[#This Row],[Agen id]],A:B,2,0)&amp;"("&amp;Table3[[#This Row],[Short]]&amp;")")</f>
        <v/>
      </c>
      <c r="J1607" s="7">
        <f>VLOOKUP(Table3[[#This Row],[Agen id]],Agen!A:C,3,0)</f>
        <v/>
      </c>
      <c r="K1607" s="37">
        <f>TRIM(LEFT(Table3[[#This Row],[Group]],2))</f>
        <v/>
      </c>
      <c r="L1607" s="3" t="inlineStr">
        <is>
          <t>NON SALES</t>
        </is>
      </c>
    </row>
    <row r="1608">
      <c r="A1608" s="5" t="inlineStr">
        <is>
          <t>OP10107</t>
        </is>
      </c>
      <c r="B1608" s="6" t="inlineStr">
        <is>
          <t>Zahra cell</t>
        </is>
      </c>
      <c r="C1608" s="7" t="inlineStr">
        <is>
          <t>AV - Agen Verified</t>
        </is>
      </c>
      <c r="D1608" s="1" t="inlineStr">
        <is>
          <t>OP08054</t>
        </is>
      </c>
      <c r="E1608" s="8" t="n">
        <v>45259.61597222222</v>
      </c>
      <c r="F1608" s="7" t="inlineStr">
        <is>
          <t>DOWNLINE</t>
        </is>
      </c>
      <c r="G1608" s="18" t="inlineStr">
        <is>
          <t>OP00049</t>
        </is>
      </c>
      <c r="H1608" s="19">
        <f>UPPER(Table3[[#This Row],[Agen id]]&amp;"-"&amp;VLOOKUP(Table3[[#This Row],[Agen id]],A:B,2,0)&amp;"("&amp;Table3[[#This Row],[Short]]&amp;")")</f>
        <v/>
      </c>
      <c r="J1608" s="7">
        <f>VLOOKUP(Table3[[#This Row],[Agen id]],Agen!A:C,3,0)</f>
        <v/>
      </c>
      <c r="K1608" s="37">
        <f>TRIM(LEFT(Table3[[#This Row],[Group]],2))</f>
        <v/>
      </c>
      <c r="L1608" s="3" t="inlineStr">
        <is>
          <t>NON SALES</t>
        </is>
      </c>
    </row>
    <row r="1609">
      <c r="A1609" s="5" t="inlineStr">
        <is>
          <t>OP10109</t>
        </is>
      </c>
      <c r="B1609" s="6" t="inlineStr">
        <is>
          <t>Adi</t>
        </is>
      </c>
      <c r="C1609" s="7" t="inlineStr">
        <is>
          <t>AT1 - Agen Tangerang</t>
        </is>
      </c>
      <c r="D1609" s="1" t="inlineStr">
        <is>
          <t>OP07683</t>
        </is>
      </c>
      <c r="E1609" s="8" t="n">
        <v>45259.79305555556</v>
      </c>
      <c r="F1609" s="7" t="inlineStr">
        <is>
          <t>AGEN</t>
        </is>
      </c>
      <c r="G1609" s="18" t="inlineStr">
        <is>
          <t>OP10109</t>
        </is>
      </c>
      <c r="H1609" s="19">
        <f>UPPER(Table3[[#This Row],[Agen id]]&amp;"-"&amp;VLOOKUP(Table3[[#This Row],[Agen id]],A:B,2,0)&amp;"("&amp;Table3[[#This Row],[Short]]&amp;")")</f>
        <v/>
      </c>
      <c r="J1609" s="7">
        <f>VLOOKUP(Table3[[#This Row],[Agen id]],Agen!A:C,3,0)</f>
        <v/>
      </c>
      <c r="K1609" s="37">
        <f>TRIM(LEFT(Table3[[#This Row],[Group]],2))</f>
        <v/>
      </c>
      <c r="L1609" s="3" t="inlineStr">
        <is>
          <t>AZIZ</t>
        </is>
      </c>
    </row>
    <row r="1610">
      <c r="A1610" s="5" t="inlineStr">
        <is>
          <t>OP10112</t>
        </is>
      </c>
      <c r="B1610" s="6" t="inlineStr">
        <is>
          <t>bang joe cell</t>
        </is>
      </c>
      <c r="C1610" s="7" t="inlineStr">
        <is>
          <t>AV - Agen Verified</t>
        </is>
      </c>
      <c r="D1610" s="1" t="inlineStr">
        <is>
          <t>OP00002</t>
        </is>
      </c>
      <c r="E1610" s="8" t="n">
        <v>45260.64305555556</v>
      </c>
      <c r="F1610" s="7" t="inlineStr">
        <is>
          <t>AGEN</t>
        </is>
      </c>
      <c r="G1610" s="18" t="inlineStr">
        <is>
          <t>OP10112</t>
        </is>
      </c>
      <c r="H1610" s="19">
        <f>UPPER(Table3[[#This Row],[Agen id]]&amp;"-"&amp;VLOOKUP(Table3[[#This Row],[Agen id]],A:B,2,0)&amp;"("&amp;Table3[[#This Row],[Short]]&amp;")")</f>
        <v/>
      </c>
      <c r="J1610" s="7">
        <f>VLOOKUP(Table3[[#This Row],[Agen id]],Agen!A:C,3,0)</f>
        <v/>
      </c>
      <c r="K1610" s="37">
        <f>TRIM(LEFT(Table3[[#This Row],[Group]],2))</f>
        <v/>
      </c>
      <c r="L1610" s="3" t="inlineStr">
        <is>
          <t>NON SALES</t>
        </is>
      </c>
    </row>
    <row r="1611">
      <c r="A1611" s="5" t="inlineStr">
        <is>
          <t>OP10113</t>
        </is>
      </c>
      <c r="B1611" s="6" t="inlineStr">
        <is>
          <t>Nia tempongbuka</t>
        </is>
      </c>
      <c r="C1611" s="7" t="inlineStr">
        <is>
          <t>A - Agen</t>
        </is>
      </c>
      <c r="D1611" s="1" t="inlineStr">
        <is>
          <t>OP04706</t>
        </is>
      </c>
      <c r="E1611" s="8" t="n">
        <v>45260.77986111111</v>
      </c>
      <c r="F1611" s="7" t="inlineStr">
        <is>
          <t>DOWNLINE</t>
        </is>
      </c>
      <c r="G1611" s="18" t="inlineStr">
        <is>
          <t>OP04706</t>
        </is>
      </c>
      <c r="H1611" s="19">
        <f>UPPER(Table3[[#This Row],[Agen id]]&amp;"-"&amp;VLOOKUP(Table3[[#This Row],[Agen id]],A:B,2,0)&amp;"("&amp;Table3[[#This Row],[Short]]&amp;")")</f>
        <v/>
      </c>
      <c r="J1611" s="7">
        <f>VLOOKUP(Table3[[#This Row],[Agen id]],Agen!A:C,3,0)</f>
        <v/>
      </c>
      <c r="K1611" s="37">
        <f>TRIM(LEFT(Table3[[#This Row],[Group]],2))</f>
        <v/>
      </c>
      <c r="L1611" s="3" t="inlineStr">
        <is>
          <t>NON SALES</t>
        </is>
      </c>
    </row>
    <row r="1612">
      <c r="A1612" s="5" t="inlineStr">
        <is>
          <t>OP10114</t>
        </is>
      </c>
      <c r="B1612" s="6" t="inlineStr">
        <is>
          <t>Yolanda</t>
        </is>
      </c>
      <c r="C1612" s="7" t="inlineStr">
        <is>
          <t>A - Agen</t>
        </is>
      </c>
      <c r="D1612" s="1" t="inlineStr">
        <is>
          <t>OP00002</t>
        </is>
      </c>
      <c r="E1612" s="8" t="n">
        <v>45261.12083333333</v>
      </c>
      <c r="F1612" s="7" t="inlineStr">
        <is>
          <t>AGEN</t>
        </is>
      </c>
      <c r="G1612" s="18" t="inlineStr">
        <is>
          <t>OP10114</t>
        </is>
      </c>
      <c r="H1612" s="19">
        <f>UPPER(Table3[[#This Row],[Agen id]]&amp;"-"&amp;VLOOKUP(Table3[[#This Row],[Agen id]],A:B,2,0)&amp;"("&amp;Table3[[#This Row],[Short]]&amp;")")</f>
        <v/>
      </c>
      <c r="J1612" s="7">
        <f>VLOOKUP(Table3[[#This Row],[Agen id]],Agen!A:C,3,0)</f>
        <v/>
      </c>
      <c r="K1612" s="37">
        <f>TRIM(LEFT(Table3[[#This Row],[Group]],2))</f>
        <v/>
      </c>
      <c r="L1612" s="3" t="inlineStr">
        <is>
          <t>NON SALES</t>
        </is>
      </c>
    </row>
    <row r="1613">
      <c r="A1613" s="5" t="inlineStr">
        <is>
          <t>OP10121</t>
        </is>
      </c>
      <c r="B1613" s="6" t="inlineStr">
        <is>
          <t>Sri handayani</t>
        </is>
      </c>
      <c r="C1613" s="7" t="inlineStr">
        <is>
          <t>AV - Agen Verified</t>
        </is>
      </c>
      <c r="D1613" s="1" t="inlineStr">
        <is>
          <t>OP00909</t>
        </is>
      </c>
      <c r="E1613" s="8" t="n">
        <v>45262.68472222222</v>
      </c>
      <c r="F1613" s="7" t="inlineStr">
        <is>
          <t>DOWNLINE</t>
        </is>
      </c>
      <c r="G1613" s="18" t="inlineStr">
        <is>
          <t>OP00909</t>
        </is>
      </c>
      <c r="H1613" s="19">
        <f>UPPER(Table3[[#This Row],[Agen id]]&amp;"-"&amp;VLOOKUP(Table3[[#This Row],[Agen id]],A:B,2,0)&amp;"("&amp;Table3[[#This Row],[Short]]&amp;")")</f>
        <v/>
      </c>
      <c r="J1613" s="7">
        <f>VLOOKUP(Table3[[#This Row],[Agen id]],Agen!A:C,3,0)</f>
        <v/>
      </c>
      <c r="K1613" s="37">
        <f>TRIM(LEFT(Table3[[#This Row],[Group]],2))</f>
        <v/>
      </c>
      <c r="L1613" s="3" t="inlineStr">
        <is>
          <t>NON SALES</t>
        </is>
      </c>
    </row>
    <row r="1614">
      <c r="A1614" s="5" t="inlineStr">
        <is>
          <t>OP10126</t>
        </is>
      </c>
      <c r="B1614" s="6" t="inlineStr">
        <is>
          <t>Kenan cell</t>
        </is>
      </c>
      <c r="C1614" s="7" t="inlineStr">
        <is>
          <t>AB1 - Agen Kab Bogor</t>
        </is>
      </c>
      <c r="D1614" s="1" t="inlineStr">
        <is>
          <t>OP07367</t>
        </is>
      </c>
      <c r="E1614" s="8" t="n">
        <v>45264.56319444445</v>
      </c>
      <c r="F1614" s="7" t="inlineStr">
        <is>
          <t>AGEN</t>
        </is>
      </c>
      <c r="G1614" s="18" t="inlineStr">
        <is>
          <t>OP10126</t>
        </is>
      </c>
      <c r="H1614" s="19">
        <f>UPPER(Table3[[#This Row],[Agen id]]&amp;"-"&amp;VLOOKUP(Table3[[#This Row],[Agen id]],A:B,2,0)&amp;"("&amp;Table3[[#This Row],[Short]]&amp;")")</f>
        <v/>
      </c>
      <c r="J1614" s="7">
        <f>VLOOKUP(Table3[[#This Row],[Agen id]],Agen!A:C,3,0)</f>
        <v/>
      </c>
      <c r="K1614" s="37">
        <f>TRIM(LEFT(Table3[[#This Row],[Group]],2))</f>
        <v/>
      </c>
      <c r="L1614" s="3" t="inlineStr">
        <is>
          <t>ARIS</t>
        </is>
      </c>
    </row>
    <row r="1615">
      <c r="A1615" s="5" t="inlineStr">
        <is>
          <t>OP10130</t>
        </is>
      </c>
      <c r="B1615" s="6" t="inlineStr">
        <is>
          <t>Arkam</t>
        </is>
      </c>
      <c r="C1615" s="7" t="inlineStr">
        <is>
          <t>AV - Agen Verified</t>
        </is>
      </c>
      <c r="D1615" s="1" t="inlineStr">
        <is>
          <t>OP00002</t>
        </is>
      </c>
      <c r="E1615" s="8" t="n">
        <v>45264.86944444444</v>
      </c>
      <c r="F1615" s="7" t="inlineStr">
        <is>
          <t>AGEN</t>
        </is>
      </c>
      <c r="G1615" s="18" t="inlineStr">
        <is>
          <t>OP10130</t>
        </is>
      </c>
      <c r="H1615" s="19">
        <f>UPPER(Table3[[#This Row],[Agen id]]&amp;"-"&amp;VLOOKUP(Table3[[#This Row],[Agen id]],A:B,2,0)&amp;"("&amp;Table3[[#This Row],[Short]]&amp;")")</f>
        <v/>
      </c>
      <c r="J1615" s="7">
        <f>VLOOKUP(Table3[[#This Row],[Agen id]],Agen!A:C,3,0)</f>
        <v/>
      </c>
      <c r="K1615" s="37">
        <f>TRIM(LEFT(Table3[[#This Row],[Group]],2))</f>
        <v/>
      </c>
      <c r="L1615" s="3" t="inlineStr">
        <is>
          <t>NON SALES</t>
        </is>
      </c>
    </row>
    <row r="1616">
      <c r="A1616" s="5" t="inlineStr">
        <is>
          <t>OP10131</t>
        </is>
      </c>
      <c r="B1616" s="6" t="inlineStr">
        <is>
          <t>SALWA</t>
        </is>
      </c>
      <c r="C1616" s="7" t="inlineStr">
        <is>
          <t>A - Agen</t>
        </is>
      </c>
      <c r="D1616" s="1" t="inlineStr">
        <is>
          <t>OP00002</t>
        </is>
      </c>
      <c r="E1616" s="8" t="n">
        <v>45264.87986111111</v>
      </c>
      <c r="F1616" s="7" t="inlineStr">
        <is>
          <t>AGEN</t>
        </is>
      </c>
      <c r="G1616" s="18" t="inlineStr">
        <is>
          <t>OP10131</t>
        </is>
      </c>
      <c r="H1616" s="19">
        <f>UPPER(Table3[[#This Row],[Agen id]]&amp;"-"&amp;VLOOKUP(Table3[[#This Row],[Agen id]],A:B,2,0)&amp;"("&amp;Table3[[#This Row],[Short]]&amp;")")</f>
        <v/>
      </c>
      <c r="J1616" s="7">
        <f>VLOOKUP(Table3[[#This Row],[Agen id]],Agen!A:C,3,0)</f>
        <v/>
      </c>
      <c r="K1616" s="37">
        <f>TRIM(LEFT(Table3[[#This Row],[Group]],2))</f>
        <v/>
      </c>
      <c r="L1616" s="3" t="inlineStr">
        <is>
          <t>NON SALES</t>
        </is>
      </c>
    </row>
    <row r="1617">
      <c r="A1617" s="5" t="inlineStr">
        <is>
          <t>OP10136</t>
        </is>
      </c>
      <c r="B1617" s="6" t="inlineStr">
        <is>
          <t>Sumber Rizqi 2</t>
        </is>
      </c>
      <c r="C1617" s="7" t="inlineStr">
        <is>
          <t>AB1 - Agen Kab Bogor</t>
        </is>
      </c>
      <c r="D1617" s="1" t="inlineStr">
        <is>
          <t>OP07367</t>
        </is>
      </c>
      <c r="E1617" s="8" t="n">
        <v>45266.54236111111</v>
      </c>
      <c r="F1617" s="7" t="inlineStr">
        <is>
          <t>AGEN</t>
        </is>
      </c>
      <c r="G1617" s="18" t="inlineStr">
        <is>
          <t>OP10136</t>
        </is>
      </c>
      <c r="H1617" s="19">
        <f>UPPER(Table3[[#This Row],[Agen id]]&amp;"-"&amp;VLOOKUP(Table3[[#This Row],[Agen id]],A:B,2,0)&amp;"("&amp;Table3[[#This Row],[Short]]&amp;")")</f>
        <v/>
      </c>
      <c r="J1617" s="7">
        <f>VLOOKUP(Table3[[#This Row],[Agen id]],Agen!A:C,3,0)</f>
        <v/>
      </c>
      <c r="K1617" s="37">
        <f>TRIM(LEFT(Table3[[#This Row],[Group]],2))</f>
        <v/>
      </c>
      <c r="L1617" s="3" t="inlineStr">
        <is>
          <t>ARIS</t>
        </is>
      </c>
    </row>
    <row r="1618">
      <c r="A1618" s="5" t="inlineStr">
        <is>
          <t>OP10137</t>
        </is>
      </c>
      <c r="B1618" s="6" t="inlineStr">
        <is>
          <t>dewi</t>
        </is>
      </c>
      <c r="C1618" s="7" t="inlineStr">
        <is>
          <t>AT1 - Agen Tangerang</t>
        </is>
      </c>
      <c r="D1618" s="1" t="inlineStr">
        <is>
          <t>OP09088</t>
        </is>
      </c>
      <c r="E1618" s="8" t="n">
        <v>45266.58888888889</v>
      </c>
      <c r="F1618" s="7" t="inlineStr">
        <is>
          <t>DOWNLINE</t>
        </is>
      </c>
      <c r="G1618" s="18" t="inlineStr">
        <is>
          <t>OP09088</t>
        </is>
      </c>
      <c r="H1618" s="19">
        <f>UPPER(Table3[[#This Row],[Agen id]]&amp;"-"&amp;VLOOKUP(Table3[[#This Row],[Agen id]],A:B,2,0)&amp;"("&amp;Table3[[#This Row],[Short]]&amp;")")</f>
        <v/>
      </c>
      <c r="J1618" s="7">
        <f>VLOOKUP(Table3[[#This Row],[Agen id]],Agen!A:C,3,0)</f>
        <v/>
      </c>
      <c r="K1618" s="37">
        <f>TRIM(LEFT(Table3[[#This Row],[Group]],2))</f>
        <v/>
      </c>
      <c r="L1618" s="3" t="inlineStr">
        <is>
          <t>NON SALES</t>
        </is>
      </c>
    </row>
    <row r="1619">
      <c r="A1619" s="5" t="inlineStr">
        <is>
          <t>OP10140</t>
        </is>
      </c>
      <c r="B1619" s="6" t="inlineStr">
        <is>
          <t>Rosniati</t>
        </is>
      </c>
      <c r="C1619" s="7" t="inlineStr">
        <is>
          <t>A - Agen</t>
        </is>
      </c>
      <c r="D1619" s="1" t="inlineStr">
        <is>
          <t>OP00002</t>
        </is>
      </c>
      <c r="E1619" s="8" t="n">
        <v>45266.72916666666</v>
      </c>
      <c r="F1619" s="7" t="inlineStr">
        <is>
          <t>AGEN</t>
        </is>
      </c>
      <c r="G1619" s="18" t="inlineStr">
        <is>
          <t>OP10140</t>
        </is>
      </c>
      <c r="H1619" s="19">
        <f>UPPER(Table3[[#This Row],[Agen id]]&amp;"-"&amp;VLOOKUP(Table3[[#This Row],[Agen id]],A:B,2,0)&amp;"("&amp;Table3[[#This Row],[Short]]&amp;")")</f>
        <v/>
      </c>
      <c r="J1619" s="7">
        <f>VLOOKUP(Table3[[#This Row],[Agen id]],Agen!A:C,3,0)</f>
        <v/>
      </c>
      <c r="K1619" s="37">
        <f>TRIM(LEFT(Table3[[#This Row],[Group]],2))</f>
        <v/>
      </c>
      <c r="L1619" s="3" t="inlineStr">
        <is>
          <t>NON SALES</t>
        </is>
      </c>
    </row>
    <row r="1620">
      <c r="A1620" s="5" t="inlineStr">
        <is>
          <t>OP10141</t>
        </is>
      </c>
      <c r="B1620" s="6" t="inlineStr">
        <is>
          <t>Rahmah</t>
        </is>
      </c>
      <c r="C1620" s="7" t="inlineStr">
        <is>
          <t>A - Agen</t>
        </is>
      </c>
      <c r="D1620" s="1" t="inlineStr">
        <is>
          <t>OP03179</t>
        </is>
      </c>
      <c r="E1620" s="8" t="n">
        <v>45266.77361111111</v>
      </c>
      <c r="F1620" s="7" t="inlineStr">
        <is>
          <t>DOWNLINE</t>
        </is>
      </c>
      <c r="G1620" s="18" t="inlineStr">
        <is>
          <t>OP03179</t>
        </is>
      </c>
      <c r="H1620" s="19">
        <f>UPPER(Table3[[#This Row],[Agen id]]&amp;"-"&amp;VLOOKUP(Table3[[#This Row],[Agen id]],A:B,2,0)&amp;"("&amp;Table3[[#This Row],[Short]]&amp;")")</f>
        <v/>
      </c>
      <c r="J1620" s="7">
        <f>VLOOKUP(Table3[[#This Row],[Agen id]],Agen!A:C,3,0)</f>
        <v/>
      </c>
      <c r="K1620" s="37">
        <f>TRIM(LEFT(Table3[[#This Row],[Group]],2))</f>
        <v/>
      </c>
      <c r="L1620" s="3" t="inlineStr">
        <is>
          <t>NON SALES</t>
        </is>
      </c>
    </row>
    <row r="1621">
      <c r="A1621" s="5" t="inlineStr">
        <is>
          <t>OP10142</t>
        </is>
      </c>
      <c r="B1621" s="6" t="inlineStr">
        <is>
          <t>Sani</t>
        </is>
      </c>
      <c r="C1621" s="7" t="inlineStr">
        <is>
          <t>A - Agen</t>
        </is>
      </c>
      <c r="D1621" s="1" t="inlineStr">
        <is>
          <t>OP00002</t>
        </is>
      </c>
      <c r="E1621" s="8" t="n">
        <v>45266.78472222222</v>
      </c>
      <c r="F1621" s="7" t="inlineStr">
        <is>
          <t>AGEN</t>
        </is>
      </c>
      <c r="G1621" s="18" t="inlineStr">
        <is>
          <t>OP10142</t>
        </is>
      </c>
      <c r="H1621" s="19">
        <f>UPPER(Table3[[#This Row],[Agen id]]&amp;"-"&amp;VLOOKUP(Table3[[#This Row],[Agen id]],A:B,2,0)&amp;"("&amp;Table3[[#This Row],[Short]]&amp;")")</f>
        <v/>
      </c>
      <c r="J1621" s="7">
        <f>VLOOKUP(Table3[[#This Row],[Agen id]],Agen!A:C,3,0)</f>
        <v/>
      </c>
      <c r="K1621" s="37">
        <f>TRIM(LEFT(Table3[[#This Row],[Group]],2))</f>
        <v/>
      </c>
      <c r="L1621" s="3" t="inlineStr">
        <is>
          <t>NON SALES</t>
        </is>
      </c>
    </row>
    <row r="1622">
      <c r="A1622" s="5" t="inlineStr">
        <is>
          <t>OP10150</t>
        </is>
      </c>
      <c r="B1622" s="6" t="inlineStr">
        <is>
          <t>Darina</t>
        </is>
      </c>
      <c r="C1622" s="7" t="inlineStr">
        <is>
          <t>AV - Agen Verified</t>
        </is>
      </c>
      <c r="D1622" s="1" t="inlineStr">
        <is>
          <t>OP08163</t>
        </is>
      </c>
      <c r="E1622" s="8" t="n">
        <v>45268.87569444445</v>
      </c>
      <c r="F1622" s="7" t="inlineStr">
        <is>
          <t>DOWNLINE</t>
        </is>
      </c>
      <c r="G1622" s="18" t="inlineStr">
        <is>
          <t>OP08163</t>
        </is>
      </c>
      <c r="H1622" s="19">
        <f>UPPER(Table3[[#This Row],[Agen id]]&amp;"-"&amp;VLOOKUP(Table3[[#This Row],[Agen id]],A:B,2,0)&amp;"("&amp;Table3[[#This Row],[Short]]&amp;")")</f>
        <v/>
      </c>
      <c r="J1622" s="7">
        <f>VLOOKUP(Table3[[#This Row],[Agen id]],Agen!A:C,3,0)</f>
        <v/>
      </c>
      <c r="K1622" s="37">
        <f>TRIM(LEFT(Table3[[#This Row],[Group]],2))</f>
        <v/>
      </c>
      <c r="L1622" s="3" t="inlineStr">
        <is>
          <t>NON SALES</t>
        </is>
      </c>
    </row>
    <row r="1623">
      <c r="A1623" s="5" t="inlineStr">
        <is>
          <t>OP10152</t>
        </is>
      </c>
      <c r="B1623" s="6" t="inlineStr">
        <is>
          <t>Agus salim</t>
        </is>
      </c>
      <c r="C1623" s="7" t="inlineStr">
        <is>
          <t>AT1 - Agen Tangerang</t>
        </is>
      </c>
      <c r="D1623" s="1" t="inlineStr">
        <is>
          <t>OP07683</t>
        </is>
      </c>
      <c r="E1623" s="8" t="n">
        <v>45270.54236111111</v>
      </c>
      <c r="F1623" s="7" t="inlineStr">
        <is>
          <t>AGEN</t>
        </is>
      </c>
      <c r="G1623" s="18" t="inlineStr">
        <is>
          <t>OP10152</t>
        </is>
      </c>
      <c r="H1623" s="19">
        <f>UPPER(Table3[[#This Row],[Agen id]]&amp;"-"&amp;VLOOKUP(Table3[[#This Row],[Agen id]],A:B,2,0)&amp;"("&amp;Table3[[#This Row],[Short]]&amp;")")</f>
        <v/>
      </c>
      <c r="J1623" s="7">
        <f>VLOOKUP(Table3[[#This Row],[Agen id]],Agen!A:C,3,0)</f>
        <v/>
      </c>
      <c r="K1623" s="37">
        <f>TRIM(LEFT(Table3[[#This Row],[Group]],2))</f>
        <v/>
      </c>
      <c r="L1623" s="3" t="inlineStr">
        <is>
          <t>AZIZ</t>
        </is>
      </c>
    </row>
    <row r="1624">
      <c r="A1624" s="5" t="inlineStr">
        <is>
          <t>OP10153</t>
        </is>
      </c>
      <c r="B1624" s="6" t="inlineStr">
        <is>
          <t>Jhorgy</t>
        </is>
      </c>
      <c r="C1624" s="7" t="inlineStr">
        <is>
          <t>A - Agen</t>
        </is>
      </c>
      <c r="D1624" s="1" t="inlineStr">
        <is>
          <t>OP00051</t>
        </is>
      </c>
      <c r="E1624" s="8" t="n">
        <v>45271.31180555555</v>
      </c>
      <c r="F1624" s="7" t="inlineStr">
        <is>
          <t>DOWNLINE</t>
        </is>
      </c>
      <c r="G1624" s="18" t="inlineStr">
        <is>
          <t>OP00051</t>
        </is>
      </c>
      <c r="H1624" s="19">
        <f>UPPER(Table3[[#This Row],[Agen id]]&amp;"-"&amp;VLOOKUP(Table3[[#This Row],[Agen id]],A:B,2,0)&amp;"("&amp;Table3[[#This Row],[Short]]&amp;")")</f>
        <v/>
      </c>
      <c r="J1624" s="7">
        <f>VLOOKUP(Table3[[#This Row],[Agen id]],Agen!A:C,3,0)</f>
        <v/>
      </c>
      <c r="K1624" s="37">
        <f>TRIM(LEFT(Table3[[#This Row],[Group]],2))</f>
        <v/>
      </c>
      <c r="L1624" s="3" t="inlineStr">
        <is>
          <t>NON SALES</t>
        </is>
      </c>
    </row>
    <row r="1625">
      <c r="A1625" s="5" t="inlineStr">
        <is>
          <t>OP10161</t>
        </is>
      </c>
      <c r="B1625" s="6" t="inlineStr">
        <is>
          <t>Warung Lena</t>
        </is>
      </c>
      <c r="C1625" s="7" t="inlineStr">
        <is>
          <t>AB1 - Agen Kab Bogor</t>
        </is>
      </c>
      <c r="D1625" s="1" t="inlineStr">
        <is>
          <t>OP07367</t>
        </is>
      </c>
      <c r="E1625" s="8" t="n">
        <v>45271.60555555556</v>
      </c>
      <c r="F1625" s="7" t="inlineStr">
        <is>
          <t>AGEN</t>
        </is>
      </c>
      <c r="G1625" s="18" t="inlineStr">
        <is>
          <t>OP10161</t>
        </is>
      </c>
      <c r="H1625" s="19">
        <f>UPPER(Table3[[#This Row],[Agen id]]&amp;"-"&amp;VLOOKUP(Table3[[#This Row],[Agen id]],A:B,2,0)&amp;"("&amp;Table3[[#This Row],[Short]]&amp;")")</f>
        <v/>
      </c>
      <c r="J1625" s="7">
        <f>VLOOKUP(Table3[[#This Row],[Agen id]],Agen!A:C,3,0)</f>
        <v/>
      </c>
      <c r="K1625" s="37">
        <f>TRIM(LEFT(Table3[[#This Row],[Group]],2))</f>
        <v/>
      </c>
      <c r="L1625" s="3" t="inlineStr">
        <is>
          <t>ARIS</t>
        </is>
      </c>
    </row>
    <row r="1626">
      <c r="A1626" s="5" t="inlineStr">
        <is>
          <t>OP10171</t>
        </is>
      </c>
      <c r="B1626" s="6" t="inlineStr">
        <is>
          <t>AltoBedyenCell</t>
        </is>
      </c>
      <c r="C1626" s="7" t="inlineStr">
        <is>
          <t>AV - Agen Verified</t>
        </is>
      </c>
      <c r="D1626" s="1" t="inlineStr">
        <is>
          <t>OP03033</t>
        </is>
      </c>
      <c r="E1626" s="8" t="n">
        <v>45272.37013888889</v>
      </c>
      <c r="F1626" s="7" t="inlineStr">
        <is>
          <t>DOWNLINE</t>
        </is>
      </c>
      <c r="G1626" s="18" t="inlineStr">
        <is>
          <t>OP00049</t>
        </is>
      </c>
      <c r="H1626" s="19">
        <f>UPPER(Table3[[#This Row],[Agen id]]&amp;"-"&amp;VLOOKUP(Table3[[#This Row],[Agen id]],A:B,2,0)&amp;"("&amp;Table3[[#This Row],[Short]]&amp;")")</f>
        <v/>
      </c>
      <c r="J1626" s="7">
        <f>VLOOKUP(Table3[[#This Row],[Agen id]],Agen!A:C,3,0)</f>
        <v/>
      </c>
      <c r="K1626" s="37">
        <f>TRIM(LEFT(Table3[[#This Row],[Group]],2))</f>
        <v/>
      </c>
      <c r="L1626" s="3" t="inlineStr">
        <is>
          <t>NON SALES</t>
        </is>
      </c>
    </row>
    <row r="1627">
      <c r="A1627" s="5" t="inlineStr">
        <is>
          <t>OP10173</t>
        </is>
      </c>
      <c r="B1627" s="6" t="inlineStr">
        <is>
          <t>mufidcell</t>
        </is>
      </c>
      <c r="C1627" s="7" t="inlineStr">
        <is>
          <t>A - Agen</t>
        </is>
      </c>
      <c r="D1627" s="1" t="inlineStr">
        <is>
          <t>OP00002</t>
        </is>
      </c>
      <c r="E1627" s="8" t="n">
        <v>45272.38194444445</v>
      </c>
      <c r="F1627" s="7" t="inlineStr">
        <is>
          <t>AGEN</t>
        </is>
      </c>
      <c r="G1627" s="18" t="inlineStr">
        <is>
          <t>OP10173</t>
        </is>
      </c>
      <c r="H1627" s="19">
        <f>UPPER(Table3[[#This Row],[Agen id]]&amp;"-"&amp;VLOOKUP(Table3[[#This Row],[Agen id]],A:B,2,0)&amp;"("&amp;Table3[[#This Row],[Short]]&amp;")")</f>
        <v/>
      </c>
      <c r="J1627" s="7">
        <f>VLOOKUP(Table3[[#This Row],[Agen id]],Agen!A:C,3,0)</f>
        <v/>
      </c>
      <c r="K1627" s="37">
        <f>TRIM(LEFT(Table3[[#This Row],[Group]],2))</f>
        <v/>
      </c>
      <c r="L1627" s="3" t="inlineStr">
        <is>
          <t>NON SALES</t>
        </is>
      </c>
    </row>
    <row r="1628">
      <c r="A1628" s="5" t="inlineStr">
        <is>
          <t>OP10174</t>
        </is>
      </c>
      <c r="B1628" s="6" t="inlineStr">
        <is>
          <t>Apid</t>
        </is>
      </c>
      <c r="C1628" s="7" t="inlineStr">
        <is>
          <t>A - Agen</t>
        </is>
      </c>
      <c r="D1628" s="1" t="inlineStr">
        <is>
          <t>OP00996</t>
        </is>
      </c>
      <c r="E1628" s="8" t="n">
        <v>45272.42430555556</v>
      </c>
      <c r="F1628" s="7" t="inlineStr">
        <is>
          <t>DOWNLINE</t>
        </is>
      </c>
      <c r="G1628" s="18" t="inlineStr">
        <is>
          <t>OP00996</t>
        </is>
      </c>
      <c r="H1628" s="19">
        <f>UPPER(Table3[[#This Row],[Agen id]]&amp;"-"&amp;VLOOKUP(Table3[[#This Row],[Agen id]],A:B,2,0)&amp;"("&amp;Table3[[#This Row],[Short]]&amp;")")</f>
        <v/>
      </c>
      <c r="J1628" s="7">
        <f>VLOOKUP(Table3[[#This Row],[Agen id]],Agen!A:C,3,0)</f>
        <v/>
      </c>
      <c r="K1628" s="37">
        <f>TRIM(LEFT(Table3[[#This Row],[Group]],2))</f>
        <v/>
      </c>
      <c r="L1628" s="3" t="inlineStr">
        <is>
          <t>NON SALES</t>
        </is>
      </c>
    </row>
    <row r="1629">
      <c r="A1629" s="5" t="inlineStr">
        <is>
          <t>OP10180</t>
        </is>
      </c>
      <c r="B1629" s="6" t="inlineStr">
        <is>
          <t>OKE PULSA</t>
        </is>
      </c>
      <c r="C1629" s="7" t="inlineStr">
        <is>
          <t>AV - Agen Verified</t>
        </is>
      </c>
      <c r="D1629" s="1" t="inlineStr">
        <is>
          <t>OP00002</t>
        </is>
      </c>
      <c r="E1629" s="8" t="n">
        <v>45272.54722222222</v>
      </c>
      <c r="F1629" s="7" t="inlineStr">
        <is>
          <t>AGEN</t>
        </is>
      </c>
      <c r="G1629" s="18" t="inlineStr">
        <is>
          <t>OP10180</t>
        </is>
      </c>
      <c r="H1629" s="19">
        <f>UPPER(Table3[[#This Row],[Agen id]]&amp;"-"&amp;VLOOKUP(Table3[[#This Row],[Agen id]],A:B,2,0)&amp;"("&amp;Table3[[#This Row],[Short]]&amp;")")</f>
        <v/>
      </c>
      <c r="J1629" s="7">
        <f>VLOOKUP(Table3[[#This Row],[Agen id]],Agen!A:C,3,0)</f>
        <v/>
      </c>
      <c r="K1629" s="37">
        <f>TRIM(LEFT(Table3[[#This Row],[Group]],2))</f>
        <v/>
      </c>
      <c r="L1629" s="3" t="inlineStr">
        <is>
          <t>NON SALES</t>
        </is>
      </c>
    </row>
    <row r="1630">
      <c r="A1630" s="5" t="inlineStr">
        <is>
          <t>OP10181</t>
        </is>
      </c>
      <c r="B1630" s="6" t="inlineStr">
        <is>
          <t>Teb</t>
        </is>
      </c>
      <c r="C1630" s="7" t="inlineStr">
        <is>
          <t>A - Agen</t>
        </is>
      </c>
      <c r="D1630" s="1" t="inlineStr">
        <is>
          <t>OP07725</t>
        </is>
      </c>
      <c r="E1630" s="8" t="n">
        <v>45272.58333333334</v>
      </c>
      <c r="F1630" s="7" t="inlineStr">
        <is>
          <t>AGEN</t>
        </is>
      </c>
      <c r="G1630" s="18" t="inlineStr">
        <is>
          <t>OP10181</t>
        </is>
      </c>
      <c r="H1630" s="19">
        <f>UPPER(Table3[[#This Row],[Agen id]]&amp;"-"&amp;VLOOKUP(Table3[[#This Row],[Agen id]],A:B,2,0)&amp;"("&amp;Table3[[#This Row],[Short]]&amp;")")</f>
        <v/>
      </c>
      <c r="J1630" s="7">
        <f>VLOOKUP(Table3[[#This Row],[Agen id]],Agen!A:C,3,0)</f>
        <v/>
      </c>
      <c r="K1630" s="37">
        <f>TRIM(LEFT(Table3[[#This Row],[Group]],2))</f>
        <v/>
      </c>
      <c r="L1630" s="3" t="inlineStr">
        <is>
          <t>NON SALES</t>
        </is>
      </c>
    </row>
    <row r="1631">
      <c r="A1631" s="5" t="inlineStr">
        <is>
          <t>OP10183</t>
        </is>
      </c>
      <c r="B1631" s="6" t="inlineStr">
        <is>
          <t>Yan Cell</t>
        </is>
      </c>
      <c r="C1631" s="7" t="inlineStr">
        <is>
          <t>AT1 - Agen Tangerang</t>
        </is>
      </c>
      <c r="D1631" s="1" t="inlineStr">
        <is>
          <t>OP07683</t>
        </is>
      </c>
      <c r="E1631" s="8" t="n">
        <v>45272.62638888889</v>
      </c>
      <c r="F1631" s="7" t="inlineStr">
        <is>
          <t>AGEN</t>
        </is>
      </c>
      <c r="G1631" s="18" t="inlineStr">
        <is>
          <t>OP10183</t>
        </is>
      </c>
      <c r="H1631" s="19">
        <f>UPPER(Table3[[#This Row],[Agen id]]&amp;"-"&amp;VLOOKUP(Table3[[#This Row],[Agen id]],A:B,2,0)&amp;"("&amp;Table3[[#This Row],[Short]]&amp;")")</f>
        <v/>
      </c>
      <c r="J1631" s="7">
        <f>VLOOKUP(Table3[[#This Row],[Agen id]],Agen!A:C,3,0)</f>
        <v/>
      </c>
      <c r="K1631" s="37">
        <f>TRIM(LEFT(Table3[[#This Row],[Group]],2))</f>
        <v/>
      </c>
      <c r="L1631" s="3" t="inlineStr">
        <is>
          <t>AZIZ</t>
        </is>
      </c>
    </row>
    <row r="1632">
      <c r="A1632" s="5" t="inlineStr">
        <is>
          <t>OP10194</t>
        </is>
      </c>
      <c r="B1632" s="6" t="inlineStr">
        <is>
          <t>Rakhma</t>
        </is>
      </c>
      <c r="C1632" s="7" t="inlineStr">
        <is>
          <t>AV - Agen Verified</t>
        </is>
      </c>
      <c r="D1632" s="1" t="inlineStr">
        <is>
          <t>OP00002</t>
        </is>
      </c>
      <c r="E1632" s="8" t="n">
        <v>45273.34375</v>
      </c>
      <c r="F1632" s="7" t="inlineStr">
        <is>
          <t>AGEN</t>
        </is>
      </c>
      <c r="G1632" s="18" t="inlineStr">
        <is>
          <t>OP10194</t>
        </is>
      </c>
      <c r="H1632" s="19">
        <f>UPPER(Table3[[#This Row],[Agen id]]&amp;"-"&amp;VLOOKUP(Table3[[#This Row],[Agen id]],A:B,2,0)&amp;"("&amp;Table3[[#This Row],[Short]]&amp;")")</f>
        <v/>
      </c>
      <c r="J1632" s="7">
        <f>VLOOKUP(Table3[[#This Row],[Agen id]],Agen!A:C,3,0)</f>
        <v/>
      </c>
      <c r="K1632" s="37">
        <f>TRIM(LEFT(Table3[[#This Row],[Group]],2))</f>
        <v/>
      </c>
      <c r="L1632" s="3" t="inlineStr">
        <is>
          <t>NON SALES</t>
        </is>
      </c>
    </row>
    <row r="1633">
      <c r="A1633" s="5" t="inlineStr">
        <is>
          <t>OP10204</t>
        </is>
      </c>
      <c r="B1633" s="6" t="inlineStr">
        <is>
          <t>Sanusi</t>
        </is>
      </c>
      <c r="C1633" s="7" t="inlineStr">
        <is>
          <t>A - Agen</t>
        </is>
      </c>
      <c r="D1633" s="1" t="inlineStr">
        <is>
          <t>OP07725</t>
        </is>
      </c>
      <c r="E1633" s="8" t="n">
        <v>45273.50902777778</v>
      </c>
      <c r="F1633" s="7" t="inlineStr">
        <is>
          <t>AGEN</t>
        </is>
      </c>
      <c r="G1633" s="18" t="inlineStr">
        <is>
          <t>OP10204</t>
        </is>
      </c>
      <c r="H1633" s="19">
        <f>UPPER(Table3[[#This Row],[Agen id]]&amp;"-"&amp;VLOOKUP(Table3[[#This Row],[Agen id]],A:B,2,0)&amp;"("&amp;Table3[[#This Row],[Short]]&amp;")")</f>
        <v/>
      </c>
      <c r="J1633" s="7">
        <f>VLOOKUP(Table3[[#This Row],[Agen id]],Agen!A:C,3,0)</f>
        <v/>
      </c>
      <c r="K1633" s="37">
        <f>TRIM(LEFT(Table3[[#This Row],[Group]],2))</f>
        <v/>
      </c>
      <c r="L1633" s="3" t="inlineStr">
        <is>
          <t>NON SALES</t>
        </is>
      </c>
    </row>
    <row r="1634">
      <c r="A1634" s="5" t="inlineStr">
        <is>
          <t>OP10206</t>
        </is>
      </c>
      <c r="B1634" s="6" t="inlineStr">
        <is>
          <t>Cecep</t>
        </is>
      </c>
      <c r="C1634" s="7" t="inlineStr">
        <is>
          <t>A - Agen</t>
        </is>
      </c>
      <c r="D1634" s="1" t="inlineStr">
        <is>
          <t>OP07725</t>
        </is>
      </c>
      <c r="E1634" s="8" t="n">
        <v>45273.53125</v>
      </c>
      <c r="F1634" s="7" t="inlineStr">
        <is>
          <t>AGEN</t>
        </is>
      </c>
      <c r="G1634" s="18" t="inlineStr">
        <is>
          <t>OP10206</t>
        </is>
      </c>
      <c r="H1634" s="19">
        <f>UPPER(Table3[[#This Row],[Agen id]]&amp;"-"&amp;VLOOKUP(Table3[[#This Row],[Agen id]],A:B,2,0)&amp;"("&amp;Table3[[#This Row],[Short]]&amp;")")</f>
        <v/>
      </c>
      <c r="J1634" s="7">
        <f>VLOOKUP(Table3[[#This Row],[Agen id]],Agen!A:C,3,0)</f>
        <v/>
      </c>
      <c r="K1634" s="37">
        <f>TRIM(LEFT(Table3[[#This Row],[Group]],2))</f>
        <v/>
      </c>
      <c r="L1634" s="3" t="inlineStr">
        <is>
          <t>NON SALES</t>
        </is>
      </c>
    </row>
    <row r="1635">
      <c r="A1635" s="5" t="inlineStr">
        <is>
          <t>OP10219</t>
        </is>
      </c>
      <c r="B1635" s="6" t="inlineStr">
        <is>
          <t>Adelia cell</t>
        </is>
      </c>
      <c r="C1635" s="7" t="inlineStr">
        <is>
          <t>AV - Agen Verified</t>
        </is>
      </c>
      <c r="D1635" s="1" t="inlineStr">
        <is>
          <t>OP08054</t>
        </is>
      </c>
      <c r="E1635" s="8" t="n">
        <v>45274.4125</v>
      </c>
      <c r="F1635" s="7" t="inlineStr">
        <is>
          <t>DOWNLINE</t>
        </is>
      </c>
      <c r="G1635" s="18" t="inlineStr">
        <is>
          <t>OP00049</t>
        </is>
      </c>
      <c r="H1635" s="19">
        <f>UPPER(Table3[[#This Row],[Agen id]]&amp;"-"&amp;VLOOKUP(Table3[[#This Row],[Agen id]],A:B,2,0)&amp;"("&amp;Table3[[#This Row],[Short]]&amp;")")</f>
        <v/>
      </c>
      <c r="J1635" s="7">
        <f>VLOOKUP(Table3[[#This Row],[Agen id]],Agen!A:C,3,0)</f>
        <v/>
      </c>
      <c r="K1635" s="37">
        <f>TRIM(LEFT(Table3[[#This Row],[Group]],2))</f>
        <v/>
      </c>
      <c r="L1635" s="3" t="inlineStr">
        <is>
          <t>NON SALES</t>
        </is>
      </c>
    </row>
    <row r="1636">
      <c r="A1636" s="5" t="inlineStr">
        <is>
          <t>OP10223</t>
        </is>
      </c>
      <c r="B1636" s="6" t="inlineStr">
        <is>
          <t>ALFHA cell</t>
        </is>
      </c>
      <c r="C1636" s="7" t="inlineStr">
        <is>
          <t>AV - Agen Verified</t>
        </is>
      </c>
      <c r="D1636" s="1" t="inlineStr">
        <is>
          <t>OP08054</t>
        </is>
      </c>
      <c r="E1636" s="8" t="n">
        <v>45274.52430555555</v>
      </c>
      <c r="F1636" s="7" t="inlineStr">
        <is>
          <t>DOWNLINE</t>
        </is>
      </c>
      <c r="G1636" s="18" t="inlineStr">
        <is>
          <t>OP00049</t>
        </is>
      </c>
      <c r="H1636" s="19">
        <f>UPPER(Table3[[#This Row],[Agen id]]&amp;"-"&amp;VLOOKUP(Table3[[#This Row],[Agen id]],A:B,2,0)&amp;"("&amp;Table3[[#This Row],[Short]]&amp;")")</f>
        <v/>
      </c>
      <c r="J1636" s="7">
        <f>VLOOKUP(Table3[[#This Row],[Agen id]],Agen!A:C,3,0)</f>
        <v/>
      </c>
      <c r="K1636" s="37">
        <f>TRIM(LEFT(Table3[[#This Row],[Group]],2))</f>
        <v/>
      </c>
      <c r="L1636" s="3" t="inlineStr">
        <is>
          <t>NON SALES</t>
        </is>
      </c>
    </row>
    <row r="1637">
      <c r="A1637" s="5" t="inlineStr">
        <is>
          <t>OP10229</t>
        </is>
      </c>
      <c r="B1637" s="6" t="inlineStr">
        <is>
          <t>Fiki tarwidianto</t>
        </is>
      </c>
      <c r="C1637" s="7" t="inlineStr">
        <is>
          <t>A - Agen</t>
        </is>
      </c>
      <c r="D1637" s="1" t="inlineStr">
        <is>
          <t>OP01502</t>
        </is>
      </c>
      <c r="E1637" s="8" t="n">
        <v>45274.82777777778</v>
      </c>
      <c r="F1637" s="7" t="inlineStr">
        <is>
          <t>DOWNLINE</t>
        </is>
      </c>
      <c r="G1637" s="18" t="inlineStr">
        <is>
          <t>OP01502</t>
        </is>
      </c>
      <c r="H1637" s="19">
        <f>UPPER(Table3[[#This Row],[Agen id]]&amp;"-"&amp;VLOOKUP(Table3[[#This Row],[Agen id]],A:B,2,0)&amp;"("&amp;Table3[[#This Row],[Short]]&amp;")")</f>
        <v/>
      </c>
      <c r="J1637" s="7">
        <f>VLOOKUP(Table3[[#This Row],[Agen id]],Agen!A:C,3,0)</f>
        <v/>
      </c>
      <c r="K1637" s="37">
        <f>TRIM(LEFT(Table3[[#This Row],[Group]],2))</f>
        <v/>
      </c>
      <c r="L1637" s="3" t="inlineStr">
        <is>
          <t>NON SALES</t>
        </is>
      </c>
    </row>
    <row r="1638">
      <c r="A1638" s="5" t="inlineStr">
        <is>
          <t>OP10235</t>
        </is>
      </c>
      <c r="B1638" s="6" t="inlineStr">
        <is>
          <t>Aisyah</t>
        </is>
      </c>
      <c r="C1638" s="7" t="inlineStr">
        <is>
          <t>A - Agen</t>
        </is>
      </c>
      <c r="D1638" s="1" t="inlineStr">
        <is>
          <t>OP00051</t>
        </is>
      </c>
      <c r="E1638" s="8" t="n">
        <v>45274.88541666666</v>
      </c>
      <c r="F1638" s="7" t="inlineStr">
        <is>
          <t>DOWNLINE</t>
        </is>
      </c>
      <c r="G1638" s="18" t="inlineStr">
        <is>
          <t>OP00051</t>
        </is>
      </c>
      <c r="H1638" s="19">
        <f>UPPER(Table3[[#This Row],[Agen id]]&amp;"-"&amp;VLOOKUP(Table3[[#This Row],[Agen id]],A:B,2,0)&amp;"("&amp;Table3[[#This Row],[Short]]&amp;")")</f>
        <v/>
      </c>
      <c r="J1638" s="7">
        <f>VLOOKUP(Table3[[#This Row],[Agen id]],Agen!A:C,3,0)</f>
        <v/>
      </c>
      <c r="K1638" s="37">
        <f>TRIM(LEFT(Table3[[#This Row],[Group]],2))</f>
        <v/>
      </c>
      <c r="L1638" s="3" t="inlineStr">
        <is>
          <t>NON SALES</t>
        </is>
      </c>
    </row>
    <row r="1639">
      <c r="A1639" s="5" t="inlineStr">
        <is>
          <t>OP10243</t>
        </is>
      </c>
      <c r="B1639" s="6" t="inlineStr">
        <is>
          <t>Buulolo Cell 99</t>
        </is>
      </c>
      <c r="C1639" s="7" t="inlineStr">
        <is>
          <t>AV - Agen Verified</t>
        </is>
      </c>
      <c r="D1639" s="1" t="inlineStr">
        <is>
          <t>OP09419</t>
        </is>
      </c>
      <c r="E1639" s="8" t="n">
        <v>45275.02569444444</v>
      </c>
      <c r="F1639" s="7" t="inlineStr">
        <is>
          <t>DOWNLINE</t>
        </is>
      </c>
      <c r="G1639" s="18" t="inlineStr">
        <is>
          <t>OP09419</t>
        </is>
      </c>
      <c r="H1639" s="19">
        <f>UPPER(Table3[[#This Row],[Agen id]]&amp;"-"&amp;VLOOKUP(Table3[[#This Row],[Agen id]],A:B,2,0)&amp;"("&amp;Table3[[#This Row],[Short]]&amp;")")</f>
        <v/>
      </c>
      <c r="J1639" s="7">
        <f>VLOOKUP(Table3[[#This Row],[Agen id]],Agen!A:C,3,0)</f>
        <v/>
      </c>
      <c r="K1639" s="37">
        <f>TRIM(LEFT(Table3[[#This Row],[Group]],2))</f>
        <v/>
      </c>
      <c r="L1639" s="3" t="inlineStr">
        <is>
          <t>NON SALES</t>
        </is>
      </c>
    </row>
    <row r="1640">
      <c r="A1640" s="5" t="inlineStr">
        <is>
          <t>OP10250</t>
        </is>
      </c>
      <c r="B1640" s="6" t="inlineStr">
        <is>
          <t>335cell</t>
        </is>
      </c>
      <c r="C1640" s="7" t="inlineStr">
        <is>
          <t>AV - Agen Verified</t>
        </is>
      </c>
      <c r="D1640" s="1" t="inlineStr">
        <is>
          <t>OP00002</t>
        </is>
      </c>
      <c r="E1640" s="8" t="n">
        <v>45275.55833333333</v>
      </c>
      <c r="F1640" s="7" t="inlineStr">
        <is>
          <t>DOWNLINE</t>
        </is>
      </c>
      <c r="G1640" s="18" t="inlineStr">
        <is>
          <t>OP00996</t>
        </is>
      </c>
      <c r="H1640" s="19">
        <f>UPPER(Table3[[#This Row],[Agen id]]&amp;"-"&amp;VLOOKUP(Table3[[#This Row],[Agen id]],A:B,2,0)&amp;"("&amp;Table3[[#This Row],[Short]]&amp;")")</f>
        <v/>
      </c>
      <c r="J1640" s="7">
        <f>VLOOKUP(Table3[[#This Row],[Agen id]],Agen!A:C,3,0)</f>
        <v/>
      </c>
      <c r="K1640" s="37">
        <f>TRIM(LEFT(Table3[[#This Row],[Group]],2))</f>
        <v/>
      </c>
      <c r="L1640" s="3" t="inlineStr">
        <is>
          <t>NON SALES</t>
        </is>
      </c>
    </row>
    <row r="1641">
      <c r="A1641" s="5" t="inlineStr">
        <is>
          <t>OP10253</t>
        </is>
      </c>
      <c r="B1641" s="6" t="inlineStr">
        <is>
          <t>Irwansyah</t>
        </is>
      </c>
      <c r="C1641" s="7" t="inlineStr">
        <is>
          <t>A - Agen</t>
        </is>
      </c>
      <c r="D1641" s="1" t="inlineStr">
        <is>
          <t>OP00023</t>
        </is>
      </c>
      <c r="E1641" s="8" t="n">
        <v>45275.80763888889</v>
      </c>
      <c r="F1641" s="7" t="inlineStr">
        <is>
          <t>DOWNLINE</t>
        </is>
      </c>
      <c r="G1641" s="18" t="inlineStr">
        <is>
          <t>OP00023</t>
        </is>
      </c>
      <c r="H1641" s="19">
        <f>UPPER(Table3[[#This Row],[Agen id]]&amp;"-"&amp;VLOOKUP(Table3[[#This Row],[Agen id]],A:B,2,0)&amp;"("&amp;Table3[[#This Row],[Short]]&amp;")")</f>
        <v/>
      </c>
      <c r="J1641" s="7">
        <f>VLOOKUP(Table3[[#This Row],[Agen id]],Agen!A:C,3,0)</f>
        <v/>
      </c>
      <c r="K1641" s="37">
        <f>TRIM(LEFT(Table3[[#This Row],[Group]],2))</f>
        <v/>
      </c>
      <c r="L1641" s="3" t="inlineStr">
        <is>
          <t>NON SALES</t>
        </is>
      </c>
    </row>
    <row r="1642">
      <c r="A1642" s="5" t="inlineStr">
        <is>
          <t>OP10263</t>
        </is>
      </c>
      <c r="B1642" s="6" t="inlineStr">
        <is>
          <t>Wulan</t>
        </is>
      </c>
      <c r="C1642" s="7" t="inlineStr">
        <is>
          <t>A - Agen</t>
        </is>
      </c>
      <c r="D1642" s="1" t="inlineStr">
        <is>
          <t>OP00002</t>
        </is>
      </c>
      <c r="E1642" s="8" t="n">
        <v>45276.39236111111</v>
      </c>
      <c r="F1642" s="7" t="inlineStr">
        <is>
          <t>AGEN</t>
        </is>
      </c>
      <c r="G1642" s="18" t="inlineStr">
        <is>
          <t>OP10263</t>
        </is>
      </c>
      <c r="H1642" s="19">
        <f>UPPER(Table3[[#This Row],[Agen id]]&amp;"-"&amp;VLOOKUP(Table3[[#This Row],[Agen id]],A:B,2,0)&amp;"("&amp;Table3[[#This Row],[Short]]&amp;")")</f>
        <v/>
      </c>
      <c r="J1642" s="7">
        <f>VLOOKUP(Table3[[#This Row],[Agen id]],Agen!A:C,3,0)</f>
        <v/>
      </c>
      <c r="K1642" s="37">
        <f>TRIM(LEFT(Table3[[#This Row],[Group]],2))</f>
        <v/>
      </c>
      <c r="L1642" s="3" t="inlineStr">
        <is>
          <t>NON SALES</t>
        </is>
      </c>
    </row>
    <row r="1643">
      <c r="A1643" s="5" t="inlineStr">
        <is>
          <t>OP10270</t>
        </is>
      </c>
      <c r="B1643" s="6" t="inlineStr">
        <is>
          <t>Om kepo</t>
        </is>
      </c>
      <c r="C1643" s="7" t="inlineStr">
        <is>
          <t>A - Agen</t>
        </is>
      </c>
      <c r="D1643" s="1" t="inlineStr">
        <is>
          <t>OP07725</t>
        </is>
      </c>
      <c r="E1643" s="8" t="n">
        <v>45276.75694444445</v>
      </c>
      <c r="F1643" s="7" t="inlineStr">
        <is>
          <t>AGEN</t>
        </is>
      </c>
      <c r="G1643" s="18" t="inlineStr">
        <is>
          <t>OP10270</t>
        </is>
      </c>
      <c r="H1643" s="19">
        <f>UPPER(Table3[[#This Row],[Agen id]]&amp;"-"&amp;VLOOKUP(Table3[[#This Row],[Agen id]],A:B,2,0)&amp;"("&amp;Table3[[#This Row],[Short]]&amp;")")</f>
        <v/>
      </c>
      <c r="J1643" s="7">
        <f>VLOOKUP(Table3[[#This Row],[Agen id]],Agen!A:C,3,0)</f>
        <v/>
      </c>
      <c r="K1643" s="37">
        <f>TRIM(LEFT(Table3[[#This Row],[Group]],2))</f>
        <v/>
      </c>
      <c r="L1643" s="3" t="inlineStr">
        <is>
          <t>NON SALES</t>
        </is>
      </c>
    </row>
    <row r="1644">
      <c r="A1644" s="5" t="inlineStr">
        <is>
          <t>OP10272</t>
        </is>
      </c>
      <c r="B1644" s="6" t="inlineStr">
        <is>
          <t>Dhidhi</t>
        </is>
      </c>
      <c r="C1644" s="7" t="inlineStr">
        <is>
          <t>AV - Agen Verified</t>
        </is>
      </c>
      <c r="D1644" s="1" t="inlineStr">
        <is>
          <t>OP00002</t>
        </is>
      </c>
      <c r="E1644" s="8" t="n">
        <v>45276.82013888889</v>
      </c>
      <c r="F1644" s="7" t="inlineStr">
        <is>
          <t>AGEN</t>
        </is>
      </c>
      <c r="G1644" s="18" t="inlineStr">
        <is>
          <t>OP10272</t>
        </is>
      </c>
      <c r="H1644" s="19">
        <f>UPPER(Table3[[#This Row],[Agen id]]&amp;"-"&amp;VLOOKUP(Table3[[#This Row],[Agen id]],A:B,2,0)&amp;"("&amp;Table3[[#This Row],[Short]]&amp;")")</f>
        <v/>
      </c>
      <c r="J1644" s="7">
        <f>VLOOKUP(Table3[[#This Row],[Agen id]],Agen!A:C,3,0)</f>
        <v/>
      </c>
      <c r="K1644" s="37">
        <f>TRIM(LEFT(Table3[[#This Row],[Group]],2))</f>
        <v/>
      </c>
      <c r="L1644" s="3" t="inlineStr">
        <is>
          <t>NON SALES</t>
        </is>
      </c>
    </row>
    <row r="1645">
      <c r="A1645" s="5" t="inlineStr">
        <is>
          <t>OP10273</t>
        </is>
      </c>
      <c r="B1645" s="6" t="inlineStr">
        <is>
          <t>Nuryudha</t>
        </is>
      </c>
      <c r="C1645" s="7" t="inlineStr">
        <is>
          <t>A - Agen</t>
        </is>
      </c>
      <c r="D1645" s="1" t="inlineStr">
        <is>
          <t>OP00002</t>
        </is>
      </c>
      <c r="E1645" s="8" t="n">
        <v>45276.8375</v>
      </c>
      <c r="F1645" s="7" t="inlineStr">
        <is>
          <t>AGEN</t>
        </is>
      </c>
      <c r="G1645" s="18" t="inlineStr">
        <is>
          <t>OP10273</t>
        </is>
      </c>
      <c r="H1645" s="19">
        <f>UPPER(Table3[[#This Row],[Agen id]]&amp;"-"&amp;VLOOKUP(Table3[[#This Row],[Agen id]],A:B,2,0)&amp;"("&amp;Table3[[#This Row],[Short]]&amp;")")</f>
        <v/>
      </c>
      <c r="J1645" s="7">
        <f>VLOOKUP(Table3[[#This Row],[Agen id]],Agen!A:C,3,0)</f>
        <v/>
      </c>
      <c r="K1645" s="37">
        <f>TRIM(LEFT(Table3[[#This Row],[Group]],2))</f>
        <v/>
      </c>
      <c r="L1645" s="3" t="inlineStr">
        <is>
          <t>NON SALES</t>
        </is>
      </c>
    </row>
    <row r="1646">
      <c r="A1646" s="5" t="inlineStr">
        <is>
          <t>OP10277</t>
        </is>
      </c>
      <c r="B1646" s="6" t="inlineStr">
        <is>
          <t>Rahman</t>
        </is>
      </c>
      <c r="C1646" s="7" t="inlineStr">
        <is>
          <t>A - Agen</t>
        </is>
      </c>
      <c r="D1646" s="1" t="inlineStr">
        <is>
          <t>OP00002</t>
        </is>
      </c>
      <c r="E1646" s="8" t="n">
        <v>45276.87916666667</v>
      </c>
      <c r="F1646" s="7" t="inlineStr">
        <is>
          <t>AGEN</t>
        </is>
      </c>
      <c r="G1646" s="18" t="inlineStr">
        <is>
          <t>OP10277</t>
        </is>
      </c>
      <c r="H1646" s="19">
        <f>UPPER(Table3[[#This Row],[Agen id]]&amp;"-"&amp;VLOOKUP(Table3[[#This Row],[Agen id]],A:B,2,0)&amp;"("&amp;Table3[[#This Row],[Short]]&amp;")")</f>
        <v/>
      </c>
      <c r="J1646" s="7">
        <f>VLOOKUP(Table3[[#This Row],[Agen id]],Agen!A:C,3,0)</f>
        <v/>
      </c>
      <c r="K1646" s="37">
        <f>TRIM(LEFT(Table3[[#This Row],[Group]],2))</f>
        <v/>
      </c>
      <c r="L1646" s="3" t="inlineStr">
        <is>
          <t>NON SALES</t>
        </is>
      </c>
    </row>
    <row r="1647">
      <c r="A1647" s="5" t="inlineStr">
        <is>
          <t>OP10300</t>
        </is>
      </c>
      <c r="B1647" s="6" t="inlineStr">
        <is>
          <t>Toko dinda 2</t>
        </is>
      </c>
      <c r="C1647" s="7" t="inlineStr">
        <is>
          <t>AT1 - Agen Tangerang</t>
        </is>
      </c>
      <c r="D1647" s="1" t="inlineStr">
        <is>
          <t>OP07683</t>
        </is>
      </c>
      <c r="E1647" s="8" t="n">
        <v>45277.88819444444</v>
      </c>
      <c r="F1647" s="7" t="inlineStr">
        <is>
          <t>AGEN</t>
        </is>
      </c>
      <c r="G1647" s="18" t="inlineStr">
        <is>
          <t>OP10300</t>
        </is>
      </c>
      <c r="H1647" s="19">
        <f>UPPER(Table3[[#This Row],[Agen id]]&amp;"-"&amp;VLOOKUP(Table3[[#This Row],[Agen id]],A:B,2,0)&amp;"("&amp;Table3[[#This Row],[Short]]&amp;")")</f>
        <v/>
      </c>
      <c r="J1647" s="7">
        <f>VLOOKUP(Table3[[#This Row],[Agen id]],Agen!A:C,3,0)</f>
        <v/>
      </c>
      <c r="K1647" s="37">
        <f>TRIM(LEFT(Table3[[#This Row],[Group]],2))</f>
        <v/>
      </c>
      <c r="L1647" s="3" t="inlineStr">
        <is>
          <t>AZIZ</t>
        </is>
      </c>
    </row>
    <row r="1648">
      <c r="A1648" s="5" t="inlineStr">
        <is>
          <t>OP10301</t>
        </is>
      </c>
      <c r="B1648" s="6" t="inlineStr">
        <is>
          <t>BAMBANG TRIONO</t>
        </is>
      </c>
      <c r="C1648" s="7" t="inlineStr">
        <is>
          <t>AV - Agen Verified</t>
        </is>
      </c>
      <c r="D1648" s="1" t="inlineStr">
        <is>
          <t>OP02076</t>
        </is>
      </c>
      <c r="E1648" s="8" t="n">
        <v>45277.88819444444</v>
      </c>
      <c r="F1648" s="7" t="inlineStr">
        <is>
          <t>DOWNLINE</t>
        </is>
      </c>
      <c r="G1648" s="18" t="inlineStr">
        <is>
          <t>OP02076</t>
        </is>
      </c>
      <c r="H1648" s="19">
        <f>UPPER(Table3[[#This Row],[Agen id]]&amp;"-"&amp;VLOOKUP(Table3[[#This Row],[Agen id]],A:B,2,0)&amp;"("&amp;Table3[[#This Row],[Short]]&amp;")")</f>
        <v/>
      </c>
      <c r="J1648" s="7">
        <f>VLOOKUP(Table3[[#This Row],[Agen id]],Agen!A:C,3,0)</f>
        <v/>
      </c>
      <c r="K1648" s="37">
        <f>TRIM(LEFT(Table3[[#This Row],[Group]],2))</f>
        <v/>
      </c>
      <c r="L1648" s="3" t="inlineStr">
        <is>
          <t>NON SALES</t>
        </is>
      </c>
    </row>
    <row r="1649">
      <c r="A1649" s="5" t="inlineStr">
        <is>
          <t>OP10315</t>
        </is>
      </c>
      <c r="B1649" s="6" t="inlineStr">
        <is>
          <t>SARMI CELL</t>
        </is>
      </c>
      <c r="C1649" s="7" t="inlineStr">
        <is>
          <t>AV - Agen Verified</t>
        </is>
      </c>
      <c r="D1649" s="1" t="inlineStr">
        <is>
          <t>OP00909</t>
        </is>
      </c>
      <c r="E1649" s="8" t="n">
        <v>45278.70625</v>
      </c>
      <c r="F1649" s="7" t="inlineStr">
        <is>
          <t>DOWNLINE</t>
        </is>
      </c>
      <c r="G1649" s="18" t="inlineStr">
        <is>
          <t>OP00909</t>
        </is>
      </c>
      <c r="H1649" s="19">
        <f>UPPER(Table3[[#This Row],[Agen id]]&amp;"-"&amp;VLOOKUP(Table3[[#This Row],[Agen id]],A:B,2,0)&amp;"("&amp;Table3[[#This Row],[Short]]&amp;")")</f>
        <v/>
      </c>
      <c r="J1649" s="7">
        <f>VLOOKUP(Table3[[#This Row],[Agen id]],Agen!A:C,3,0)</f>
        <v/>
      </c>
      <c r="K1649" s="37">
        <f>TRIM(LEFT(Table3[[#This Row],[Group]],2))</f>
        <v/>
      </c>
      <c r="L1649" s="3" t="inlineStr">
        <is>
          <t>NON SALES</t>
        </is>
      </c>
    </row>
    <row r="1650">
      <c r="A1650" s="5" t="inlineStr">
        <is>
          <t>OP10333</t>
        </is>
      </c>
      <c r="B1650" s="6" t="inlineStr">
        <is>
          <t>Laras Dara Arlita</t>
        </is>
      </c>
      <c r="C1650" s="7" t="inlineStr">
        <is>
          <t>A - Agen</t>
        </is>
      </c>
      <c r="D1650" s="1" t="inlineStr">
        <is>
          <t>OP00002</t>
        </is>
      </c>
      <c r="E1650" s="8" t="n">
        <v>45279.35486111111</v>
      </c>
      <c r="F1650" s="7" t="inlineStr">
        <is>
          <t>AGEN</t>
        </is>
      </c>
      <c r="G1650" s="18" t="inlineStr">
        <is>
          <t>OP10333</t>
        </is>
      </c>
      <c r="H1650" s="19">
        <f>UPPER(Table3[[#This Row],[Agen id]]&amp;"-"&amp;VLOOKUP(Table3[[#This Row],[Agen id]],A:B,2,0)&amp;"("&amp;Table3[[#This Row],[Short]]&amp;")")</f>
        <v/>
      </c>
      <c r="J1650" s="7">
        <f>VLOOKUP(Table3[[#This Row],[Agen id]],Agen!A:C,3,0)</f>
        <v/>
      </c>
      <c r="K1650" s="37">
        <f>TRIM(LEFT(Table3[[#This Row],[Group]],2))</f>
        <v/>
      </c>
      <c r="L1650" s="3" t="inlineStr">
        <is>
          <t>NON SALES</t>
        </is>
      </c>
    </row>
    <row r="1651">
      <c r="A1651" s="5" t="inlineStr">
        <is>
          <t>OP10335</t>
        </is>
      </c>
      <c r="B1651" s="6" t="inlineStr">
        <is>
          <t>MUN CELL</t>
        </is>
      </c>
      <c r="C1651" s="7" t="inlineStr">
        <is>
          <t>AV - Agen Verified</t>
        </is>
      </c>
      <c r="D1651" s="1" t="inlineStr">
        <is>
          <t>OP00909</t>
        </is>
      </c>
      <c r="E1651" s="8" t="n">
        <v>45279.43125</v>
      </c>
      <c r="F1651" s="7" t="inlineStr">
        <is>
          <t>DOWNLINE</t>
        </is>
      </c>
      <c r="G1651" s="18" t="inlineStr">
        <is>
          <t>OP00909</t>
        </is>
      </c>
      <c r="H1651" s="19">
        <f>UPPER(Table3[[#This Row],[Agen id]]&amp;"-"&amp;VLOOKUP(Table3[[#This Row],[Agen id]],A:B,2,0)&amp;"("&amp;Table3[[#This Row],[Short]]&amp;")")</f>
        <v/>
      </c>
      <c r="J1651" s="7">
        <f>VLOOKUP(Table3[[#This Row],[Agen id]],Agen!A:C,3,0)</f>
        <v/>
      </c>
      <c r="K1651" s="37">
        <f>TRIM(LEFT(Table3[[#This Row],[Group]],2))</f>
        <v/>
      </c>
      <c r="L1651" s="3" t="inlineStr">
        <is>
          <t>NON SALES</t>
        </is>
      </c>
    </row>
    <row r="1652">
      <c r="A1652" s="5" t="inlineStr">
        <is>
          <t>OP10336</t>
        </is>
      </c>
      <c r="B1652" s="6" t="inlineStr">
        <is>
          <t>Edindah Lestari</t>
        </is>
      </c>
      <c r="C1652" s="7" t="inlineStr">
        <is>
          <t>AB1 - Agen Kab Bogor</t>
        </is>
      </c>
      <c r="D1652" s="1" t="inlineStr">
        <is>
          <t>OP07367</t>
        </is>
      </c>
      <c r="E1652" s="8" t="n">
        <v>45279.44930555556</v>
      </c>
      <c r="F1652" s="7" t="inlineStr">
        <is>
          <t>AGEN</t>
        </is>
      </c>
      <c r="G1652" s="18" t="inlineStr">
        <is>
          <t>OP10336</t>
        </is>
      </c>
      <c r="H1652" s="19">
        <f>UPPER(Table3[[#This Row],[Agen id]]&amp;"-"&amp;VLOOKUP(Table3[[#This Row],[Agen id]],A:B,2,0)&amp;"("&amp;Table3[[#This Row],[Short]]&amp;")")</f>
        <v/>
      </c>
      <c r="J1652" s="7">
        <f>VLOOKUP(Table3[[#This Row],[Agen id]],Agen!A:C,3,0)</f>
        <v/>
      </c>
      <c r="K1652" s="37">
        <f>TRIM(LEFT(Table3[[#This Row],[Group]],2))</f>
        <v/>
      </c>
      <c r="L1652" s="3" t="inlineStr">
        <is>
          <t>ARIS</t>
        </is>
      </c>
    </row>
    <row r="1653">
      <c r="A1653" s="5" t="inlineStr">
        <is>
          <t>OP10338</t>
        </is>
      </c>
      <c r="B1653" s="6" t="inlineStr">
        <is>
          <t>Nur cahaya</t>
        </is>
      </c>
      <c r="C1653" s="7" t="inlineStr">
        <is>
          <t>A - Agen</t>
        </is>
      </c>
      <c r="D1653" s="1" t="inlineStr">
        <is>
          <t>OP05773</t>
        </is>
      </c>
      <c r="E1653" s="8" t="n">
        <v>45279.53819444445</v>
      </c>
      <c r="F1653" s="7" t="inlineStr">
        <is>
          <t>DOWNLINE</t>
        </is>
      </c>
      <c r="G1653" s="18" t="inlineStr">
        <is>
          <t>OP04099</t>
        </is>
      </c>
      <c r="H1653" s="19">
        <f>UPPER(Table3[[#This Row],[Agen id]]&amp;"-"&amp;VLOOKUP(Table3[[#This Row],[Agen id]],A:B,2,0)&amp;"("&amp;Table3[[#This Row],[Short]]&amp;")")</f>
        <v/>
      </c>
      <c r="J1653" s="7">
        <f>VLOOKUP(Table3[[#This Row],[Agen id]],Agen!A:C,3,0)</f>
        <v/>
      </c>
      <c r="K1653" s="37">
        <f>TRIM(LEFT(Table3[[#This Row],[Group]],2))</f>
        <v/>
      </c>
      <c r="L1653" s="3" t="inlineStr">
        <is>
          <t>NON SALES</t>
        </is>
      </c>
    </row>
    <row r="1654">
      <c r="A1654" s="5" t="inlineStr">
        <is>
          <t>OP10339</t>
        </is>
      </c>
      <c r="B1654" s="6" t="inlineStr">
        <is>
          <t>ALZAIDAN CELL</t>
        </is>
      </c>
      <c r="C1654" s="7" t="inlineStr">
        <is>
          <t>AV - Agen Verified</t>
        </is>
      </c>
      <c r="D1654" s="1" t="inlineStr">
        <is>
          <t>OP00002</t>
        </is>
      </c>
      <c r="E1654" s="8" t="n">
        <v>45279.60277777778</v>
      </c>
      <c r="F1654" s="7" t="inlineStr">
        <is>
          <t>AGEN</t>
        </is>
      </c>
      <c r="G1654" s="18" t="inlineStr">
        <is>
          <t>OP10339</t>
        </is>
      </c>
      <c r="H1654" s="19">
        <f>UPPER(Table3[[#This Row],[Agen id]]&amp;"-"&amp;VLOOKUP(Table3[[#This Row],[Agen id]],A:B,2,0)&amp;"("&amp;Table3[[#This Row],[Short]]&amp;")")</f>
        <v/>
      </c>
      <c r="J1654" s="7">
        <f>VLOOKUP(Table3[[#This Row],[Agen id]],Agen!A:C,3,0)</f>
        <v/>
      </c>
      <c r="K1654" s="37">
        <f>TRIM(LEFT(Table3[[#This Row],[Group]],2))</f>
        <v/>
      </c>
      <c r="L1654" s="3" t="inlineStr">
        <is>
          <t>NON SALES</t>
        </is>
      </c>
    </row>
    <row r="1655">
      <c r="A1655" s="5" t="inlineStr">
        <is>
          <t>OP10354</t>
        </is>
      </c>
      <c r="B1655" s="6" t="inlineStr">
        <is>
          <t>ABDUL SYUKUR</t>
        </is>
      </c>
      <c r="C1655" s="7" t="inlineStr">
        <is>
          <t>AB1 - Agen Kab Bogor</t>
        </is>
      </c>
      <c r="D1655" s="1" t="inlineStr">
        <is>
          <t>OP00002</t>
        </is>
      </c>
      <c r="E1655" s="8" t="n">
        <v>45279.98541666667</v>
      </c>
      <c r="F1655" s="7" t="inlineStr">
        <is>
          <t>AGEN</t>
        </is>
      </c>
      <c r="G1655" s="18" t="inlineStr">
        <is>
          <t>OP10354</t>
        </is>
      </c>
      <c r="H1655" s="19">
        <f>UPPER(Table3[[#This Row],[Agen id]]&amp;"-"&amp;VLOOKUP(Table3[[#This Row],[Agen id]],A:B,2,0)&amp;"("&amp;Table3[[#This Row],[Short]]&amp;")")</f>
        <v/>
      </c>
      <c r="J1655" s="7">
        <f>VLOOKUP(Table3[[#This Row],[Agen id]],Agen!A:C,3,0)</f>
        <v/>
      </c>
      <c r="K1655" s="37">
        <f>TRIM(LEFT(Table3[[#This Row],[Group]],2))</f>
        <v/>
      </c>
      <c r="L1655" s="3" t="inlineStr">
        <is>
          <t>NON SALES</t>
        </is>
      </c>
    </row>
    <row r="1656">
      <c r="A1656" s="5" t="inlineStr">
        <is>
          <t>OP10360</t>
        </is>
      </c>
      <c r="B1656" s="6" t="inlineStr">
        <is>
          <t>Yinniyah</t>
        </is>
      </c>
      <c r="C1656" s="7" t="inlineStr">
        <is>
          <t>AV - Agen Verified</t>
        </is>
      </c>
      <c r="D1656" s="1" t="inlineStr">
        <is>
          <t>OP00002</t>
        </is>
      </c>
      <c r="E1656" s="8" t="n">
        <v>45280.53055555555</v>
      </c>
      <c r="F1656" s="7" t="inlineStr">
        <is>
          <t>AGEN</t>
        </is>
      </c>
      <c r="G1656" s="18" t="inlineStr">
        <is>
          <t>OP10360</t>
        </is>
      </c>
      <c r="H1656" s="19">
        <f>UPPER(Table3[[#This Row],[Agen id]]&amp;"-"&amp;VLOOKUP(Table3[[#This Row],[Agen id]],A:B,2,0)&amp;"("&amp;Table3[[#This Row],[Short]]&amp;")")</f>
        <v/>
      </c>
      <c r="J1656" s="7">
        <f>VLOOKUP(Table3[[#This Row],[Agen id]],Agen!A:C,3,0)</f>
        <v/>
      </c>
      <c r="K1656" s="37">
        <f>TRIM(LEFT(Table3[[#This Row],[Group]],2))</f>
        <v/>
      </c>
      <c r="L1656" s="3" t="inlineStr">
        <is>
          <t>AZIZ</t>
        </is>
      </c>
    </row>
    <row r="1657">
      <c r="A1657" s="5" t="inlineStr">
        <is>
          <t>OP10365</t>
        </is>
      </c>
      <c r="B1657" s="6" t="inlineStr">
        <is>
          <t>Mah Bilal Cell</t>
        </is>
      </c>
      <c r="C1657" s="7" t="inlineStr">
        <is>
          <t>AK - Agen Khusus</t>
        </is>
      </c>
      <c r="D1657" s="1" t="inlineStr">
        <is>
          <t>OP06781</t>
        </is>
      </c>
      <c r="E1657" s="8" t="n">
        <v>45280.74027777778</v>
      </c>
      <c r="F1657" s="7" t="inlineStr">
        <is>
          <t>DOWNLINE</t>
        </is>
      </c>
      <c r="G1657" s="18" t="inlineStr">
        <is>
          <t>OP06781</t>
        </is>
      </c>
      <c r="H1657" s="19">
        <f>UPPER(Table3[[#This Row],[Agen id]]&amp;"-"&amp;VLOOKUP(Table3[[#This Row],[Agen id]],A:B,2,0)&amp;"("&amp;Table3[[#This Row],[Short]]&amp;")")</f>
        <v/>
      </c>
      <c r="J1657" s="7">
        <f>VLOOKUP(Table3[[#This Row],[Agen id]],Agen!A:C,3,0)</f>
        <v/>
      </c>
      <c r="K1657" s="37">
        <f>TRIM(LEFT(Table3[[#This Row],[Group]],2))</f>
        <v/>
      </c>
      <c r="L1657" s="3" t="inlineStr">
        <is>
          <t>NON SALES</t>
        </is>
      </c>
    </row>
    <row r="1658">
      <c r="A1658" s="5" t="inlineStr">
        <is>
          <t>OP10369</t>
        </is>
      </c>
      <c r="B1658" s="6" t="inlineStr">
        <is>
          <t>Toko Ria</t>
        </is>
      </c>
      <c r="C1658" s="7" t="inlineStr">
        <is>
          <t>AT1 - Agen Tangerang</t>
        </is>
      </c>
      <c r="D1658" s="1" t="inlineStr">
        <is>
          <t>OP07683</t>
        </is>
      </c>
      <c r="E1658" s="8" t="n">
        <v>45280.85277777778</v>
      </c>
      <c r="F1658" s="7" t="inlineStr">
        <is>
          <t>AGEN</t>
        </is>
      </c>
      <c r="G1658" s="18" t="inlineStr">
        <is>
          <t>OP10369</t>
        </is>
      </c>
      <c r="H1658" s="19">
        <f>UPPER(Table3[[#This Row],[Agen id]]&amp;"-"&amp;VLOOKUP(Table3[[#This Row],[Agen id]],A:B,2,0)&amp;"("&amp;Table3[[#This Row],[Short]]&amp;")")</f>
        <v/>
      </c>
      <c r="J1658" s="7">
        <f>VLOOKUP(Table3[[#This Row],[Agen id]],Agen!A:C,3,0)</f>
        <v/>
      </c>
      <c r="K1658" s="37">
        <f>TRIM(LEFT(Table3[[#This Row],[Group]],2))</f>
        <v/>
      </c>
      <c r="L1658" s="3" t="inlineStr">
        <is>
          <t>AZIZ</t>
        </is>
      </c>
    </row>
    <row r="1659">
      <c r="A1659" s="5" t="inlineStr">
        <is>
          <t>OP10388</t>
        </is>
      </c>
      <c r="B1659" s="6" t="inlineStr">
        <is>
          <t>Dewi</t>
        </is>
      </c>
      <c r="C1659" s="7" t="inlineStr">
        <is>
          <t>AV - Agen Verified</t>
        </is>
      </c>
      <c r="D1659" s="1" t="inlineStr">
        <is>
          <t>OP07725</t>
        </is>
      </c>
      <c r="E1659" s="8" t="n">
        <v>45281.62847222222</v>
      </c>
      <c r="F1659" s="7" t="inlineStr">
        <is>
          <t>AGEN</t>
        </is>
      </c>
      <c r="G1659" s="18" t="inlineStr">
        <is>
          <t>OP10388</t>
        </is>
      </c>
      <c r="H1659" s="19">
        <f>UPPER(Table3[[#This Row],[Agen id]]&amp;"-"&amp;VLOOKUP(Table3[[#This Row],[Agen id]],A:B,2,0)&amp;"("&amp;Table3[[#This Row],[Short]]&amp;")")</f>
        <v/>
      </c>
      <c r="J1659" s="7">
        <f>VLOOKUP(Table3[[#This Row],[Agen id]],Agen!A:C,3,0)</f>
        <v/>
      </c>
      <c r="K1659" s="37">
        <f>TRIM(LEFT(Table3[[#This Row],[Group]],2))</f>
        <v/>
      </c>
      <c r="L1659" s="3" t="inlineStr">
        <is>
          <t>NON SALES</t>
        </is>
      </c>
    </row>
    <row r="1660">
      <c r="A1660" s="5" t="inlineStr">
        <is>
          <t>OP10391</t>
        </is>
      </c>
      <c r="B1660" s="6" t="inlineStr">
        <is>
          <t>Sudin Albasitu</t>
        </is>
      </c>
      <c r="C1660" s="7" t="inlineStr">
        <is>
          <t>AV - Agen Verified</t>
        </is>
      </c>
      <c r="D1660" s="1" t="inlineStr">
        <is>
          <t>OP00996</t>
        </is>
      </c>
      <c r="E1660" s="8" t="n">
        <v>45281.80763888889</v>
      </c>
      <c r="F1660" s="7" t="inlineStr">
        <is>
          <t>DOWNLINE</t>
        </is>
      </c>
      <c r="G1660" s="18" t="inlineStr">
        <is>
          <t>OP00996</t>
        </is>
      </c>
      <c r="H1660" s="19">
        <f>UPPER(Table3[[#This Row],[Agen id]]&amp;"-"&amp;VLOOKUP(Table3[[#This Row],[Agen id]],A:B,2,0)&amp;"("&amp;Table3[[#This Row],[Short]]&amp;")")</f>
        <v/>
      </c>
      <c r="J1660" s="7">
        <f>VLOOKUP(Table3[[#This Row],[Agen id]],Agen!A:C,3,0)</f>
        <v/>
      </c>
      <c r="K1660" s="37">
        <f>TRIM(LEFT(Table3[[#This Row],[Group]],2))</f>
        <v/>
      </c>
      <c r="L1660" s="3" t="inlineStr">
        <is>
          <t>NON SALES</t>
        </is>
      </c>
    </row>
    <row r="1661">
      <c r="A1661" s="5" t="inlineStr">
        <is>
          <t>OP10399</t>
        </is>
      </c>
      <c r="B1661" s="6" t="inlineStr">
        <is>
          <t>Suci</t>
        </is>
      </c>
      <c r="C1661" s="7" t="inlineStr">
        <is>
          <t>A - Agen</t>
        </is>
      </c>
      <c r="D1661" s="1" t="inlineStr">
        <is>
          <t>OP00002</t>
        </is>
      </c>
      <c r="E1661" s="8" t="n">
        <v>45282.28611111111</v>
      </c>
      <c r="F1661" s="7" t="inlineStr">
        <is>
          <t>AGEN</t>
        </is>
      </c>
      <c r="G1661" s="18" t="inlineStr">
        <is>
          <t>OP10399</t>
        </is>
      </c>
      <c r="H1661" s="19">
        <f>UPPER(Table3[[#This Row],[Agen id]]&amp;"-"&amp;VLOOKUP(Table3[[#This Row],[Agen id]],A:B,2,0)&amp;"("&amp;Table3[[#This Row],[Short]]&amp;")")</f>
        <v/>
      </c>
      <c r="J1661" s="7">
        <f>VLOOKUP(Table3[[#This Row],[Agen id]],Agen!A:C,3,0)</f>
        <v/>
      </c>
      <c r="K1661" s="37">
        <f>TRIM(LEFT(Table3[[#This Row],[Group]],2))</f>
        <v/>
      </c>
      <c r="L1661" s="3" t="inlineStr">
        <is>
          <t>NON SALES</t>
        </is>
      </c>
    </row>
    <row r="1662">
      <c r="A1662" s="5" t="inlineStr">
        <is>
          <t>OP10403</t>
        </is>
      </c>
      <c r="B1662" s="6" t="inlineStr">
        <is>
          <t>Siti marinah</t>
        </is>
      </c>
      <c r="C1662" s="7" t="inlineStr">
        <is>
          <t>A - Agen</t>
        </is>
      </c>
      <c r="D1662" s="1" t="inlineStr">
        <is>
          <t>OP00996</t>
        </is>
      </c>
      <c r="E1662" s="8" t="n">
        <v>45282.58958333333</v>
      </c>
      <c r="F1662" s="7" t="inlineStr">
        <is>
          <t>DOWNLINE</t>
        </is>
      </c>
      <c r="G1662" s="18" t="inlineStr">
        <is>
          <t>OP00996</t>
        </is>
      </c>
      <c r="H1662" s="19">
        <f>UPPER(Table3[[#This Row],[Agen id]]&amp;"-"&amp;VLOOKUP(Table3[[#This Row],[Agen id]],A:B,2,0)&amp;"("&amp;Table3[[#This Row],[Short]]&amp;")")</f>
        <v/>
      </c>
      <c r="J1662" s="7">
        <f>VLOOKUP(Table3[[#This Row],[Agen id]],Agen!A:C,3,0)</f>
        <v/>
      </c>
      <c r="K1662" s="37">
        <f>TRIM(LEFT(Table3[[#This Row],[Group]],2))</f>
        <v/>
      </c>
      <c r="L1662" s="3" t="inlineStr">
        <is>
          <t>NON SALES</t>
        </is>
      </c>
    </row>
    <row r="1663">
      <c r="A1663" s="5" t="inlineStr">
        <is>
          <t>OP10404</t>
        </is>
      </c>
      <c r="B1663" s="6" t="inlineStr">
        <is>
          <t>Lubis cell</t>
        </is>
      </c>
      <c r="C1663" s="7" t="inlineStr">
        <is>
          <t>AV - Agen Verified</t>
        </is>
      </c>
      <c r="D1663" s="1" t="inlineStr">
        <is>
          <t>OP00002</t>
        </is>
      </c>
      <c r="E1663" s="8" t="n">
        <v>45282.59444444445</v>
      </c>
      <c r="F1663" s="7" t="inlineStr">
        <is>
          <t>AGEN</t>
        </is>
      </c>
      <c r="G1663" s="18" t="inlineStr">
        <is>
          <t>OP10404</t>
        </is>
      </c>
      <c r="H1663" s="19">
        <f>UPPER(Table3[[#This Row],[Agen id]]&amp;"-"&amp;VLOOKUP(Table3[[#This Row],[Agen id]],A:B,2,0)&amp;"("&amp;Table3[[#This Row],[Short]]&amp;")")</f>
        <v/>
      </c>
      <c r="J1663" s="7">
        <f>VLOOKUP(Table3[[#This Row],[Agen id]],Agen!A:C,3,0)</f>
        <v/>
      </c>
      <c r="K1663" s="37">
        <f>TRIM(LEFT(Table3[[#This Row],[Group]],2))</f>
        <v/>
      </c>
      <c r="L1663" s="3" t="inlineStr">
        <is>
          <t>NON SALES</t>
        </is>
      </c>
    </row>
    <row r="1664">
      <c r="A1664" s="5" t="inlineStr">
        <is>
          <t>OP10429</t>
        </is>
      </c>
      <c r="B1664" s="6" t="inlineStr">
        <is>
          <t>MAYA CELL</t>
        </is>
      </c>
      <c r="C1664" s="7" t="inlineStr">
        <is>
          <t>A - Agen</t>
        </is>
      </c>
      <c r="D1664" s="1" t="inlineStr">
        <is>
          <t>OP00002</t>
        </is>
      </c>
      <c r="E1664" s="8" t="n">
        <v>45283.54861111111</v>
      </c>
      <c r="F1664" s="7" t="inlineStr">
        <is>
          <t>AGEN</t>
        </is>
      </c>
      <c r="G1664" s="18" t="inlineStr">
        <is>
          <t>OP10429</t>
        </is>
      </c>
      <c r="H1664" s="19">
        <f>UPPER(Table3[[#This Row],[Agen id]]&amp;"-"&amp;VLOOKUP(Table3[[#This Row],[Agen id]],A:B,2,0)&amp;"("&amp;Table3[[#This Row],[Short]]&amp;")")</f>
        <v/>
      </c>
      <c r="J1664" s="7">
        <f>VLOOKUP(Table3[[#This Row],[Agen id]],Agen!A:C,3,0)</f>
        <v/>
      </c>
      <c r="K1664" s="37">
        <f>TRIM(LEFT(Table3[[#This Row],[Group]],2))</f>
        <v/>
      </c>
      <c r="L1664" s="3" t="inlineStr">
        <is>
          <t>NON SALES</t>
        </is>
      </c>
    </row>
    <row r="1665">
      <c r="A1665" s="5" t="inlineStr">
        <is>
          <t>OP10444</t>
        </is>
      </c>
      <c r="B1665" s="6" t="inlineStr">
        <is>
          <t>Toko Apri</t>
        </is>
      </c>
      <c r="C1665" s="7" t="inlineStr">
        <is>
          <t>AT1 - Agen Tangerang</t>
        </is>
      </c>
      <c r="D1665" s="1" t="inlineStr">
        <is>
          <t>OP07683</t>
        </is>
      </c>
      <c r="E1665" s="8" t="n">
        <v>45285.83958333333</v>
      </c>
      <c r="F1665" s="7" t="inlineStr">
        <is>
          <t>AGEN</t>
        </is>
      </c>
      <c r="G1665" s="18" t="inlineStr">
        <is>
          <t>OP10444</t>
        </is>
      </c>
      <c r="H1665" s="19">
        <f>UPPER(Table3[[#This Row],[Agen id]]&amp;"-"&amp;VLOOKUP(Table3[[#This Row],[Agen id]],A:B,2,0)&amp;"("&amp;Table3[[#This Row],[Short]]&amp;")")</f>
        <v/>
      </c>
      <c r="J1665" s="7">
        <f>VLOOKUP(Table3[[#This Row],[Agen id]],Agen!A:C,3,0)</f>
        <v/>
      </c>
      <c r="K1665" s="37">
        <f>TRIM(LEFT(Table3[[#This Row],[Group]],2))</f>
        <v/>
      </c>
      <c r="L1665" s="3" t="inlineStr">
        <is>
          <t>AZIZ</t>
        </is>
      </c>
    </row>
    <row r="1666">
      <c r="A1666" s="5" t="inlineStr">
        <is>
          <t>OP10446</t>
        </is>
      </c>
      <c r="B1666" s="6" t="inlineStr">
        <is>
          <t>24 Cell Inpres</t>
        </is>
      </c>
      <c r="C1666" s="7" t="inlineStr">
        <is>
          <t>MK - Marketing</t>
        </is>
      </c>
      <c r="D1666" s="1" t="inlineStr">
        <is>
          <t>OP07489</t>
        </is>
      </c>
      <c r="E1666" s="8" t="n">
        <v>45286.45902777778</v>
      </c>
      <c r="F1666" s="7" t="inlineStr">
        <is>
          <t>DOWNLINE</t>
        </is>
      </c>
      <c r="G1666" s="18" t="inlineStr">
        <is>
          <t>OP07489</t>
        </is>
      </c>
      <c r="H1666" s="19">
        <f>UPPER(Table3[[#This Row],[Agen id]]&amp;"-"&amp;VLOOKUP(Table3[[#This Row],[Agen id]],A:B,2,0)&amp;"("&amp;Table3[[#This Row],[Short]]&amp;")")</f>
        <v/>
      </c>
      <c r="J1666" s="7">
        <f>VLOOKUP(Table3[[#This Row],[Agen id]],Agen!A:C,3,0)</f>
        <v/>
      </c>
      <c r="K1666" s="37">
        <f>TRIM(LEFT(Table3[[#This Row],[Group]],2))</f>
        <v/>
      </c>
      <c r="L1666" s="3" t="inlineStr">
        <is>
          <t>NON SALES</t>
        </is>
      </c>
    </row>
    <row r="1667">
      <c r="A1667" s="5" t="inlineStr">
        <is>
          <t>OP10449</t>
        </is>
      </c>
      <c r="B1667" s="6" t="inlineStr">
        <is>
          <t>Toko Bintang soleh</t>
        </is>
      </c>
      <c r="C1667" s="7" t="inlineStr">
        <is>
          <t>AT1 - Agen Tangerang</t>
        </is>
      </c>
      <c r="D1667" s="1" t="inlineStr">
        <is>
          <t>OP07683</t>
        </is>
      </c>
      <c r="E1667" s="8" t="n">
        <v>45288.7625</v>
      </c>
      <c r="F1667" s="7" t="inlineStr">
        <is>
          <t>AGEN</t>
        </is>
      </c>
      <c r="G1667" s="18" t="inlineStr">
        <is>
          <t>OP10449</t>
        </is>
      </c>
      <c r="H1667" s="19">
        <f>UPPER(Table3[[#This Row],[Agen id]]&amp;"-"&amp;VLOOKUP(Table3[[#This Row],[Agen id]],A:B,2,0)&amp;"("&amp;Table3[[#This Row],[Short]]&amp;")")</f>
        <v/>
      </c>
      <c r="J1667" s="7">
        <f>VLOOKUP(Table3[[#This Row],[Agen id]],Agen!A:C,3,0)</f>
        <v/>
      </c>
      <c r="K1667" s="37">
        <f>TRIM(LEFT(Table3[[#This Row],[Group]],2))</f>
        <v/>
      </c>
      <c r="L1667" s="3" t="inlineStr">
        <is>
          <t>AZIZ</t>
        </is>
      </c>
    </row>
    <row r="1668">
      <c r="A1668" s="5" t="inlineStr">
        <is>
          <t>OP10450</t>
        </is>
      </c>
      <c r="B1668" s="6" t="inlineStr">
        <is>
          <t>TOKO MURAH BAROKAH</t>
        </is>
      </c>
      <c r="C1668" s="7" t="inlineStr">
        <is>
          <t>A - Agen</t>
        </is>
      </c>
      <c r="D1668" s="1" t="inlineStr">
        <is>
          <t>OP00002</t>
        </is>
      </c>
      <c r="E1668" s="8" t="n">
        <v>45289.3875</v>
      </c>
      <c r="F1668" s="7" t="inlineStr">
        <is>
          <t>AGEN</t>
        </is>
      </c>
      <c r="G1668" s="18" t="inlineStr">
        <is>
          <t>OP10450</t>
        </is>
      </c>
      <c r="H1668" s="19">
        <f>UPPER(Table3[[#This Row],[Agen id]]&amp;"-"&amp;VLOOKUP(Table3[[#This Row],[Agen id]],A:B,2,0)&amp;"("&amp;Table3[[#This Row],[Short]]&amp;")")</f>
        <v/>
      </c>
      <c r="J1668" s="7">
        <f>VLOOKUP(Table3[[#This Row],[Agen id]],Agen!A:C,3,0)</f>
        <v/>
      </c>
      <c r="K1668" s="37">
        <f>TRIM(LEFT(Table3[[#This Row],[Group]],2))</f>
        <v/>
      </c>
      <c r="L1668" s="3" t="inlineStr">
        <is>
          <t>NON SALES</t>
        </is>
      </c>
    </row>
    <row r="1669">
      <c r="A1669" s="5" t="inlineStr">
        <is>
          <t>OP10451</t>
        </is>
      </c>
      <c r="B1669" s="6" t="inlineStr">
        <is>
          <t>arya cell</t>
        </is>
      </c>
      <c r="C1669" s="7" t="inlineStr">
        <is>
          <t>AV - Agen Verified</t>
        </is>
      </c>
      <c r="D1669" s="1" t="inlineStr">
        <is>
          <t>OP07725</t>
        </is>
      </c>
      <c r="E1669" s="8" t="n">
        <v>45289.64791666667</v>
      </c>
      <c r="F1669" s="7" t="inlineStr">
        <is>
          <t>AGEN</t>
        </is>
      </c>
      <c r="G1669" s="18" t="inlineStr">
        <is>
          <t>OP10451</t>
        </is>
      </c>
      <c r="H1669" s="19">
        <f>UPPER(Table3[[#This Row],[Agen id]]&amp;"-"&amp;VLOOKUP(Table3[[#This Row],[Agen id]],A:B,2,0)&amp;"("&amp;Table3[[#This Row],[Short]]&amp;")")</f>
        <v/>
      </c>
      <c r="J1669" s="7">
        <f>VLOOKUP(Table3[[#This Row],[Agen id]],Agen!A:C,3,0)</f>
        <v/>
      </c>
      <c r="K1669" s="37">
        <f>TRIM(LEFT(Table3[[#This Row],[Group]],2))</f>
        <v/>
      </c>
      <c r="L1669" s="3" t="inlineStr">
        <is>
          <t>NON SALES</t>
        </is>
      </c>
    </row>
    <row r="1670">
      <c r="A1670" s="5" t="inlineStr">
        <is>
          <t>OP10453</t>
        </is>
      </c>
      <c r="B1670" s="6" t="inlineStr">
        <is>
          <t>IMAS MASNIAH CELLULAR</t>
        </is>
      </c>
      <c r="C1670" s="7" t="inlineStr">
        <is>
          <t>AV - Agen Verified</t>
        </is>
      </c>
      <c r="D1670" s="1" t="inlineStr">
        <is>
          <t>OP00949</t>
        </is>
      </c>
      <c r="E1670" s="8" t="n">
        <v>45289.84166666667</v>
      </c>
      <c r="F1670" s="7" t="inlineStr">
        <is>
          <t>DOWNLINE</t>
        </is>
      </c>
      <c r="G1670" s="18" t="inlineStr">
        <is>
          <t>OP00949</t>
        </is>
      </c>
      <c r="H1670" s="19">
        <f>UPPER(Table3[[#This Row],[Agen id]]&amp;"-"&amp;VLOOKUP(Table3[[#This Row],[Agen id]],A:B,2,0)&amp;"("&amp;Table3[[#This Row],[Short]]&amp;")")</f>
        <v/>
      </c>
      <c r="J1670" s="7">
        <f>VLOOKUP(Table3[[#This Row],[Agen id]],Agen!A:C,3,0)</f>
        <v/>
      </c>
      <c r="K1670" s="37">
        <f>TRIM(LEFT(Table3[[#This Row],[Group]],2))</f>
        <v/>
      </c>
      <c r="L1670" s="3" t="inlineStr">
        <is>
          <t>NON SALES</t>
        </is>
      </c>
    </row>
    <row r="1671">
      <c r="A1671" s="5" t="inlineStr">
        <is>
          <t>OP10455</t>
        </is>
      </c>
      <c r="B1671" s="6" t="inlineStr">
        <is>
          <t>Adri</t>
        </is>
      </c>
      <c r="C1671" s="7" t="inlineStr">
        <is>
          <t>A - Agen</t>
        </is>
      </c>
      <c r="D1671" s="1" t="inlineStr">
        <is>
          <t>OP00002</t>
        </is>
      </c>
      <c r="E1671" s="8" t="n">
        <v>45290.65138888889</v>
      </c>
      <c r="F1671" s="7" t="inlineStr">
        <is>
          <t>AGEN</t>
        </is>
      </c>
      <c r="G1671" s="18" t="inlineStr">
        <is>
          <t>OP10455</t>
        </is>
      </c>
      <c r="H1671" s="19">
        <f>UPPER(Table3[[#This Row],[Agen id]]&amp;"-"&amp;VLOOKUP(Table3[[#This Row],[Agen id]],A:B,2,0)&amp;"("&amp;Table3[[#This Row],[Short]]&amp;")")</f>
        <v/>
      </c>
      <c r="J1671" s="7">
        <f>VLOOKUP(Table3[[#This Row],[Agen id]],Agen!A:C,3,0)</f>
        <v/>
      </c>
      <c r="K1671" s="37">
        <f>TRIM(LEFT(Table3[[#This Row],[Group]],2))</f>
        <v/>
      </c>
      <c r="L1671" s="3" t="inlineStr">
        <is>
          <t>NON SALES</t>
        </is>
      </c>
    </row>
    <row r="1672">
      <c r="A1672" s="5" t="inlineStr">
        <is>
          <t>OP10456</t>
        </is>
      </c>
      <c r="B1672" s="6" t="inlineStr">
        <is>
          <t>Fitria wulansari</t>
        </is>
      </c>
      <c r="C1672" s="7" t="inlineStr">
        <is>
          <t>AV - Agen Verified</t>
        </is>
      </c>
      <c r="D1672" s="1" t="inlineStr">
        <is>
          <t>OP00002</t>
        </is>
      </c>
      <c r="E1672" s="8" t="n">
        <v>45290.71180555555</v>
      </c>
      <c r="F1672" s="7" t="inlineStr">
        <is>
          <t>AGEN</t>
        </is>
      </c>
      <c r="G1672" s="18" t="inlineStr">
        <is>
          <t>OP10456</t>
        </is>
      </c>
      <c r="H1672" s="19">
        <f>UPPER(Table3[[#This Row],[Agen id]]&amp;"-"&amp;VLOOKUP(Table3[[#This Row],[Agen id]],A:B,2,0)&amp;"("&amp;Table3[[#This Row],[Short]]&amp;")")</f>
        <v/>
      </c>
      <c r="J1672" s="7">
        <f>VLOOKUP(Table3[[#This Row],[Agen id]],Agen!A:C,3,0)</f>
        <v/>
      </c>
      <c r="K1672" s="37">
        <f>TRIM(LEFT(Table3[[#This Row],[Group]],2))</f>
        <v/>
      </c>
      <c r="L1672" s="3" t="inlineStr">
        <is>
          <t>NON SALES</t>
        </is>
      </c>
    </row>
    <row r="1673">
      <c r="A1673" s="5" t="inlineStr">
        <is>
          <t>OP10461</t>
        </is>
      </c>
      <c r="B1673" s="6" t="inlineStr">
        <is>
          <t>Jojo celullar</t>
        </is>
      </c>
      <c r="C1673" s="7" t="inlineStr">
        <is>
          <t>A - Agen</t>
        </is>
      </c>
      <c r="D1673" s="1" t="inlineStr">
        <is>
          <t>OP00002</t>
        </is>
      </c>
      <c r="E1673" s="8" t="n">
        <v>45294.03680555556</v>
      </c>
      <c r="F1673" s="7" t="inlineStr">
        <is>
          <t>AGEN</t>
        </is>
      </c>
      <c r="G1673" s="18" t="inlineStr">
        <is>
          <t>OP10461</t>
        </is>
      </c>
      <c r="H1673" s="19">
        <f>UPPER(Table3[[#This Row],[Agen id]]&amp;"-"&amp;VLOOKUP(Table3[[#This Row],[Agen id]],A:B,2,0)&amp;"("&amp;Table3[[#This Row],[Short]]&amp;")")</f>
        <v/>
      </c>
      <c r="J1673" s="7">
        <f>VLOOKUP(Table3[[#This Row],[Agen id]],Agen!A:C,3,0)</f>
        <v/>
      </c>
      <c r="K1673" s="37">
        <f>TRIM(LEFT(Table3[[#This Row],[Group]],2))</f>
        <v/>
      </c>
      <c r="L1673" s="3" t="inlineStr">
        <is>
          <t>NON SALES</t>
        </is>
      </c>
    </row>
    <row r="1674">
      <c r="A1674" s="5" t="inlineStr">
        <is>
          <t>OP10462</t>
        </is>
      </c>
      <c r="B1674" s="6" t="inlineStr">
        <is>
          <t>Supriyadi</t>
        </is>
      </c>
      <c r="C1674" s="7" t="inlineStr">
        <is>
          <t>AV - Agen Verified</t>
        </is>
      </c>
      <c r="D1674" s="1" t="inlineStr">
        <is>
          <t>OP00002</t>
        </is>
      </c>
      <c r="E1674" s="8" t="n">
        <v>45294.29583333333</v>
      </c>
      <c r="F1674" s="7" t="inlineStr">
        <is>
          <t>AGEN</t>
        </is>
      </c>
      <c r="G1674" s="18" t="inlineStr">
        <is>
          <t>OP10462</t>
        </is>
      </c>
      <c r="H1674" s="19">
        <f>UPPER(Table3[[#This Row],[Agen id]]&amp;"-"&amp;VLOOKUP(Table3[[#This Row],[Agen id]],A:B,2,0)&amp;"("&amp;Table3[[#This Row],[Short]]&amp;")")</f>
        <v/>
      </c>
      <c r="J1674" s="7">
        <f>VLOOKUP(Table3[[#This Row],[Agen id]],Agen!A:C,3,0)</f>
        <v/>
      </c>
      <c r="K1674" s="37">
        <f>TRIM(LEFT(Table3[[#This Row],[Group]],2))</f>
        <v/>
      </c>
      <c r="L1674" s="3" t="inlineStr">
        <is>
          <t>NON SALES</t>
        </is>
      </c>
    </row>
    <row r="1675">
      <c r="A1675" s="5" t="inlineStr">
        <is>
          <t>OP10463</t>
        </is>
      </c>
      <c r="B1675" s="6" t="inlineStr">
        <is>
          <t>arshaka</t>
        </is>
      </c>
      <c r="C1675" s="7" t="inlineStr">
        <is>
          <t>AV - Agen Verified</t>
        </is>
      </c>
      <c r="D1675" s="1" t="inlineStr">
        <is>
          <t>OP03216</t>
        </is>
      </c>
      <c r="E1675" s="8" t="n">
        <v>45294.43680555555</v>
      </c>
      <c r="F1675" s="7" t="inlineStr">
        <is>
          <t>DOWNLINE</t>
        </is>
      </c>
      <c r="G1675" s="18" t="inlineStr">
        <is>
          <t>OP00049</t>
        </is>
      </c>
      <c r="H1675" s="19">
        <f>UPPER(Table3[[#This Row],[Agen id]]&amp;"-"&amp;VLOOKUP(Table3[[#This Row],[Agen id]],A:B,2,0)&amp;"("&amp;Table3[[#This Row],[Short]]&amp;")")</f>
        <v/>
      </c>
      <c r="J1675" s="7">
        <f>VLOOKUP(Table3[[#This Row],[Agen id]],Agen!A:C,3,0)</f>
        <v/>
      </c>
      <c r="K1675" s="37">
        <f>TRIM(LEFT(Table3[[#This Row],[Group]],2))</f>
        <v/>
      </c>
      <c r="L1675" s="3" t="inlineStr">
        <is>
          <t>NON SALES</t>
        </is>
      </c>
    </row>
    <row r="1676">
      <c r="A1676" s="5" t="inlineStr">
        <is>
          <t>OP10466</t>
        </is>
      </c>
      <c r="B1676" s="6" t="inlineStr">
        <is>
          <t>Shabira cell</t>
        </is>
      </c>
      <c r="C1676" s="7" t="inlineStr">
        <is>
          <t>AT1 - Agen Tangerang</t>
        </is>
      </c>
      <c r="D1676" s="1" t="inlineStr">
        <is>
          <t>OP07683</t>
        </is>
      </c>
      <c r="E1676" s="8" t="n">
        <v>45295.60625</v>
      </c>
      <c r="F1676" s="7" t="inlineStr">
        <is>
          <t>AGEN</t>
        </is>
      </c>
      <c r="G1676" s="18" t="inlineStr">
        <is>
          <t>OP10466</t>
        </is>
      </c>
      <c r="H1676" s="19">
        <f>UPPER(Table3[[#This Row],[Agen id]]&amp;"-"&amp;VLOOKUP(Table3[[#This Row],[Agen id]],A:B,2,0)&amp;"("&amp;Table3[[#This Row],[Short]]&amp;")")</f>
        <v/>
      </c>
      <c r="J1676" s="7">
        <f>VLOOKUP(Table3[[#This Row],[Agen id]],Agen!A:C,3,0)</f>
        <v/>
      </c>
      <c r="K1676" s="37">
        <f>TRIM(LEFT(Table3[[#This Row],[Group]],2))</f>
        <v/>
      </c>
      <c r="L1676" s="3" t="inlineStr">
        <is>
          <t>AZIZ</t>
        </is>
      </c>
    </row>
    <row r="1677">
      <c r="A1677" s="5" t="inlineStr">
        <is>
          <t>OP10474</t>
        </is>
      </c>
      <c r="B1677" s="6" t="inlineStr">
        <is>
          <t>Zaenal</t>
        </is>
      </c>
      <c r="C1677" s="7" t="inlineStr">
        <is>
          <t>AV - Agen Verified</t>
        </is>
      </c>
      <c r="D1677" s="1" t="inlineStr">
        <is>
          <t>OP09925</t>
        </is>
      </c>
      <c r="E1677" s="8" t="n">
        <v>45300.34236111111</v>
      </c>
      <c r="F1677" s="7" t="inlineStr">
        <is>
          <t>DOWNLINE</t>
        </is>
      </c>
      <c r="G1677" s="18" t="inlineStr">
        <is>
          <t>OP09925</t>
        </is>
      </c>
      <c r="H1677" s="19">
        <f>UPPER(Table3[[#This Row],[Agen id]]&amp;"-"&amp;VLOOKUP(Table3[[#This Row],[Agen id]],A:B,2,0)&amp;"("&amp;Table3[[#This Row],[Short]]&amp;")")</f>
        <v/>
      </c>
      <c r="J1677" s="7">
        <f>VLOOKUP(Table3[[#This Row],[Agen id]],Agen!A:C,3,0)</f>
        <v/>
      </c>
      <c r="K1677" s="37">
        <f>TRIM(LEFT(Table3[[#This Row],[Group]],2))</f>
        <v/>
      </c>
      <c r="L1677" s="3" t="inlineStr">
        <is>
          <t>NON SALES</t>
        </is>
      </c>
    </row>
    <row r="1678">
      <c r="A1678" s="5" t="inlineStr">
        <is>
          <t>OP10475</t>
        </is>
      </c>
      <c r="B1678" s="6" t="inlineStr">
        <is>
          <t>Qwerty cell</t>
        </is>
      </c>
      <c r="C1678" s="7" t="inlineStr">
        <is>
          <t>AT1 - Agen Tangerang</t>
        </is>
      </c>
      <c r="D1678" s="1" t="inlineStr">
        <is>
          <t>OP07683</t>
        </is>
      </c>
      <c r="E1678" s="8" t="n">
        <v>45300.80069444444</v>
      </c>
      <c r="F1678" s="7" t="inlineStr">
        <is>
          <t>AGEN</t>
        </is>
      </c>
      <c r="G1678" s="18" t="inlineStr">
        <is>
          <t>OP10475</t>
        </is>
      </c>
      <c r="H1678" s="19">
        <f>UPPER(Table3[[#This Row],[Agen id]]&amp;"-"&amp;VLOOKUP(Table3[[#This Row],[Agen id]],A:B,2,0)&amp;"("&amp;Table3[[#This Row],[Short]]&amp;")")</f>
        <v/>
      </c>
      <c r="J1678" s="7">
        <f>VLOOKUP(Table3[[#This Row],[Agen id]],Agen!A:C,3,0)</f>
        <v/>
      </c>
      <c r="K1678" s="37">
        <f>TRIM(LEFT(Table3[[#This Row],[Group]],2))</f>
        <v/>
      </c>
      <c r="L1678" s="3" t="inlineStr">
        <is>
          <t>NON SALES</t>
        </is>
      </c>
    </row>
    <row r="1679">
      <c r="A1679" s="5" t="inlineStr">
        <is>
          <t>OP10482</t>
        </is>
      </c>
      <c r="B1679" s="6" t="inlineStr">
        <is>
          <t>Riris</t>
        </is>
      </c>
      <c r="C1679" s="7" t="inlineStr">
        <is>
          <t>A - Agen</t>
        </is>
      </c>
      <c r="D1679" s="1" t="inlineStr">
        <is>
          <t>OP00615</t>
        </is>
      </c>
      <c r="E1679" s="8" t="n">
        <v>45301.85833333333</v>
      </c>
      <c r="F1679" s="7" t="inlineStr">
        <is>
          <t>DOWNLINE</t>
        </is>
      </c>
      <c r="G1679" s="18" t="inlineStr">
        <is>
          <t>OP00049</t>
        </is>
      </c>
      <c r="H1679" s="19">
        <f>UPPER(Table3[[#This Row],[Agen id]]&amp;"-"&amp;VLOOKUP(Table3[[#This Row],[Agen id]],A:B,2,0)&amp;"("&amp;Table3[[#This Row],[Short]]&amp;")")</f>
        <v/>
      </c>
      <c r="J1679" s="7">
        <f>VLOOKUP(Table3[[#This Row],[Agen id]],Agen!A:C,3,0)</f>
        <v/>
      </c>
      <c r="K1679" s="37">
        <f>TRIM(LEFT(Table3[[#This Row],[Group]],2))</f>
        <v/>
      </c>
      <c r="L1679" s="3" t="inlineStr">
        <is>
          <t>NON SALES</t>
        </is>
      </c>
    </row>
    <row r="1680">
      <c r="A1680" s="5" t="inlineStr">
        <is>
          <t>OP10485</t>
        </is>
      </c>
      <c r="B1680" s="6" t="inlineStr">
        <is>
          <t>monic cell</t>
        </is>
      </c>
      <c r="C1680" s="7" t="inlineStr">
        <is>
          <t>A - Agen</t>
        </is>
      </c>
      <c r="D1680" s="1" t="inlineStr">
        <is>
          <t>OP00002</t>
        </is>
      </c>
      <c r="E1680" s="8" t="n">
        <v>45302.62638888889</v>
      </c>
      <c r="F1680" s="7" t="inlineStr">
        <is>
          <t>AGEN</t>
        </is>
      </c>
      <c r="G1680" s="18" t="inlineStr">
        <is>
          <t>OP10485</t>
        </is>
      </c>
      <c r="H1680" s="19">
        <f>UPPER(Table3[[#This Row],[Agen id]]&amp;"-"&amp;VLOOKUP(Table3[[#This Row],[Agen id]],A:B,2,0)&amp;"("&amp;Table3[[#This Row],[Short]]&amp;")")</f>
        <v/>
      </c>
      <c r="J1680" s="7">
        <f>VLOOKUP(Table3[[#This Row],[Agen id]],Agen!A:C,3,0)</f>
        <v/>
      </c>
      <c r="K1680" s="37">
        <f>TRIM(LEFT(Table3[[#This Row],[Group]],2))</f>
        <v/>
      </c>
      <c r="L1680" s="3" t="inlineStr">
        <is>
          <t>NON SALES</t>
        </is>
      </c>
    </row>
    <row r="1681">
      <c r="A1681" s="5" t="inlineStr">
        <is>
          <t>OP10488</t>
        </is>
      </c>
      <c r="B1681" s="6" t="inlineStr">
        <is>
          <t>Urip</t>
        </is>
      </c>
      <c r="C1681" s="7" t="inlineStr">
        <is>
          <t>A - Agen</t>
        </is>
      </c>
      <c r="D1681" s="1" t="inlineStr">
        <is>
          <t>OP00002</t>
        </is>
      </c>
      <c r="E1681" s="8" t="n">
        <v>45302.84930555556</v>
      </c>
      <c r="F1681" s="7" t="inlineStr">
        <is>
          <t>AGEN</t>
        </is>
      </c>
      <c r="G1681" s="18" t="inlineStr">
        <is>
          <t>OP10488</t>
        </is>
      </c>
      <c r="H1681" s="19">
        <f>UPPER(Table3[[#This Row],[Agen id]]&amp;"-"&amp;VLOOKUP(Table3[[#This Row],[Agen id]],A:B,2,0)&amp;"("&amp;Table3[[#This Row],[Short]]&amp;")")</f>
        <v/>
      </c>
      <c r="J1681" s="7">
        <f>VLOOKUP(Table3[[#This Row],[Agen id]],Agen!A:C,3,0)</f>
        <v/>
      </c>
      <c r="K1681" s="37">
        <f>TRIM(LEFT(Table3[[#This Row],[Group]],2))</f>
        <v/>
      </c>
      <c r="L1681" s="3" t="inlineStr">
        <is>
          <t>NON SALES</t>
        </is>
      </c>
    </row>
    <row r="1682">
      <c r="A1682" s="5" t="inlineStr">
        <is>
          <t>OP10490</t>
        </is>
      </c>
      <c r="B1682" s="6" t="inlineStr">
        <is>
          <t>Aulia Berkah Cell</t>
        </is>
      </c>
      <c r="C1682" s="7" t="inlineStr">
        <is>
          <t>AT1 - Agen Tangerang</t>
        </is>
      </c>
      <c r="D1682" s="1" t="inlineStr">
        <is>
          <t>OP07683</t>
        </is>
      </c>
      <c r="E1682" s="8" t="n">
        <v>45303.72430555556</v>
      </c>
      <c r="F1682" s="7" t="inlineStr">
        <is>
          <t>AGEN</t>
        </is>
      </c>
      <c r="G1682" s="18" t="inlineStr">
        <is>
          <t>OP10490</t>
        </is>
      </c>
      <c r="H1682" s="19">
        <f>UPPER(Table3[[#This Row],[Agen id]]&amp;"-"&amp;VLOOKUP(Table3[[#This Row],[Agen id]],A:B,2,0)&amp;"("&amp;Table3[[#This Row],[Short]]&amp;")")</f>
        <v/>
      </c>
      <c r="J1682" s="7">
        <f>VLOOKUP(Table3[[#This Row],[Agen id]],Agen!A:C,3,0)</f>
        <v/>
      </c>
      <c r="K1682" s="37">
        <f>TRIM(LEFT(Table3[[#This Row],[Group]],2))</f>
        <v/>
      </c>
      <c r="L1682" s="3" t="inlineStr">
        <is>
          <t>NON SALES</t>
        </is>
      </c>
    </row>
    <row r="1683">
      <c r="A1683" s="5" t="inlineStr">
        <is>
          <t>OP10491</t>
        </is>
      </c>
      <c r="B1683" s="6" t="inlineStr">
        <is>
          <t>RA cell</t>
        </is>
      </c>
      <c r="C1683" s="7" t="inlineStr">
        <is>
          <t>AT1 - Agen Tangerang</t>
        </is>
      </c>
      <c r="D1683" s="1" t="inlineStr">
        <is>
          <t>OP07683</t>
        </is>
      </c>
      <c r="E1683" s="8" t="n">
        <v>45303.75833333333</v>
      </c>
      <c r="F1683" s="7" t="inlineStr">
        <is>
          <t>AGEN</t>
        </is>
      </c>
      <c r="G1683" s="18" t="inlineStr">
        <is>
          <t>OP10491</t>
        </is>
      </c>
      <c r="H1683" s="19">
        <f>UPPER(Table3[[#This Row],[Agen id]]&amp;"-"&amp;VLOOKUP(Table3[[#This Row],[Agen id]],A:B,2,0)&amp;"("&amp;Table3[[#This Row],[Short]]&amp;")")</f>
        <v/>
      </c>
      <c r="J1683" s="7">
        <f>VLOOKUP(Table3[[#This Row],[Agen id]],Agen!A:C,3,0)</f>
        <v/>
      </c>
      <c r="K1683" s="37">
        <f>TRIM(LEFT(Table3[[#This Row],[Group]],2))</f>
        <v/>
      </c>
      <c r="L1683" s="3" t="inlineStr">
        <is>
          <t>NON SALES</t>
        </is>
      </c>
    </row>
    <row r="1684">
      <c r="A1684" s="5" t="inlineStr">
        <is>
          <t>OP10496</t>
        </is>
      </c>
      <c r="B1684" s="6" t="inlineStr">
        <is>
          <t>Ahmad sabri</t>
        </is>
      </c>
      <c r="C1684" s="7" t="inlineStr">
        <is>
          <t>A - Agen</t>
        </is>
      </c>
      <c r="D1684" s="1" t="inlineStr">
        <is>
          <t>OP10041</t>
        </is>
      </c>
      <c r="E1684" s="8" t="n">
        <v>45304.58333333334</v>
      </c>
      <c r="F1684" s="7" t="inlineStr">
        <is>
          <t>DOWNLINE</t>
        </is>
      </c>
      <c r="G1684" s="18" t="inlineStr">
        <is>
          <t>OP00996</t>
        </is>
      </c>
      <c r="H1684" s="19">
        <f>UPPER(Table3[[#This Row],[Agen id]]&amp;"-"&amp;VLOOKUP(Table3[[#This Row],[Agen id]],A:B,2,0)&amp;"("&amp;Table3[[#This Row],[Short]]&amp;")")</f>
        <v/>
      </c>
      <c r="J1684" s="7">
        <f>VLOOKUP(Table3[[#This Row],[Agen id]],Agen!A:C,3,0)</f>
        <v/>
      </c>
      <c r="K1684" s="37">
        <f>TRIM(LEFT(Table3[[#This Row],[Group]],2))</f>
        <v/>
      </c>
      <c r="L1684" s="3" t="inlineStr">
        <is>
          <t>NON SALES</t>
        </is>
      </c>
    </row>
    <row r="1685">
      <c r="A1685" s="5" t="inlineStr">
        <is>
          <t>OP10498</t>
        </is>
      </c>
      <c r="B1685" s="6" t="inlineStr">
        <is>
          <t>Erni</t>
        </is>
      </c>
      <c r="C1685" s="7" t="inlineStr">
        <is>
          <t>A - Agen</t>
        </is>
      </c>
      <c r="D1685" s="1" t="inlineStr">
        <is>
          <t>OP00996</t>
        </is>
      </c>
      <c r="E1685" s="8" t="n">
        <v>45304.83402777778</v>
      </c>
      <c r="F1685" s="7" t="inlineStr">
        <is>
          <t>DOWNLINE</t>
        </is>
      </c>
      <c r="G1685" s="18" t="inlineStr">
        <is>
          <t>OP00996</t>
        </is>
      </c>
      <c r="H1685" s="19">
        <f>UPPER(Table3[[#This Row],[Agen id]]&amp;"-"&amp;VLOOKUP(Table3[[#This Row],[Agen id]],A:B,2,0)&amp;"("&amp;Table3[[#This Row],[Short]]&amp;")")</f>
        <v/>
      </c>
      <c r="J1685" s="7">
        <f>VLOOKUP(Table3[[#This Row],[Agen id]],Agen!A:C,3,0)</f>
        <v/>
      </c>
      <c r="K1685" s="37">
        <f>TRIM(LEFT(Table3[[#This Row],[Group]],2))</f>
        <v/>
      </c>
      <c r="L1685" s="3" t="inlineStr">
        <is>
          <t>NON SALES</t>
        </is>
      </c>
    </row>
    <row r="1686">
      <c r="A1686" s="5" t="inlineStr">
        <is>
          <t>OP10506</t>
        </is>
      </c>
      <c r="B1686" s="6" t="inlineStr">
        <is>
          <t>mama nanda</t>
        </is>
      </c>
      <c r="C1686" s="7" t="inlineStr">
        <is>
          <t>AV - Agen Verified</t>
        </is>
      </c>
      <c r="D1686" s="1" t="inlineStr">
        <is>
          <t>OP03216</t>
        </is>
      </c>
      <c r="E1686" s="8" t="n">
        <v>45306.68611111111</v>
      </c>
      <c r="F1686" s="7" t="inlineStr">
        <is>
          <t>DOWNLINE</t>
        </is>
      </c>
      <c r="G1686" s="18" t="inlineStr">
        <is>
          <t>OP00049</t>
        </is>
      </c>
      <c r="H1686" s="19">
        <f>UPPER(Table3[[#This Row],[Agen id]]&amp;"-"&amp;VLOOKUP(Table3[[#This Row],[Agen id]],A:B,2,0)&amp;"("&amp;Table3[[#This Row],[Short]]&amp;")")</f>
        <v/>
      </c>
      <c r="J1686" s="7">
        <f>VLOOKUP(Table3[[#This Row],[Agen id]],Agen!A:C,3,0)</f>
        <v/>
      </c>
      <c r="K1686" s="37">
        <f>TRIM(LEFT(Table3[[#This Row],[Group]],2))</f>
        <v/>
      </c>
      <c r="L1686" s="3" t="inlineStr">
        <is>
          <t>NON SALES</t>
        </is>
      </c>
    </row>
    <row r="1687">
      <c r="A1687" s="5" t="inlineStr">
        <is>
          <t>OP10507</t>
        </is>
      </c>
      <c r="B1687" s="6" t="inlineStr">
        <is>
          <t>Mamun</t>
        </is>
      </c>
      <c r="C1687" s="7" t="inlineStr">
        <is>
          <t>AB1 - Agen Kab Bogor</t>
        </is>
      </c>
      <c r="D1687" s="1" t="inlineStr">
        <is>
          <t>OP07367</t>
        </is>
      </c>
      <c r="E1687" s="8" t="n">
        <v>45307.425</v>
      </c>
      <c r="F1687" s="7" t="inlineStr">
        <is>
          <t>AGEN</t>
        </is>
      </c>
      <c r="G1687" s="18" t="inlineStr">
        <is>
          <t>OP10507</t>
        </is>
      </c>
      <c r="H1687" s="19">
        <f>UPPER(Table3[[#This Row],[Agen id]]&amp;"-"&amp;VLOOKUP(Table3[[#This Row],[Agen id]],A:B,2,0)&amp;"("&amp;Table3[[#This Row],[Short]]&amp;")")</f>
        <v/>
      </c>
      <c r="J1687" s="7">
        <f>VLOOKUP(Table3[[#This Row],[Agen id]],Agen!A:C,3,0)</f>
        <v/>
      </c>
      <c r="K1687" s="37">
        <f>TRIM(LEFT(Table3[[#This Row],[Group]],2))</f>
        <v/>
      </c>
      <c r="L1687" s="3" t="inlineStr">
        <is>
          <t>NON SALES</t>
        </is>
      </c>
    </row>
    <row r="1688">
      <c r="A1688" s="5" t="inlineStr">
        <is>
          <t>OP10508</t>
        </is>
      </c>
      <c r="B1688" s="6" t="inlineStr">
        <is>
          <t>zubir</t>
        </is>
      </c>
      <c r="C1688" s="7" t="inlineStr">
        <is>
          <t>AV - Agen Verified</t>
        </is>
      </c>
      <c r="D1688" s="1" t="inlineStr">
        <is>
          <t>OP00825</t>
        </is>
      </c>
      <c r="E1688" s="8" t="n">
        <v>45307.51666666667</v>
      </c>
      <c r="F1688" s="7" t="inlineStr">
        <is>
          <t>DOWNLINE</t>
        </is>
      </c>
      <c r="G1688" s="18" t="inlineStr">
        <is>
          <t>OP00014</t>
        </is>
      </c>
      <c r="H1688" s="19">
        <f>UPPER(Table3[[#This Row],[Agen id]]&amp;"-"&amp;VLOOKUP(Table3[[#This Row],[Agen id]],A:B,2,0)&amp;"("&amp;Table3[[#This Row],[Short]]&amp;")")</f>
        <v/>
      </c>
      <c r="J1688" s="7">
        <f>VLOOKUP(Table3[[#This Row],[Agen id]],Agen!A:C,3,0)</f>
        <v/>
      </c>
      <c r="K1688" s="37">
        <f>TRIM(LEFT(Table3[[#This Row],[Group]],2))</f>
        <v/>
      </c>
      <c r="L1688" s="3" t="inlineStr">
        <is>
          <t>NON SALES</t>
        </is>
      </c>
    </row>
    <row r="1689">
      <c r="A1689" s="5" t="inlineStr">
        <is>
          <t>OP10510</t>
        </is>
      </c>
      <c r="B1689" s="6" t="inlineStr">
        <is>
          <t>ANDINI CELL</t>
        </is>
      </c>
      <c r="C1689" s="7" t="inlineStr">
        <is>
          <t>AV - Agen Verified</t>
        </is>
      </c>
      <c r="D1689" s="1" t="inlineStr">
        <is>
          <t>OP00002</t>
        </is>
      </c>
      <c r="E1689" s="8" t="n">
        <v>45307.85902777778</v>
      </c>
      <c r="F1689" s="7" t="inlineStr">
        <is>
          <t>AGEN</t>
        </is>
      </c>
      <c r="G1689" s="18" t="inlineStr">
        <is>
          <t>OP10510</t>
        </is>
      </c>
      <c r="H1689" s="19">
        <f>UPPER(Table3[[#This Row],[Agen id]]&amp;"-"&amp;VLOOKUP(Table3[[#This Row],[Agen id]],A:B,2,0)&amp;"("&amp;Table3[[#This Row],[Short]]&amp;")")</f>
        <v/>
      </c>
      <c r="J1689" s="7">
        <f>VLOOKUP(Table3[[#This Row],[Agen id]],Agen!A:C,3,0)</f>
        <v/>
      </c>
      <c r="K1689" s="37">
        <f>TRIM(LEFT(Table3[[#This Row],[Group]],2))</f>
        <v/>
      </c>
      <c r="L1689" s="3" t="inlineStr">
        <is>
          <t>NON SALES</t>
        </is>
      </c>
    </row>
    <row r="1690">
      <c r="A1690" s="5" t="inlineStr">
        <is>
          <t>OP10519</t>
        </is>
      </c>
      <c r="B1690" s="6" t="inlineStr">
        <is>
          <t>Attacell</t>
        </is>
      </c>
      <c r="C1690" s="7" t="inlineStr">
        <is>
          <t>A - Agen</t>
        </is>
      </c>
      <c r="D1690" s="1" t="inlineStr">
        <is>
          <t>OP00480</t>
        </is>
      </c>
      <c r="E1690" s="8" t="n">
        <v>45309.225</v>
      </c>
      <c r="F1690" s="7" t="inlineStr">
        <is>
          <t>DOWNLINE</t>
        </is>
      </c>
      <c r="G1690" s="18" t="inlineStr">
        <is>
          <t>OP00480</t>
        </is>
      </c>
      <c r="H1690" s="19">
        <f>UPPER(Table3[[#This Row],[Agen id]]&amp;"-"&amp;VLOOKUP(Table3[[#This Row],[Agen id]],A:B,2,0)&amp;"("&amp;Table3[[#This Row],[Short]]&amp;")")</f>
        <v/>
      </c>
      <c r="J1690" s="7">
        <f>VLOOKUP(Table3[[#This Row],[Agen id]],Agen!A:C,3,0)</f>
        <v/>
      </c>
      <c r="K1690" s="37">
        <f>TRIM(LEFT(Table3[[#This Row],[Group]],2))</f>
        <v/>
      </c>
      <c r="L1690" s="3" t="inlineStr">
        <is>
          <t>NON SALES</t>
        </is>
      </c>
    </row>
    <row r="1691">
      <c r="A1691" s="5" t="inlineStr">
        <is>
          <t>OP10522</t>
        </is>
      </c>
      <c r="B1691" s="6" t="inlineStr">
        <is>
          <t>Radja</t>
        </is>
      </c>
      <c r="C1691" s="7" t="inlineStr">
        <is>
          <t>A - Agen</t>
        </is>
      </c>
      <c r="D1691" s="1" t="inlineStr">
        <is>
          <t>OP00049</t>
        </is>
      </c>
      <c r="E1691" s="8" t="n">
        <v>45310.42777777778</v>
      </c>
      <c r="F1691" s="7" t="inlineStr">
        <is>
          <t>DOWNLINE</t>
        </is>
      </c>
      <c r="G1691" s="18" t="inlineStr">
        <is>
          <t>OP00049</t>
        </is>
      </c>
      <c r="H1691" s="19">
        <f>UPPER(Table3[[#This Row],[Agen id]]&amp;"-"&amp;VLOOKUP(Table3[[#This Row],[Agen id]],A:B,2,0)&amp;"("&amp;Table3[[#This Row],[Short]]&amp;")")</f>
        <v/>
      </c>
      <c r="J1691" s="7">
        <f>VLOOKUP(Table3[[#This Row],[Agen id]],Agen!A:C,3,0)</f>
        <v/>
      </c>
      <c r="K1691" s="37">
        <f>TRIM(LEFT(Table3[[#This Row],[Group]],2))</f>
        <v/>
      </c>
      <c r="L1691" s="3" t="inlineStr">
        <is>
          <t>NON SALES</t>
        </is>
      </c>
    </row>
    <row r="1692">
      <c r="A1692" s="5" t="inlineStr">
        <is>
          <t>OP10524</t>
        </is>
      </c>
      <c r="B1692" s="6" t="inlineStr">
        <is>
          <t>Edwin ryan rihi</t>
        </is>
      </c>
      <c r="C1692" s="7" t="inlineStr">
        <is>
          <t>AV - Agen Verified</t>
        </is>
      </c>
      <c r="D1692" s="1" t="inlineStr">
        <is>
          <t>OP00002</t>
        </is>
      </c>
      <c r="E1692" s="8" t="n">
        <v>45310.92847222222</v>
      </c>
      <c r="F1692" s="7" t="inlineStr">
        <is>
          <t>AGEN</t>
        </is>
      </c>
      <c r="G1692" s="18" t="inlineStr">
        <is>
          <t>OP10524</t>
        </is>
      </c>
      <c r="H1692" s="19">
        <f>UPPER(Table3[[#This Row],[Agen id]]&amp;"-"&amp;VLOOKUP(Table3[[#This Row],[Agen id]],A:B,2,0)&amp;"("&amp;Table3[[#This Row],[Short]]&amp;")")</f>
        <v/>
      </c>
      <c r="J1692" s="7">
        <f>VLOOKUP(Table3[[#This Row],[Agen id]],Agen!A:C,3,0)</f>
        <v/>
      </c>
      <c r="K1692" s="37">
        <f>TRIM(LEFT(Table3[[#This Row],[Group]],2))</f>
        <v/>
      </c>
      <c r="L1692" s="3" t="inlineStr">
        <is>
          <t>NON SALES</t>
        </is>
      </c>
    </row>
    <row r="1693">
      <c r="A1693" s="5" t="inlineStr">
        <is>
          <t>OP10526</t>
        </is>
      </c>
      <c r="B1693" s="6" t="inlineStr">
        <is>
          <t>Yuyu cel</t>
        </is>
      </c>
      <c r="C1693" s="7" t="inlineStr">
        <is>
          <t>AB1 - Agen Kab Bogor</t>
        </is>
      </c>
      <c r="D1693" s="1" t="inlineStr">
        <is>
          <t>OP07955</t>
        </is>
      </c>
      <c r="E1693" s="8" t="n">
        <v>45311.77847222222</v>
      </c>
      <c r="F1693" s="7" t="inlineStr">
        <is>
          <t>DOWNLINE</t>
        </is>
      </c>
      <c r="G1693" s="18" t="inlineStr">
        <is>
          <t>OP07955</t>
        </is>
      </c>
      <c r="H1693" s="19">
        <f>UPPER(Table3[[#This Row],[Agen id]]&amp;"-"&amp;VLOOKUP(Table3[[#This Row],[Agen id]],A:B,2,0)&amp;"("&amp;Table3[[#This Row],[Short]]&amp;")")</f>
        <v/>
      </c>
      <c r="J1693" s="7">
        <f>VLOOKUP(Table3[[#This Row],[Agen id]],Agen!A:C,3,0)</f>
        <v/>
      </c>
      <c r="K1693" s="37">
        <f>TRIM(LEFT(Table3[[#This Row],[Group]],2))</f>
        <v/>
      </c>
      <c r="L1693" s="3" t="inlineStr">
        <is>
          <t>NON SALES</t>
        </is>
      </c>
    </row>
    <row r="1694">
      <c r="A1694" s="5" t="inlineStr">
        <is>
          <t>OP10528</t>
        </is>
      </c>
      <c r="B1694" s="6" t="inlineStr">
        <is>
          <t>Arka Cell</t>
        </is>
      </c>
      <c r="C1694" s="7" t="inlineStr">
        <is>
          <t>AV - Agen Verified</t>
        </is>
      </c>
      <c r="D1694" s="1" t="inlineStr">
        <is>
          <t>OP08544</t>
        </is>
      </c>
      <c r="E1694" s="8" t="n">
        <v>45312.73472222222</v>
      </c>
      <c r="F1694" s="7" t="inlineStr">
        <is>
          <t>DOWNLINE</t>
        </is>
      </c>
      <c r="G1694" s="18" t="inlineStr">
        <is>
          <t>OP08544</t>
        </is>
      </c>
      <c r="H1694" s="19">
        <f>UPPER(Table3[[#This Row],[Agen id]]&amp;"-"&amp;VLOOKUP(Table3[[#This Row],[Agen id]],A:B,2,0)&amp;"("&amp;Table3[[#This Row],[Short]]&amp;")")</f>
        <v/>
      </c>
      <c r="J1694" s="7">
        <f>VLOOKUP(Table3[[#This Row],[Agen id]],Agen!A:C,3,0)</f>
        <v/>
      </c>
      <c r="K1694" s="37">
        <f>TRIM(LEFT(Table3[[#This Row],[Group]],2))</f>
        <v/>
      </c>
      <c r="L1694" s="3" t="inlineStr">
        <is>
          <t>NON SALES</t>
        </is>
      </c>
    </row>
    <row r="1695">
      <c r="A1695" s="5" t="inlineStr">
        <is>
          <t>OP10529</t>
        </is>
      </c>
      <c r="B1695" s="6" t="inlineStr">
        <is>
          <t>Ratri dwi Ariadi</t>
        </is>
      </c>
      <c r="C1695" s="7" t="inlineStr">
        <is>
          <t>AV - Agen Verified</t>
        </is>
      </c>
      <c r="D1695" s="1" t="inlineStr">
        <is>
          <t>OP00002</t>
        </is>
      </c>
      <c r="E1695" s="8" t="n">
        <v>45313.48125</v>
      </c>
      <c r="F1695" s="7" t="inlineStr">
        <is>
          <t>AGEN</t>
        </is>
      </c>
      <c r="G1695" s="18" t="inlineStr">
        <is>
          <t>OP10529</t>
        </is>
      </c>
      <c r="H1695" s="19">
        <f>UPPER(Table3[[#This Row],[Agen id]]&amp;"-"&amp;VLOOKUP(Table3[[#This Row],[Agen id]],A:B,2,0)&amp;"("&amp;Table3[[#This Row],[Short]]&amp;")")</f>
        <v/>
      </c>
      <c r="J1695" s="7">
        <f>VLOOKUP(Table3[[#This Row],[Agen id]],Agen!A:C,3,0)</f>
        <v/>
      </c>
      <c r="K1695" s="37">
        <f>TRIM(LEFT(Table3[[#This Row],[Group]],2))</f>
        <v/>
      </c>
      <c r="L1695" s="3" t="inlineStr">
        <is>
          <t>NON SALES</t>
        </is>
      </c>
    </row>
    <row r="1696">
      <c r="A1696" s="5" t="inlineStr">
        <is>
          <t>OP10531</t>
        </is>
      </c>
      <c r="B1696" s="6" t="inlineStr">
        <is>
          <t>Aditia puspa lestari</t>
        </is>
      </c>
      <c r="C1696" s="7" t="inlineStr">
        <is>
          <t>A - Agen</t>
        </is>
      </c>
      <c r="D1696" s="1" t="inlineStr">
        <is>
          <t>OP04766</t>
        </is>
      </c>
      <c r="E1696" s="8" t="n">
        <v>45313.75486111111</v>
      </c>
      <c r="F1696" s="7" t="inlineStr">
        <is>
          <t>DOWNLINE</t>
        </is>
      </c>
      <c r="G1696" s="18" t="inlineStr">
        <is>
          <t>OP04706</t>
        </is>
      </c>
      <c r="H1696" s="19">
        <f>UPPER(Table3[[#This Row],[Agen id]]&amp;"-"&amp;VLOOKUP(Table3[[#This Row],[Agen id]],A:B,2,0)&amp;"("&amp;Table3[[#This Row],[Short]]&amp;")")</f>
        <v/>
      </c>
      <c r="J1696" s="7">
        <f>VLOOKUP(Table3[[#This Row],[Agen id]],Agen!A:C,3,0)</f>
        <v/>
      </c>
      <c r="K1696" s="37">
        <f>TRIM(LEFT(Table3[[#This Row],[Group]],2))</f>
        <v/>
      </c>
      <c r="L1696" s="3" t="inlineStr">
        <is>
          <t>NON SALES</t>
        </is>
      </c>
    </row>
    <row r="1697">
      <c r="A1697" s="5" t="inlineStr">
        <is>
          <t>OP10534</t>
        </is>
      </c>
      <c r="B1697" s="6" t="inlineStr">
        <is>
          <t>Safrida</t>
        </is>
      </c>
      <c r="C1697" s="7" t="inlineStr">
        <is>
          <t>AV - Agen Verified</t>
        </is>
      </c>
      <c r="D1697" s="1" t="inlineStr">
        <is>
          <t>OP00431</t>
        </is>
      </c>
      <c r="E1697" s="8" t="n">
        <v>45314.34513888889</v>
      </c>
      <c r="F1697" s="7" t="inlineStr">
        <is>
          <t>DOWNLINE</t>
        </is>
      </c>
      <c r="G1697" s="18" t="inlineStr">
        <is>
          <t>OP00431</t>
        </is>
      </c>
      <c r="H1697" s="19">
        <f>UPPER(Table3[[#This Row],[Agen id]]&amp;"-"&amp;VLOOKUP(Table3[[#This Row],[Agen id]],A:B,2,0)&amp;"("&amp;Table3[[#This Row],[Short]]&amp;")")</f>
        <v/>
      </c>
      <c r="J1697" s="7">
        <f>VLOOKUP(Table3[[#This Row],[Agen id]],Agen!A:C,3,0)</f>
        <v/>
      </c>
      <c r="K1697" s="37">
        <f>TRIM(LEFT(Table3[[#This Row],[Group]],2))</f>
        <v/>
      </c>
      <c r="L1697" s="3" t="inlineStr">
        <is>
          <t>NON SALES</t>
        </is>
      </c>
    </row>
    <row r="1698">
      <c r="A1698" s="5" t="inlineStr">
        <is>
          <t>OP10537</t>
        </is>
      </c>
      <c r="B1698" s="6" t="inlineStr">
        <is>
          <t>Neneng shop</t>
        </is>
      </c>
      <c r="C1698" s="7" t="inlineStr">
        <is>
          <t>AB1 - Agen Kab Bogor</t>
        </is>
      </c>
      <c r="D1698" s="1" t="inlineStr">
        <is>
          <t>OP08200</t>
        </is>
      </c>
      <c r="E1698" s="8" t="n">
        <v>45315.53402777778</v>
      </c>
      <c r="F1698" s="7" t="inlineStr">
        <is>
          <t>DOWNLINE</t>
        </is>
      </c>
      <c r="G1698" s="18" t="inlineStr">
        <is>
          <t>OP08200</t>
        </is>
      </c>
      <c r="H1698" s="19">
        <f>UPPER(Table3[[#This Row],[Agen id]]&amp;"-"&amp;VLOOKUP(Table3[[#This Row],[Agen id]],A:B,2,0)&amp;"("&amp;Table3[[#This Row],[Short]]&amp;")")</f>
        <v/>
      </c>
      <c r="J1698" s="7">
        <f>VLOOKUP(Table3[[#This Row],[Agen id]],Agen!A:C,3,0)</f>
        <v/>
      </c>
      <c r="K1698" s="37">
        <f>TRIM(LEFT(Table3[[#This Row],[Group]],2))</f>
        <v/>
      </c>
      <c r="L1698" s="3" t="inlineStr">
        <is>
          <t>NON SALES</t>
        </is>
      </c>
    </row>
    <row r="1699">
      <c r="A1699" s="5" t="inlineStr">
        <is>
          <t>OP10538</t>
        </is>
      </c>
      <c r="B1699" s="6" t="inlineStr">
        <is>
          <t>MZM CELL</t>
        </is>
      </c>
      <c r="C1699" s="7" t="inlineStr">
        <is>
          <t>AK - Agen Khusus</t>
        </is>
      </c>
      <c r="D1699" s="1" t="inlineStr">
        <is>
          <t>OP06781</t>
        </is>
      </c>
      <c r="E1699" s="8" t="n">
        <v>45315.66805555556</v>
      </c>
      <c r="F1699" s="7" t="inlineStr">
        <is>
          <t>DOWNLINE</t>
        </is>
      </c>
      <c r="G1699" s="18" t="inlineStr">
        <is>
          <t>OP06781</t>
        </is>
      </c>
      <c r="H1699" s="19">
        <f>UPPER(Table3[[#This Row],[Agen id]]&amp;"-"&amp;VLOOKUP(Table3[[#This Row],[Agen id]],A:B,2,0)&amp;"("&amp;Table3[[#This Row],[Short]]&amp;")")</f>
        <v/>
      </c>
      <c r="J1699" s="7">
        <f>VLOOKUP(Table3[[#This Row],[Agen id]],Agen!A:C,3,0)</f>
        <v/>
      </c>
      <c r="K1699" s="37">
        <f>TRIM(LEFT(Table3[[#This Row],[Group]],2))</f>
        <v/>
      </c>
      <c r="L1699" s="3" t="inlineStr">
        <is>
          <t>NON SALES</t>
        </is>
      </c>
    </row>
    <row r="1700">
      <c r="A1700" s="5" t="inlineStr">
        <is>
          <t>OP10542</t>
        </is>
      </c>
      <c r="B1700" s="6" t="inlineStr">
        <is>
          <t>Winda Rahayu Cell</t>
        </is>
      </c>
      <c r="C1700" s="7" t="inlineStr">
        <is>
          <t>AB1 - Agen Kab Bogor</t>
        </is>
      </c>
      <c r="D1700" s="1" t="inlineStr">
        <is>
          <t>OP07367</t>
        </is>
      </c>
      <c r="E1700" s="8" t="n">
        <v>45316.41319444445</v>
      </c>
      <c r="F1700" s="7" t="inlineStr">
        <is>
          <t>AGEN</t>
        </is>
      </c>
      <c r="G1700" s="18" t="inlineStr">
        <is>
          <t>OP10542</t>
        </is>
      </c>
      <c r="H1700" s="19">
        <f>UPPER(Table3[[#This Row],[Agen id]]&amp;"-"&amp;VLOOKUP(Table3[[#This Row],[Agen id]],A:B,2,0)&amp;"("&amp;Table3[[#This Row],[Short]]&amp;")")</f>
        <v/>
      </c>
      <c r="J1700" s="7">
        <f>VLOOKUP(Table3[[#This Row],[Agen id]],Agen!A:C,3,0)</f>
        <v/>
      </c>
      <c r="K1700" s="37">
        <f>TRIM(LEFT(Table3[[#This Row],[Group]],2))</f>
        <v/>
      </c>
      <c r="L1700" s="3" t="inlineStr">
        <is>
          <t>NON SALES</t>
        </is>
      </c>
    </row>
    <row r="1701">
      <c r="A1701" s="5" t="inlineStr">
        <is>
          <t>OP10544</t>
        </is>
      </c>
      <c r="B1701" s="6" t="inlineStr">
        <is>
          <t>Umi Rahayu</t>
        </is>
      </c>
      <c r="C1701" s="7" t="inlineStr">
        <is>
          <t>A - Agen</t>
        </is>
      </c>
      <c r="D1701" s="1" t="inlineStr">
        <is>
          <t>OP00335</t>
        </is>
      </c>
      <c r="E1701" s="8" t="n">
        <v>45316.49236111111</v>
      </c>
      <c r="F1701" s="7" t="inlineStr">
        <is>
          <t>DOWNLINE</t>
        </is>
      </c>
      <c r="G1701" s="18" t="inlineStr">
        <is>
          <t>OP00335</t>
        </is>
      </c>
      <c r="H1701" s="19">
        <f>UPPER(Table3[[#This Row],[Agen id]]&amp;"-"&amp;VLOOKUP(Table3[[#This Row],[Agen id]],A:B,2,0)&amp;"("&amp;Table3[[#This Row],[Short]]&amp;")")</f>
        <v/>
      </c>
      <c r="J1701" s="7">
        <f>VLOOKUP(Table3[[#This Row],[Agen id]],Agen!A:C,3,0)</f>
        <v/>
      </c>
      <c r="K1701" s="37">
        <f>TRIM(LEFT(Table3[[#This Row],[Group]],2))</f>
        <v/>
      </c>
      <c r="L1701" s="3" t="inlineStr">
        <is>
          <t>NON SALES</t>
        </is>
      </c>
    </row>
    <row r="1702">
      <c r="A1702" s="5" t="inlineStr">
        <is>
          <t>OP10553</t>
        </is>
      </c>
      <c r="B1702" s="6" t="inlineStr">
        <is>
          <t>rahma</t>
        </is>
      </c>
      <c r="C1702" s="7" t="inlineStr">
        <is>
          <t>AV - Agen Verified</t>
        </is>
      </c>
      <c r="D1702" s="1" t="inlineStr">
        <is>
          <t>OP00825</t>
        </is>
      </c>
      <c r="E1702" s="8" t="n">
        <v>45318.2</v>
      </c>
      <c r="F1702" s="7" t="inlineStr">
        <is>
          <t>DOWNLINE</t>
        </is>
      </c>
      <c r="G1702" s="18" t="inlineStr">
        <is>
          <t>OP00014</t>
        </is>
      </c>
      <c r="H1702" s="19">
        <f>UPPER(Table3[[#This Row],[Agen id]]&amp;"-"&amp;VLOOKUP(Table3[[#This Row],[Agen id]],A:B,2,0)&amp;"("&amp;Table3[[#This Row],[Short]]&amp;")")</f>
        <v/>
      </c>
      <c r="J1702" s="7">
        <f>VLOOKUP(Table3[[#This Row],[Agen id]],Agen!A:C,3,0)</f>
        <v/>
      </c>
      <c r="K1702" s="37">
        <f>TRIM(LEFT(Table3[[#This Row],[Group]],2))</f>
        <v/>
      </c>
      <c r="L1702" s="3" t="inlineStr">
        <is>
          <t>NON SALES</t>
        </is>
      </c>
    </row>
    <row r="1703">
      <c r="A1703" s="5" t="inlineStr">
        <is>
          <t>OP10554</t>
        </is>
      </c>
      <c r="B1703" s="6" t="inlineStr">
        <is>
          <t>Sri mulyasari</t>
        </is>
      </c>
      <c r="C1703" s="7" t="inlineStr">
        <is>
          <t>AT1 - Agen Tangerang</t>
        </is>
      </c>
      <c r="D1703" s="1" t="inlineStr">
        <is>
          <t>OP07683</t>
        </is>
      </c>
      <c r="E1703" s="8" t="n">
        <v>45318.83958333333</v>
      </c>
      <c r="F1703" s="7" t="inlineStr">
        <is>
          <t>AGEN</t>
        </is>
      </c>
      <c r="G1703" s="18" t="inlineStr">
        <is>
          <t>OP10554</t>
        </is>
      </c>
      <c r="H1703" s="19">
        <f>UPPER(Table3[[#This Row],[Agen id]]&amp;"-"&amp;VLOOKUP(Table3[[#This Row],[Agen id]],A:B,2,0)&amp;"("&amp;Table3[[#This Row],[Short]]&amp;")")</f>
        <v/>
      </c>
      <c r="J1703" s="7">
        <f>VLOOKUP(Table3[[#This Row],[Agen id]],Agen!A:C,3,0)</f>
        <v/>
      </c>
      <c r="K1703" s="37">
        <f>TRIM(LEFT(Table3[[#This Row],[Group]],2))</f>
        <v/>
      </c>
      <c r="L1703" s="3" t="inlineStr">
        <is>
          <t>NON SALES</t>
        </is>
      </c>
    </row>
    <row r="1704">
      <c r="A1704" s="5" t="inlineStr">
        <is>
          <t>OP10556</t>
        </is>
      </c>
      <c r="B1704" s="6" t="inlineStr">
        <is>
          <t>Abdul Manaf</t>
        </is>
      </c>
      <c r="C1704" s="7" t="inlineStr">
        <is>
          <t>AV - Agen Verified</t>
        </is>
      </c>
      <c r="D1704" s="1" t="inlineStr">
        <is>
          <t>OP01054</t>
        </is>
      </c>
      <c r="E1704" s="8" t="n">
        <v>45319.43888888889</v>
      </c>
      <c r="F1704" s="7" t="inlineStr">
        <is>
          <t>DOWNLINE</t>
        </is>
      </c>
      <c r="G1704" s="18" t="inlineStr">
        <is>
          <t>OP01054</t>
        </is>
      </c>
      <c r="H1704" s="19">
        <f>UPPER(Table3[[#This Row],[Agen id]]&amp;"-"&amp;VLOOKUP(Table3[[#This Row],[Agen id]],A:B,2,0)&amp;"("&amp;Table3[[#This Row],[Short]]&amp;")")</f>
        <v/>
      </c>
      <c r="J1704" s="7">
        <f>VLOOKUP(Table3[[#This Row],[Agen id]],Agen!A:C,3,0)</f>
        <v/>
      </c>
      <c r="K1704" s="37">
        <f>TRIM(LEFT(Table3[[#This Row],[Group]],2))</f>
        <v/>
      </c>
      <c r="L1704" s="3" t="inlineStr">
        <is>
          <t>NON SALES</t>
        </is>
      </c>
    </row>
    <row r="1705">
      <c r="A1705" s="5" t="inlineStr">
        <is>
          <t>OP10565</t>
        </is>
      </c>
      <c r="B1705" s="6" t="inlineStr">
        <is>
          <t>NURMALA</t>
        </is>
      </c>
      <c r="C1705" s="7" t="inlineStr">
        <is>
          <t>A - Agen</t>
        </is>
      </c>
      <c r="D1705" s="1" t="inlineStr">
        <is>
          <t>OP04766</t>
        </is>
      </c>
      <c r="E1705" s="8" t="n">
        <v>45321.60763888889</v>
      </c>
      <c r="F1705" s="7" t="inlineStr">
        <is>
          <t>DOWNLINE</t>
        </is>
      </c>
      <c r="G1705" s="18" t="inlineStr">
        <is>
          <t>OP04706</t>
        </is>
      </c>
      <c r="H1705" s="19">
        <f>UPPER(Table3[[#This Row],[Agen id]]&amp;"-"&amp;VLOOKUP(Table3[[#This Row],[Agen id]],A:B,2,0)&amp;"("&amp;Table3[[#This Row],[Short]]&amp;")")</f>
        <v/>
      </c>
      <c r="J1705" s="7">
        <f>VLOOKUP(Table3[[#This Row],[Agen id]],Agen!A:C,3,0)</f>
        <v/>
      </c>
      <c r="K1705" s="37">
        <f>TRIM(LEFT(Table3[[#This Row],[Group]],2))</f>
        <v/>
      </c>
      <c r="L1705" s="3" t="inlineStr">
        <is>
          <t>NON SALES</t>
        </is>
      </c>
    </row>
    <row r="1706">
      <c r="A1706" s="5" t="inlineStr">
        <is>
          <t>OP10566</t>
        </is>
      </c>
      <c r="B1706" s="6" t="inlineStr">
        <is>
          <t>Noor aisyah</t>
        </is>
      </c>
      <c r="C1706" s="7" t="inlineStr">
        <is>
          <t>A - Agen</t>
        </is>
      </c>
      <c r="D1706" s="1" t="inlineStr">
        <is>
          <t>OP00002</t>
        </is>
      </c>
      <c r="E1706" s="8" t="n">
        <v>45321.86597222222</v>
      </c>
      <c r="F1706" s="7" t="inlineStr">
        <is>
          <t>AGEN</t>
        </is>
      </c>
      <c r="G1706" s="18" t="inlineStr">
        <is>
          <t>OP10566</t>
        </is>
      </c>
      <c r="H1706" s="19">
        <f>UPPER(Table3[[#This Row],[Agen id]]&amp;"-"&amp;VLOOKUP(Table3[[#This Row],[Agen id]],A:B,2,0)&amp;"("&amp;Table3[[#This Row],[Short]]&amp;")")</f>
        <v/>
      </c>
      <c r="J1706" s="7">
        <f>VLOOKUP(Table3[[#This Row],[Agen id]],Agen!A:C,3,0)</f>
        <v/>
      </c>
      <c r="K1706" s="37">
        <f>TRIM(LEFT(Table3[[#This Row],[Group]],2))</f>
        <v/>
      </c>
      <c r="L1706" s="3" t="inlineStr">
        <is>
          <t>NON SALES</t>
        </is>
      </c>
    </row>
    <row r="1707">
      <c r="A1707" s="5" t="inlineStr">
        <is>
          <t>OP10567</t>
        </is>
      </c>
      <c r="B1707" s="6" t="inlineStr">
        <is>
          <t>semar cell</t>
        </is>
      </c>
      <c r="C1707" s="7" t="inlineStr">
        <is>
          <t>AT1 - Agen Tangerang</t>
        </is>
      </c>
      <c r="D1707" s="1" t="inlineStr">
        <is>
          <t>OP07683</t>
        </is>
      </c>
      <c r="E1707" s="8" t="n">
        <v>45322.73263888889</v>
      </c>
      <c r="F1707" s="7" t="inlineStr">
        <is>
          <t>AGEN</t>
        </is>
      </c>
      <c r="G1707" s="18" t="inlineStr">
        <is>
          <t>OP10567</t>
        </is>
      </c>
      <c r="H1707" s="19">
        <f>UPPER(Table3[[#This Row],[Agen id]]&amp;"-"&amp;VLOOKUP(Table3[[#This Row],[Agen id]],A:B,2,0)&amp;"("&amp;Table3[[#This Row],[Short]]&amp;")")</f>
        <v/>
      </c>
      <c r="J1707" s="7">
        <f>VLOOKUP(Table3[[#This Row],[Agen id]],Agen!A:C,3,0)</f>
        <v/>
      </c>
      <c r="K1707" s="37">
        <f>TRIM(LEFT(Table3[[#This Row],[Group]],2))</f>
        <v/>
      </c>
      <c r="L1707" s="3" t="inlineStr">
        <is>
          <t>NON SALES</t>
        </is>
      </c>
    </row>
    <row r="1708">
      <c r="A1708" s="5" t="inlineStr">
        <is>
          <t>OP10569</t>
        </is>
      </c>
      <c r="B1708" s="6" t="inlineStr">
        <is>
          <t>Theresia Le.u</t>
        </is>
      </c>
      <c r="C1708" s="7" t="inlineStr">
        <is>
          <t>A - Agen</t>
        </is>
      </c>
      <c r="D1708" s="1" t="inlineStr">
        <is>
          <t>OP00002</t>
        </is>
      </c>
      <c r="E1708" s="8" t="n">
        <v>45323.31597222222</v>
      </c>
      <c r="F1708" s="7" t="inlineStr">
        <is>
          <t>AGEN</t>
        </is>
      </c>
      <c r="G1708" s="18" t="inlineStr">
        <is>
          <t>OP10569</t>
        </is>
      </c>
      <c r="H1708" s="19">
        <f>UPPER(Table3[[#This Row],[Agen id]]&amp;"-"&amp;VLOOKUP(Table3[[#This Row],[Agen id]],A:B,2,0)&amp;"("&amp;Table3[[#This Row],[Short]]&amp;")")</f>
        <v/>
      </c>
      <c r="J1708" s="7">
        <f>VLOOKUP(Table3[[#This Row],[Agen id]],Agen!A:C,3,0)</f>
        <v/>
      </c>
      <c r="K1708" s="37">
        <f>TRIM(LEFT(Table3[[#This Row],[Group]],2))</f>
        <v/>
      </c>
      <c r="L1708" s="3" t="inlineStr">
        <is>
          <t>NON SALES</t>
        </is>
      </c>
    </row>
    <row r="1709">
      <c r="A1709" s="5" t="inlineStr">
        <is>
          <t>OP10578</t>
        </is>
      </c>
      <c r="B1709" s="6" t="inlineStr">
        <is>
          <t>Marcues</t>
        </is>
      </c>
      <c r="C1709" s="7" t="inlineStr">
        <is>
          <t>AV - Agen Verified</t>
        </is>
      </c>
      <c r="D1709" s="1" t="inlineStr">
        <is>
          <t>OP00002</t>
        </is>
      </c>
      <c r="E1709" s="8" t="n">
        <v>45323.88611111111</v>
      </c>
      <c r="F1709" s="7" t="inlineStr">
        <is>
          <t>AGEN</t>
        </is>
      </c>
      <c r="G1709" s="18" t="inlineStr">
        <is>
          <t>OP10578</t>
        </is>
      </c>
      <c r="H1709" s="19">
        <f>UPPER(Table3[[#This Row],[Agen id]]&amp;"-"&amp;VLOOKUP(Table3[[#This Row],[Agen id]],A:B,2,0)&amp;"("&amp;Table3[[#This Row],[Short]]&amp;")")</f>
        <v/>
      </c>
      <c r="J1709" s="7">
        <f>VLOOKUP(Table3[[#This Row],[Agen id]],Agen!A:C,3,0)</f>
        <v/>
      </c>
      <c r="K1709" s="37">
        <f>TRIM(LEFT(Table3[[#This Row],[Group]],2))</f>
        <v/>
      </c>
      <c r="L1709" s="3" t="inlineStr">
        <is>
          <t>NON SALES</t>
        </is>
      </c>
    </row>
    <row r="1710">
      <c r="A1710" s="5" t="inlineStr">
        <is>
          <t>OP10579</t>
        </is>
      </c>
      <c r="B1710" s="6" t="inlineStr">
        <is>
          <t>Cantika II</t>
        </is>
      </c>
      <c r="C1710" s="7" t="inlineStr">
        <is>
          <t>AV - Agen Verified</t>
        </is>
      </c>
      <c r="D1710" s="1" t="inlineStr">
        <is>
          <t>OP00003</t>
        </is>
      </c>
      <c r="E1710" s="8" t="n">
        <v>45323.94583333333</v>
      </c>
      <c r="F1710" s="7" t="inlineStr">
        <is>
          <t>AGEN</t>
        </is>
      </c>
      <c r="G1710" s="18" t="inlineStr">
        <is>
          <t>OP10579</t>
        </is>
      </c>
      <c r="H1710" s="19">
        <f>UPPER(Table3[[#This Row],[Agen id]]&amp;"-"&amp;VLOOKUP(Table3[[#This Row],[Agen id]],A:B,2,0)&amp;"("&amp;Table3[[#This Row],[Short]]&amp;")")</f>
        <v/>
      </c>
      <c r="J1710" s="7">
        <f>VLOOKUP(Table3[[#This Row],[Agen id]],Agen!A:C,3,0)</f>
        <v/>
      </c>
      <c r="K1710" s="37">
        <f>TRIM(LEFT(Table3[[#This Row],[Group]],2))</f>
        <v/>
      </c>
      <c r="L1710" s="3" t="inlineStr">
        <is>
          <t>NON SALES</t>
        </is>
      </c>
    </row>
    <row r="1711">
      <c r="A1711" s="5" t="inlineStr">
        <is>
          <t>OP10599</t>
        </is>
      </c>
      <c r="B1711" s="6" t="inlineStr">
        <is>
          <t>Ninynurman</t>
        </is>
      </c>
      <c r="C1711" s="7" t="inlineStr">
        <is>
          <t>AV - Agen Verified</t>
        </is>
      </c>
      <c r="D1711" s="1" t="inlineStr">
        <is>
          <t>OP00002</t>
        </is>
      </c>
      <c r="E1711" s="8" t="n">
        <v>45324.77083333334</v>
      </c>
      <c r="F1711" s="7" t="inlineStr">
        <is>
          <t>AGEN</t>
        </is>
      </c>
      <c r="G1711" s="18" t="inlineStr">
        <is>
          <t>OP10599</t>
        </is>
      </c>
      <c r="H1711" s="19">
        <f>UPPER(Table3[[#This Row],[Agen id]]&amp;"-"&amp;VLOOKUP(Table3[[#This Row],[Agen id]],A:B,2,0)&amp;"("&amp;Table3[[#This Row],[Short]]&amp;")")</f>
        <v/>
      </c>
      <c r="J1711" s="7">
        <f>VLOOKUP(Table3[[#This Row],[Agen id]],Agen!A:C,3,0)</f>
        <v/>
      </c>
      <c r="K1711" s="37">
        <f>TRIM(LEFT(Table3[[#This Row],[Group]],2))</f>
        <v/>
      </c>
      <c r="L1711" s="3" t="inlineStr">
        <is>
          <t>NON SALES</t>
        </is>
      </c>
    </row>
    <row r="1712">
      <c r="A1712" s="5" t="inlineStr">
        <is>
          <t>OP10602</t>
        </is>
      </c>
      <c r="B1712" s="6" t="inlineStr">
        <is>
          <t>Emil</t>
        </is>
      </c>
      <c r="C1712" s="7" t="inlineStr">
        <is>
          <t>A - Agen</t>
        </is>
      </c>
      <c r="D1712" s="1" t="inlineStr">
        <is>
          <t>OP00002</t>
        </is>
      </c>
      <c r="E1712" s="8" t="n">
        <v>45324.80972222222</v>
      </c>
      <c r="F1712" s="7" t="inlineStr">
        <is>
          <t>AGEN</t>
        </is>
      </c>
      <c r="G1712" s="18" t="inlineStr">
        <is>
          <t>OP10602</t>
        </is>
      </c>
      <c r="H1712" s="19">
        <f>UPPER(Table3[[#This Row],[Agen id]]&amp;"-"&amp;VLOOKUP(Table3[[#This Row],[Agen id]],A:B,2,0)&amp;"("&amp;Table3[[#This Row],[Short]]&amp;")")</f>
        <v/>
      </c>
      <c r="J1712" s="7">
        <f>VLOOKUP(Table3[[#This Row],[Agen id]],Agen!A:C,3,0)</f>
        <v/>
      </c>
      <c r="K1712" s="37">
        <f>TRIM(LEFT(Table3[[#This Row],[Group]],2))</f>
        <v/>
      </c>
      <c r="L1712" s="3" t="inlineStr">
        <is>
          <t>NON SALES</t>
        </is>
      </c>
    </row>
    <row r="1713">
      <c r="A1713" s="5" t="inlineStr">
        <is>
          <t>OP10619</t>
        </is>
      </c>
      <c r="B1713" s="6" t="inlineStr">
        <is>
          <t>Feronika tangahu</t>
        </is>
      </c>
      <c r="C1713" s="7" t="inlineStr">
        <is>
          <t>A - Agen</t>
        </is>
      </c>
      <c r="D1713" s="1" t="inlineStr">
        <is>
          <t>OP00002</t>
        </is>
      </c>
      <c r="E1713" s="8" t="n">
        <v>45325.42986111111</v>
      </c>
      <c r="F1713" s="7" t="inlineStr">
        <is>
          <t>AGEN</t>
        </is>
      </c>
      <c r="G1713" s="18" t="inlineStr">
        <is>
          <t>OP10619</t>
        </is>
      </c>
      <c r="H1713" s="19">
        <f>UPPER(Table3[[#This Row],[Agen id]]&amp;"-"&amp;VLOOKUP(Table3[[#This Row],[Agen id]],A:B,2,0)&amp;"("&amp;Table3[[#This Row],[Short]]&amp;")")</f>
        <v/>
      </c>
      <c r="J1713" s="7">
        <f>VLOOKUP(Table3[[#This Row],[Agen id]],Agen!A:C,3,0)</f>
        <v/>
      </c>
      <c r="K1713" s="37">
        <f>TRIM(LEFT(Table3[[#This Row],[Group]],2))</f>
        <v/>
      </c>
      <c r="L1713" s="3" t="inlineStr">
        <is>
          <t>NON SALES</t>
        </is>
      </c>
    </row>
    <row r="1714">
      <c r="A1714" s="5" t="inlineStr">
        <is>
          <t>OP10625</t>
        </is>
      </c>
      <c r="B1714" s="6" t="inlineStr">
        <is>
          <t>Maya</t>
        </is>
      </c>
      <c r="C1714" s="7" t="inlineStr">
        <is>
          <t>AB1 - Agen Kab Bogor</t>
        </is>
      </c>
      <c r="D1714" s="1" t="inlineStr">
        <is>
          <t>OP07367</t>
        </is>
      </c>
      <c r="E1714" s="8" t="n">
        <v>45325.57777777778</v>
      </c>
      <c r="F1714" s="7" t="inlineStr">
        <is>
          <t>AGEN</t>
        </is>
      </c>
      <c r="G1714" s="18" t="inlineStr">
        <is>
          <t>OP10625</t>
        </is>
      </c>
      <c r="H1714" s="19">
        <f>UPPER(Table3[[#This Row],[Agen id]]&amp;"-"&amp;VLOOKUP(Table3[[#This Row],[Agen id]],A:B,2,0)&amp;"("&amp;Table3[[#This Row],[Short]]&amp;")")</f>
        <v/>
      </c>
      <c r="J1714" s="7">
        <f>VLOOKUP(Table3[[#This Row],[Agen id]],Agen!A:C,3,0)</f>
        <v/>
      </c>
      <c r="K1714" s="37">
        <f>TRIM(LEFT(Table3[[#This Row],[Group]],2))</f>
        <v/>
      </c>
      <c r="L1714" s="3" t="inlineStr">
        <is>
          <t>NON SALES</t>
        </is>
      </c>
    </row>
    <row r="1715">
      <c r="A1715" s="5" t="inlineStr">
        <is>
          <t>OP10627</t>
        </is>
      </c>
      <c r="B1715" s="6" t="inlineStr">
        <is>
          <t>Saifull</t>
        </is>
      </c>
      <c r="C1715" s="7" t="inlineStr">
        <is>
          <t>AT1 - Agen Tangerang</t>
        </is>
      </c>
      <c r="D1715" s="1" t="inlineStr">
        <is>
          <t>OP07683</t>
        </is>
      </c>
      <c r="E1715" s="8" t="n">
        <v>45325.70138888889</v>
      </c>
      <c r="F1715" s="7" t="inlineStr">
        <is>
          <t>AGEN</t>
        </is>
      </c>
      <c r="G1715" s="18" t="inlineStr">
        <is>
          <t>OP10627</t>
        </is>
      </c>
      <c r="H1715" s="19">
        <f>UPPER(Table3[[#This Row],[Agen id]]&amp;"-"&amp;VLOOKUP(Table3[[#This Row],[Agen id]],A:B,2,0)&amp;"("&amp;Table3[[#This Row],[Short]]&amp;")")</f>
        <v/>
      </c>
      <c r="J1715" s="7">
        <f>VLOOKUP(Table3[[#This Row],[Agen id]],Agen!A:C,3,0)</f>
        <v/>
      </c>
      <c r="K1715" s="37">
        <f>TRIM(LEFT(Table3[[#This Row],[Group]],2))</f>
        <v/>
      </c>
      <c r="L1715" s="3" t="inlineStr">
        <is>
          <t>NON SALES</t>
        </is>
      </c>
    </row>
    <row r="1716">
      <c r="A1716" s="5" t="inlineStr">
        <is>
          <t>OP10631</t>
        </is>
      </c>
      <c r="B1716" s="6" t="inlineStr">
        <is>
          <t>Masarayati</t>
        </is>
      </c>
      <c r="C1716" s="7" t="inlineStr">
        <is>
          <t>A - Agen</t>
        </is>
      </c>
      <c r="D1716" s="1" t="inlineStr">
        <is>
          <t>OP00002</t>
        </is>
      </c>
      <c r="E1716" s="8" t="n">
        <v>45325.79583333333</v>
      </c>
      <c r="F1716" s="7" t="inlineStr">
        <is>
          <t>AGEN</t>
        </is>
      </c>
      <c r="G1716" s="18" t="inlineStr">
        <is>
          <t>OP10631</t>
        </is>
      </c>
      <c r="H1716" s="19">
        <f>UPPER(Table3[[#This Row],[Agen id]]&amp;"-"&amp;VLOOKUP(Table3[[#This Row],[Agen id]],A:B,2,0)&amp;"("&amp;Table3[[#This Row],[Short]]&amp;")")</f>
        <v/>
      </c>
      <c r="J1716" s="7">
        <f>VLOOKUP(Table3[[#This Row],[Agen id]],Agen!A:C,3,0)</f>
        <v/>
      </c>
      <c r="K1716" s="37">
        <f>TRIM(LEFT(Table3[[#This Row],[Group]],2))</f>
        <v/>
      </c>
      <c r="L1716" s="3" t="inlineStr">
        <is>
          <t>NON SALES</t>
        </is>
      </c>
    </row>
    <row r="1717">
      <c r="A1717" s="5" t="inlineStr">
        <is>
          <t>OP10653</t>
        </is>
      </c>
      <c r="B1717" s="6" t="inlineStr">
        <is>
          <t>Trisna ameliah</t>
        </is>
      </c>
      <c r="C1717" s="7" t="inlineStr">
        <is>
          <t>AV - Agen Verified</t>
        </is>
      </c>
      <c r="D1717" s="1" t="inlineStr">
        <is>
          <t>OP00002</t>
        </is>
      </c>
      <c r="E1717" s="8" t="n">
        <v>45326.96041666667</v>
      </c>
      <c r="F1717" s="7" t="inlineStr">
        <is>
          <t>AGEN</t>
        </is>
      </c>
      <c r="G1717" s="18" t="inlineStr">
        <is>
          <t>OP10653</t>
        </is>
      </c>
      <c r="H1717" s="19">
        <f>UPPER(Table3[[#This Row],[Agen id]]&amp;"-"&amp;VLOOKUP(Table3[[#This Row],[Agen id]],A:B,2,0)&amp;"("&amp;Table3[[#This Row],[Short]]&amp;")")</f>
        <v/>
      </c>
      <c r="J1717" s="7">
        <f>VLOOKUP(Table3[[#This Row],[Agen id]],Agen!A:C,3,0)</f>
        <v/>
      </c>
      <c r="K1717" s="37">
        <f>TRIM(LEFT(Table3[[#This Row],[Group]],2))</f>
        <v/>
      </c>
      <c r="L1717" s="3" t="inlineStr">
        <is>
          <t>NON SALES</t>
        </is>
      </c>
    </row>
    <row r="1718">
      <c r="A1718" s="5" t="inlineStr">
        <is>
          <t>OP10656</t>
        </is>
      </c>
      <c r="B1718" s="6" t="inlineStr">
        <is>
          <t>GAYA PULSA</t>
        </is>
      </c>
      <c r="C1718" s="7" t="inlineStr">
        <is>
          <t>AV - Agen Verified</t>
        </is>
      </c>
      <c r="D1718" s="1" t="inlineStr">
        <is>
          <t>OP00002</t>
        </is>
      </c>
      <c r="E1718" s="8" t="n">
        <v>45327.38611111111</v>
      </c>
      <c r="F1718" s="7" t="inlineStr">
        <is>
          <t>AGEN</t>
        </is>
      </c>
      <c r="G1718" s="18" t="inlineStr">
        <is>
          <t>OP10656</t>
        </is>
      </c>
      <c r="H1718" s="19">
        <f>UPPER(Table3[[#This Row],[Agen id]]&amp;"-"&amp;VLOOKUP(Table3[[#This Row],[Agen id]],A:B,2,0)&amp;"("&amp;Table3[[#This Row],[Short]]&amp;")")</f>
        <v/>
      </c>
      <c r="J1718" s="7">
        <f>VLOOKUP(Table3[[#This Row],[Agen id]],Agen!A:C,3,0)</f>
        <v/>
      </c>
      <c r="K1718" s="37">
        <f>TRIM(LEFT(Table3[[#This Row],[Group]],2))</f>
        <v/>
      </c>
      <c r="L1718" s="3" t="inlineStr">
        <is>
          <t>NON SALES</t>
        </is>
      </c>
    </row>
    <row r="1719">
      <c r="A1719" s="5" t="inlineStr">
        <is>
          <t>OP10659</t>
        </is>
      </c>
      <c r="B1719" s="6" t="inlineStr">
        <is>
          <t>Ydn78</t>
        </is>
      </c>
      <c r="C1719" s="7" t="inlineStr">
        <is>
          <t>A - Agen</t>
        </is>
      </c>
      <c r="D1719" s="1" t="inlineStr">
        <is>
          <t>OP00002</t>
        </is>
      </c>
      <c r="E1719" s="8" t="n">
        <v>45327.50972222222</v>
      </c>
      <c r="F1719" s="7" t="inlineStr">
        <is>
          <t>AGEN</t>
        </is>
      </c>
      <c r="G1719" s="18" t="inlineStr">
        <is>
          <t>OP10659</t>
        </is>
      </c>
      <c r="H1719" s="19">
        <f>UPPER(Table3[[#This Row],[Agen id]]&amp;"-"&amp;VLOOKUP(Table3[[#This Row],[Agen id]],A:B,2,0)&amp;"("&amp;Table3[[#This Row],[Short]]&amp;")")</f>
        <v/>
      </c>
      <c r="J1719" s="7">
        <f>VLOOKUP(Table3[[#This Row],[Agen id]],Agen!A:C,3,0)</f>
        <v/>
      </c>
      <c r="K1719" s="37">
        <f>TRIM(LEFT(Table3[[#This Row],[Group]],2))</f>
        <v/>
      </c>
      <c r="L1719" s="3" t="inlineStr">
        <is>
          <t>NON SALES</t>
        </is>
      </c>
    </row>
    <row r="1720">
      <c r="A1720" s="5" t="inlineStr">
        <is>
          <t>OP10664</t>
        </is>
      </c>
      <c r="B1720" s="6" t="inlineStr">
        <is>
          <t>MIRACLE CELL</t>
        </is>
      </c>
      <c r="C1720" s="7" t="inlineStr">
        <is>
          <t>AB1 - Agen Kab Bogor</t>
        </is>
      </c>
      <c r="D1720" s="1" t="inlineStr">
        <is>
          <t>OP07367</t>
        </is>
      </c>
      <c r="E1720" s="8" t="n">
        <v>45327.55902777778</v>
      </c>
      <c r="F1720" s="7" t="inlineStr">
        <is>
          <t>AGEN</t>
        </is>
      </c>
      <c r="G1720" s="18" t="inlineStr">
        <is>
          <t>OP10664</t>
        </is>
      </c>
      <c r="H1720" s="19">
        <f>UPPER(Table3[[#This Row],[Agen id]]&amp;"-"&amp;VLOOKUP(Table3[[#This Row],[Agen id]],A:B,2,0)&amp;"("&amp;Table3[[#This Row],[Short]]&amp;")")</f>
        <v/>
      </c>
      <c r="J1720" s="7">
        <f>VLOOKUP(Table3[[#This Row],[Agen id]],Agen!A:C,3,0)</f>
        <v/>
      </c>
      <c r="K1720" s="37">
        <f>TRIM(LEFT(Table3[[#This Row],[Group]],2))</f>
        <v/>
      </c>
      <c r="L1720" s="3" t="inlineStr">
        <is>
          <t>NON SALES</t>
        </is>
      </c>
    </row>
    <row r="1721">
      <c r="A1721" s="5" t="inlineStr">
        <is>
          <t>OP10670</t>
        </is>
      </c>
      <c r="B1721" s="6" t="inlineStr">
        <is>
          <t>Raisah Cell</t>
        </is>
      </c>
      <c r="C1721" s="7" t="inlineStr">
        <is>
          <t>AV - Agen Verified</t>
        </is>
      </c>
      <c r="D1721" s="1" t="inlineStr">
        <is>
          <t>OP02280</t>
        </is>
      </c>
      <c r="E1721" s="8" t="n">
        <v>45327.93472222222</v>
      </c>
      <c r="F1721" s="7" t="inlineStr">
        <is>
          <t>DOWNLINE</t>
        </is>
      </c>
      <c r="G1721" s="18" t="inlineStr">
        <is>
          <t>OP02280</t>
        </is>
      </c>
      <c r="H1721" s="19">
        <f>UPPER(Table3[[#This Row],[Agen id]]&amp;"-"&amp;VLOOKUP(Table3[[#This Row],[Agen id]],A:B,2,0)&amp;"("&amp;Table3[[#This Row],[Short]]&amp;")")</f>
        <v/>
      </c>
      <c r="J1721" s="7">
        <f>VLOOKUP(Table3[[#This Row],[Agen id]],Agen!A:C,3,0)</f>
        <v/>
      </c>
      <c r="K1721" s="37">
        <f>TRIM(LEFT(Table3[[#This Row],[Group]],2))</f>
        <v/>
      </c>
      <c r="L1721" s="3" t="inlineStr">
        <is>
          <t>NON SALES</t>
        </is>
      </c>
    </row>
    <row r="1722">
      <c r="A1722" s="5" t="inlineStr">
        <is>
          <t>OP10682</t>
        </is>
      </c>
      <c r="B1722" s="6" t="inlineStr">
        <is>
          <t>ALGI CELL</t>
        </is>
      </c>
      <c r="C1722" s="7" t="inlineStr">
        <is>
          <t>AB1 - Agen Kab Bogor</t>
        </is>
      </c>
      <c r="D1722" s="1" t="inlineStr">
        <is>
          <t>OP07367</t>
        </is>
      </c>
      <c r="E1722" s="8" t="n">
        <v>45328.58541666667</v>
      </c>
      <c r="F1722" s="7" t="inlineStr">
        <is>
          <t>AGEN</t>
        </is>
      </c>
      <c r="G1722" s="18" t="inlineStr">
        <is>
          <t>OP10682</t>
        </is>
      </c>
      <c r="H1722" s="19">
        <f>UPPER(Table3[[#This Row],[Agen id]]&amp;"-"&amp;VLOOKUP(Table3[[#This Row],[Agen id]],A:B,2,0)&amp;"("&amp;Table3[[#This Row],[Short]]&amp;")")</f>
        <v/>
      </c>
      <c r="J1722" s="7">
        <f>VLOOKUP(Table3[[#This Row],[Agen id]],Agen!A:C,3,0)</f>
        <v/>
      </c>
      <c r="K1722" s="37">
        <f>TRIM(LEFT(Table3[[#This Row],[Group]],2))</f>
        <v/>
      </c>
      <c r="L1722" s="3" t="inlineStr">
        <is>
          <t>NON SALES</t>
        </is>
      </c>
    </row>
    <row r="1723">
      <c r="A1723" s="5" t="inlineStr">
        <is>
          <t>OP10685</t>
        </is>
      </c>
      <c r="B1723" s="6" t="inlineStr">
        <is>
          <t>Nafifah Cell</t>
        </is>
      </c>
      <c r="C1723" s="7" t="inlineStr">
        <is>
          <t>AV - Agen Verified</t>
        </is>
      </c>
      <c r="D1723" s="1" t="inlineStr">
        <is>
          <t>OP01054</t>
        </is>
      </c>
      <c r="E1723" s="8" t="n">
        <v>45328.69097222222</v>
      </c>
      <c r="F1723" s="7" t="inlineStr">
        <is>
          <t>DOWNLINE</t>
        </is>
      </c>
      <c r="G1723" s="18" t="inlineStr">
        <is>
          <t>OP01054</t>
        </is>
      </c>
      <c r="H1723" s="19">
        <f>UPPER(Table3[[#This Row],[Agen id]]&amp;"-"&amp;VLOOKUP(Table3[[#This Row],[Agen id]],A:B,2,0)&amp;"("&amp;Table3[[#This Row],[Short]]&amp;")")</f>
        <v/>
      </c>
      <c r="J1723" s="7">
        <f>VLOOKUP(Table3[[#This Row],[Agen id]],Agen!A:C,3,0)</f>
        <v/>
      </c>
      <c r="K1723" s="37">
        <f>TRIM(LEFT(Table3[[#This Row],[Group]],2))</f>
        <v/>
      </c>
      <c r="L1723" s="3" t="inlineStr">
        <is>
          <t>NON SALES</t>
        </is>
      </c>
    </row>
    <row r="1724">
      <c r="A1724" s="5" t="inlineStr">
        <is>
          <t>OP10689</t>
        </is>
      </c>
      <c r="B1724" s="6" t="inlineStr">
        <is>
          <t>Dita</t>
        </is>
      </c>
      <c r="C1724" s="7" t="inlineStr">
        <is>
          <t>AB1 - Agen Kab Bogor</t>
        </is>
      </c>
      <c r="D1724" s="1" t="inlineStr">
        <is>
          <t>OP07367</t>
        </is>
      </c>
      <c r="E1724" s="8" t="n">
        <v>45328.89513888889</v>
      </c>
      <c r="F1724" s="7" t="inlineStr">
        <is>
          <t>AGEN</t>
        </is>
      </c>
      <c r="G1724" s="18" t="inlineStr">
        <is>
          <t>OP10689</t>
        </is>
      </c>
      <c r="H1724" s="19">
        <f>UPPER(Table3[[#This Row],[Agen id]]&amp;"-"&amp;VLOOKUP(Table3[[#This Row],[Agen id]],A:B,2,0)&amp;"("&amp;Table3[[#This Row],[Short]]&amp;")")</f>
        <v/>
      </c>
      <c r="J1724" s="7">
        <f>VLOOKUP(Table3[[#This Row],[Agen id]],Agen!A:C,3,0)</f>
        <v/>
      </c>
      <c r="K1724" s="37">
        <f>TRIM(LEFT(Table3[[#This Row],[Group]],2))</f>
        <v/>
      </c>
      <c r="L1724" s="3" t="inlineStr">
        <is>
          <t>NON SALES</t>
        </is>
      </c>
    </row>
    <row r="1725">
      <c r="A1725" s="5" t="inlineStr">
        <is>
          <t>OP10696</t>
        </is>
      </c>
      <c r="B1725" s="6" t="inlineStr">
        <is>
          <t>Qhiara</t>
        </is>
      </c>
      <c r="C1725" s="7" t="inlineStr">
        <is>
          <t>A - Agen</t>
        </is>
      </c>
      <c r="D1725" s="1" t="inlineStr">
        <is>
          <t>OP00002</t>
        </is>
      </c>
      <c r="E1725" s="8" t="n">
        <v>45329.29444444444</v>
      </c>
      <c r="F1725" s="7" t="inlineStr">
        <is>
          <t>AGEN</t>
        </is>
      </c>
      <c r="G1725" s="18" t="inlineStr">
        <is>
          <t>OP10696</t>
        </is>
      </c>
      <c r="H1725" s="19">
        <f>UPPER(Table3[[#This Row],[Agen id]]&amp;"-"&amp;VLOOKUP(Table3[[#This Row],[Agen id]],A:B,2,0)&amp;"("&amp;Table3[[#This Row],[Short]]&amp;")")</f>
        <v/>
      </c>
      <c r="J1725" s="7">
        <f>VLOOKUP(Table3[[#This Row],[Agen id]],Agen!A:C,3,0)</f>
        <v/>
      </c>
      <c r="K1725" s="37">
        <f>TRIM(LEFT(Table3[[#This Row],[Group]],2))</f>
        <v/>
      </c>
      <c r="L1725" s="3" t="inlineStr">
        <is>
          <t>NON SALES</t>
        </is>
      </c>
    </row>
    <row r="1726">
      <c r="A1726" s="5" t="inlineStr">
        <is>
          <t>OP10702</t>
        </is>
      </c>
      <c r="B1726" s="6" t="inlineStr">
        <is>
          <t>Lia</t>
        </is>
      </c>
      <c r="C1726" s="7" t="inlineStr">
        <is>
          <t>AV - Agen Verified</t>
        </is>
      </c>
      <c r="D1726" s="1" t="inlineStr">
        <is>
          <t>OP08163</t>
        </is>
      </c>
      <c r="E1726" s="8" t="n">
        <v>45329.57152777778</v>
      </c>
      <c r="F1726" s="7" t="inlineStr">
        <is>
          <t>DOWNLINE</t>
        </is>
      </c>
      <c r="G1726" s="18" t="inlineStr">
        <is>
          <t>OP08163</t>
        </is>
      </c>
      <c r="H1726" s="19">
        <f>UPPER(Table3[[#This Row],[Agen id]]&amp;"-"&amp;VLOOKUP(Table3[[#This Row],[Agen id]],A:B,2,0)&amp;"("&amp;Table3[[#This Row],[Short]]&amp;")")</f>
        <v/>
      </c>
      <c r="J1726" s="7">
        <f>VLOOKUP(Table3[[#This Row],[Agen id]],Agen!A:C,3,0)</f>
        <v/>
      </c>
      <c r="K1726" s="37">
        <f>TRIM(LEFT(Table3[[#This Row],[Group]],2))</f>
        <v/>
      </c>
      <c r="L1726" s="3" t="inlineStr">
        <is>
          <t>NON SALES</t>
        </is>
      </c>
    </row>
    <row r="1727">
      <c r="A1727" s="5" t="inlineStr">
        <is>
          <t>OP10705</t>
        </is>
      </c>
      <c r="B1727" s="6" t="inlineStr">
        <is>
          <t>Amaliah cell</t>
        </is>
      </c>
      <c r="C1727" s="7" t="inlineStr">
        <is>
          <t>AT1 - Agen Tangerang</t>
        </is>
      </c>
      <c r="D1727" s="1" t="inlineStr">
        <is>
          <t>OP07683</t>
        </is>
      </c>
      <c r="E1727" s="8" t="n">
        <v>45329.57916666667</v>
      </c>
      <c r="F1727" s="7" t="inlineStr">
        <is>
          <t>AGEN</t>
        </is>
      </c>
      <c r="G1727" s="18" t="inlineStr">
        <is>
          <t>OP10705</t>
        </is>
      </c>
      <c r="H1727" s="19">
        <f>UPPER(Table3[[#This Row],[Agen id]]&amp;"-"&amp;VLOOKUP(Table3[[#This Row],[Agen id]],A:B,2,0)&amp;"("&amp;Table3[[#This Row],[Short]]&amp;")")</f>
        <v/>
      </c>
      <c r="J1727" s="7">
        <f>VLOOKUP(Table3[[#This Row],[Agen id]],Agen!A:C,3,0)</f>
        <v/>
      </c>
      <c r="K1727" s="37">
        <f>TRIM(LEFT(Table3[[#This Row],[Group]],2))</f>
        <v/>
      </c>
      <c r="L1727" s="3" t="inlineStr">
        <is>
          <t>NON SALES</t>
        </is>
      </c>
    </row>
    <row r="1728">
      <c r="A1728" s="5" t="inlineStr">
        <is>
          <t>OP10721</t>
        </is>
      </c>
      <c r="B1728" s="6" t="inlineStr">
        <is>
          <t>Regency Cell 2</t>
        </is>
      </c>
      <c r="C1728" s="7" t="inlineStr">
        <is>
          <t>A - Agen</t>
        </is>
      </c>
      <c r="D1728" s="1" t="inlineStr">
        <is>
          <t>OP09392</t>
        </is>
      </c>
      <c r="E1728" s="8" t="n">
        <v>45330.43541666667</v>
      </c>
      <c r="F1728" s="7" t="inlineStr">
        <is>
          <t>DOWNLINE</t>
        </is>
      </c>
      <c r="G1728" s="18" t="inlineStr">
        <is>
          <t>OP09392</t>
        </is>
      </c>
      <c r="H1728" s="19">
        <f>UPPER(Table3[[#This Row],[Agen id]]&amp;"-"&amp;VLOOKUP(Table3[[#This Row],[Agen id]],A:B,2,0)&amp;"("&amp;Table3[[#This Row],[Short]]&amp;")")</f>
        <v/>
      </c>
      <c r="J1728" s="7">
        <f>VLOOKUP(Table3[[#This Row],[Agen id]],Agen!A:C,3,0)</f>
        <v/>
      </c>
      <c r="K1728" s="37">
        <f>TRIM(LEFT(Table3[[#This Row],[Group]],2))</f>
        <v/>
      </c>
      <c r="L1728" s="3" t="inlineStr">
        <is>
          <t>NON SALES</t>
        </is>
      </c>
    </row>
    <row r="1729">
      <c r="A1729" s="5" t="inlineStr">
        <is>
          <t>OP10724</t>
        </is>
      </c>
      <c r="B1729" s="6" t="inlineStr">
        <is>
          <t>Wahyu</t>
        </is>
      </c>
      <c r="C1729" s="7" t="inlineStr">
        <is>
          <t>A - Agen</t>
        </is>
      </c>
      <c r="D1729" s="1" t="inlineStr">
        <is>
          <t>OP00002</t>
        </is>
      </c>
      <c r="E1729" s="8" t="n">
        <v>45330.575</v>
      </c>
      <c r="F1729" s="7" t="inlineStr">
        <is>
          <t>AGEN</t>
        </is>
      </c>
      <c r="G1729" s="18" t="inlineStr">
        <is>
          <t>OP10724</t>
        </is>
      </c>
      <c r="H1729" s="19">
        <f>UPPER(Table3[[#This Row],[Agen id]]&amp;"-"&amp;VLOOKUP(Table3[[#This Row],[Agen id]],A:B,2,0)&amp;"("&amp;Table3[[#This Row],[Short]]&amp;")")</f>
        <v/>
      </c>
      <c r="J1729" s="7">
        <f>VLOOKUP(Table3[[#This Row],[Agen id]],Agen!A:C,3,0)</f>
        <v/>
      </c>
      <c r="K1729" s="37">
        <f>TRIM(LEFT(Table3[[#This Row],[Group]],2))</f>
        <v/>
      </c>
      <c r="L1729" s="3" t="inlineStr">
        <is>
          <t>NON SALES</t>
        </is>
      </c>
    </row>
    <row r="1730">
      <c r="A1730" s="5" t="inlineStr">
        <is>
          <t>OP10733</t>
        </is>
      </c>
      <c r="B1730" s="6" t="inlineStr">
        <is>
          <t>Rojali</t>
        </is>
      </c>
      <c r="C1730" s="7" t="inlineStr">
        <is>
          <t>A - Agen</t>
        </is>
      </c>
      <c r="D1730" s="1" t="inlineStr">
        <is>
          <t>OP03171</t>
        </is>
      </c>
      <c r="E1730" s="8" t="n">
        <v>45330.93680555555</v>
      </c>
      <c r="F1730" s="7" t="inlineStr">
        <is>
          <t>DOWNLINE</t>
        </is>
      </c>
      <c r="G1730" s="18" t="inlineStr">
        <is>
          <t>OP03171</t>
        </is>
      </c>
      <c r="H1730" s="19">
        <f>UPPER(Table3[[#This Row],[Agen id]]&amp;"-"&amp;VLOOKUP(Table3[[#This Row],[Agen id]],A:B,2,0)&amp;"("&amp;Table3[[#This Row],[Short]]&amp;")")</f>
        <v/>
      </c>
      <c r="J1730" s="7">
        <f>VLOOKUP(Table3[[#This Row],[Agen id]],Agen!A:C,3,0)</f>
        <v/>
      </c>
      <c r="K1730" s="37">
        <f>TRIM(LEFT(Table3[[#This Row],[Group]],2))</f>
        <v/>
      </c>
      <c r="L1730" s="3" t="inlineStr">
        <is>
          <t>NON SALES</t>
        </is>
      </c>
    </row>
    <row r="1731">
      <c r="A1731" s="5" t="inlineStr">
        <is>
          <t>OP10738</t>
        </is>
      </c>
      <c r="B1731" s="6" t="inlineStr">
        <is>
          <t>Edy</t>
        </is>
      </c>
      <c r="C1731" s="7" t="inlineStr">
        <is>
          <t>A - Agen</t>
        </is>
      </c>
      <c r="D1731" s="1" t="inlineStr">
        <is>
          <t>OP00002</t>
        </is>
      </c>
      <c r="E1731" s="8" t="n">
        <v>45331.29930555556</v>
      </c>
      <c r="F1731" s="7" t="inlineStr">
        <is>
          <t>AGEN</t>
        </is>
      </c>
      <c r="G1731" s="18" t="inlineStr">
        <is>
          <t>OP10738</t>
        </is>
      </c>
      <c r="H1731" s="19">
        <f>UPPER(Table3[[#This Row],[Agen id]]&amp;"-"&amp;VLOOKUP(Table3[[#This Row],[Agen id]],A:B,2,0)&amp;"("&amp;Table3[[#This Row],[Short]]&amp;")")</f>
        <v/>
      </c>
      <c r="J1731" s="7">
        <f>VLOOKUP(Table3[[#This Row],[Agen id]],Agen!A:C,3,0)</f>
        <v/>
      </c>
      <c r="K1731" s="37">
        <f>TRIM(LEFT(Table3[[#This Row],[Group]],2))</f>
        <v/>
      </c>
      <c r="L1731" s="3" t="inlineStr">
        <is>
          <t>NON SALES</t>
        </is>
      </c>
    </row>
    <row r="1732">
      <c r="A1732" s="5" t="inlineStr">
        <is>
          <t>OP10756</t>
        </is>
      </c>
      <c r="B1732" s="6" t="inlineStr">
        <is>
          <t>PUTRI CELL</t>
        </is>
      </c>
      <c r="C1732" s="7" t="inlineStr">
        <is>
          <t>AT1 - Agen Tangerang</t>
        </is>
      </c>
      <c r="D1732" s="1" t="inlineStr">
        <is>
          <t>OP07683</t>
        </is>
      </c>
      <c r="E1732" s="8" t="n">
        <v>45331.66666666666</v>
      </c>
      <c r="F1732" s="7" t="inlineStr">
        <is>
          <t>AGEN</t>
        </is>
      </c>
      <c r="G1732" s="18" t="inlineStr">
        <is>
          <t>OP10756</t>
        </is>
      </c>
      <c r="H1732" s="19">
        <f>UPPER(Table3[[#This Row],[Agen id]]&amp;"-"&amp;VLOOKUP(Table3[[#This Row],[Agen id]],A:B,2,0)&amp;"("&amp;Table3[[#This Row],[Short]]&amp;")")</f>
        <v/>
      </c>
      <c r="J1732" s="7">
        <f>VLOOKUP(Table3[[#This Row],[Agen id]],Agen!A:C,3,0)</f>
        <v/>
      </c>
      <c r="K1732" s="37">
        <f>TRIM(LEFT(Table3[[#This Row],[Group]],2))</f>
        <v/>
      </c>
      <c r="L1732" s="3" t="inlineStr">
        <is>
          <t>NON SALES</t>
        </is>
      </c>
    </row>
    <row r="1733">
      <c r="A1733" s="5" t="inlineStr">
        <is>
          <t>OP10760</t>
        </is>
      </c>
      <c r="B1733" s="6" t="inlineStr">
        <is>
          <t>RIZKI MAULANA CELLULAR</t>
        </is>
      </c>
      <c r="C1733" s="7" t="inlineStr">
        <is>
          <t>AT1 - Agen Tangerang</t>
        </is>
      </c>
      <c r="D1733" s="1" t="inlineStr">
        <is>
          <t>OP00949</t>
        </is>
      </c>
      <c r="E1733" s="8" t="n">
        <v>45331.78958333333</v>
      </c>
      <c r="F1733" s="7" t="inlineStr">
        <is>
          <t>DOWNLINE</t>
        </is>
      </c>
      <c r="G1733" s="18" t="inlineStr">
        <is>
          <t>OP00949</t>
        </is>
      </c>
      <c r="H1733" s="19">
        <f>UPPER(Table3[[#This Row],[Agen id]]&amp;"-"&amp;VLOOKUP(Table3[[#This Row],[Agen id]],A:B,2,0)&amp;"("&amp;Table3[[#This Row],[Short]]&amp;")")</f>
        <v/>
      </c>
      <c r="J1733" s="7">
        <f>VLOOKUP(Table3[[#This Row],[Agen id]],Agen!A:C,3,0)</f>
        <v/>
      </c>
      <c r="K1733" s="37">
        <f>TRIM(LEFT(Table3[[#This Row],[Group]],2))</f>
        <v/>
      </c>
      <c r="L1733" s="3" t="inlineStr">
        <is>
          <t>NON SALES</t>
        </is>
      </c>
    </row>
    <row r="1734">
      <c r="A1734" s="5" t="inlineStr">
        <is>
          <t>OP10769</t>
        </is>
      </c>
      <c r="B1734" s="6" t="inlineStr">
        <is>
          <t>Muhammad Miftahudin</t>
        </is>
      </c>
      <c r="C1734" s="7" t="inlineStr">
        <is>
          <t>AV - Agen Verified</t>
        </is>
      </c>
      <c r="D1734" s="1" t="inlineStr">
        <is>
          <t>OP00002</t>
        </is>
      </c>
      <c r="E1734" s="8" t="n">
        <v>45332.41875</v>
      </c>
      <c r="F1734" s="7" t="inlineStr">
        <is>
          <t>AGEN</t>
        </is>
      </c>
      <c r="G1734" s="18" t="inlineStr">
        <is>
          <t>OP10769</t>
        </is>
      </c>
      <c r="H1734" s="19">
        <f>UPPER(Table3[[#This Row],[Agen id]]&amp;"-"&amp;VLOOKUP(Table3[[#This Row],[Agen id]],A:B,2,0)&amp;"("&amp;Table3[[#This Row],[Short]]&amp;")")</f>
        <v/>
      </c>
      <c r="J1734" s="7">
        <f>VLOOKUP(Table3[[#This Row],[Agen id]],Agen!A:C,3,0)</f>
        <v/>
      </c>
      <c r="K1734" s="37">
        <f>TRIM(LEFT(Table3[[#This Row],[Group]],2))</f>
        <v/>
      </c>
      <c r="L1734" s="3" t="inlineStr">
        <is>
          <t>NON SALES</t>
        </is>
      </c>
    </row>
    <row r="1735">
      <c r="A1735" s="5" t="inlineStr">
        <is>
          <t>OP10771</t>
        </is>
      </c>
      <c r="B1735" s="6" t="inlineStr">
        <is>
          <t>Randi muhammad adrian</t>
        </is>
      </c>
      <c r="C1735" s="7" t="inlineStr">
        <is>
          <t>AT1 - Agen Tangerang</t>
        </is>
      </c>
      <c r="D1735" s="1" t="inlineStr">
        <is>
          <t>OP07683</t>
        </is>
      </c>
      <c r="E1735" s="8" t="n">
        <v>45332.48055555556</v>
      </c>
      <c r="F1735" s="7" t="inlineStr">
        <is>
          <t>AGEN</t>
        </is>
      </c>
      <c r="G1735" s="18" t="inlineStr">
        <is>
          <t>OP10771</t>
        </is>
      </c>
      <c r="H1735" s="19">
        <f>UPPER(Table3[[#This Row],[Agen id]]&amp;"-"&amp;VLOOKUP(Table3[[#This Row],[Agen id]],A:B,2,0)&amp;"("&amp;Table3[[#This Row],[Short]]&amp;")")</f>
        <v/>
      </c>
      <c r="J1735" s="7">
        <f>VLOOKUP(Table3[[#This Row],[Agen id]],Agen!A:C,3,0)</f>
        <v/>
      </c>
      <c r="K1735" s="37">
        <f>TRIM(LEFT(Table3[[#This Row],[Group]],2))</f>
        <v/>
      </c>
      <c r="L1735" s="3" t="inlineStr">
        <is>
          <t>NON SALES</t>
        </is>
      </c>
    </row>
    <row r="1736">
      <c r="A1736" s="5" t="inlineStr">
        <is>
          <t>OP10775</t>
        </is>
      </c>
      <c r="B1736" s="6" t="inlineStr">
        <is>
          <t>Yulian Sapnil</t>
        </is>
      </c>
      <c r="C1736" s="7" t="inlineStr">
        <is>
          <t>AV - Agen Verified</t>
        </is>
      </c>
      <c r="D1736" s="1" t="inlineStr">
        <is>
          <t>OP00002</t>
        </is>
      </c>
      <c r="E1736" s="8" t="n">
        <v>45332.54930555556</v>
      </c>
      <c r="F1736" s="7" t="inlineStr">
        <is>
          <t>AGEN</t>
        </is>
      </c>
      <c r="G1736" s="18" t="inlineStr">
        <is>
          <t>OP10775</t>
        </is>
      </c>
      <c r="H1736" s="19">
        <f>UPPER(Table3[[#This Row],[Agen id]]&amp;"-"&amp;VLOOKUP(Table3[[#This Row],[Agen id]],A:B,2,0)&amp;"("&amp;Table3[[#This Row],[Short]]&amp;")")</f>
        <v/>
      </c>
      <c r="J1736" s="7">
        <f>VLOOKUP(Table3[[#This Row],[Agen id]],Agen!A:C,3,0)</f>
        <v/>
      </c>
      <c r="K1736" s="37">
        <f>TRIM(LEFT(Table3[[#This Row],[Group]],2))</f>
        <v/>
      </c>
      <c r="L1736" s="3" t="inlineStr">
        <is>
          <t>NON SALES</t>
        </is>
      </c>
    </row>
    <row r="1737">
      <c r="A1737" s="5" t="inlineStr">
        <is>
          <t>OP10790</t>
        </is>
      </c>
      <c r="B1737" s="6" t="inlineStr">
        <is>
          <t>Ica</t>
        </is>
      </c>
      <c r="C1737" s="7" t="inlineStr">
        <is>
          <t>A - Agen</t>
        </is>
      </c>
      <c r="D1737" s="1" t="inlineStr">
        <is>
          <t>OP00002</t>
        </is>
      </c>
      <c r="E1737" s="8" t="n">
        <v>45333.55902777778</v>
      </c>
      <c r="F1737" s="7" t="inlineStr">
        <is>
          <t>AGEN</t>
        </is>
      </c>
      <c r="G1737" s="18" t="inlineStr">
        <is>
          <t>OP10790</t>
        </is>
      </c>
      <c r="H1737" s="19">
        <f>UPPER(Table3[[#This Row],[Agen id]]&amp;"-"&amp;VLOOKUP(Table3[[#This Row],[Agen id]],A:B,2,0)&amp;"("&amp;Table3[[#This Row],[Short]]&amp;")")</f>
        <v/>
      </c>
      <c r="J1737" s="7">
        <f>VLOOKUP(Table3[[#This Row],[Agen id]],Agen!A:C,3,0)</f>
        <v/>
      </c>
      <c r="K1737" s="37">
        <f>TRIM(LEFT(Table3[[#This Row],[Group]],2))</f>
        <v/>
      </c>
      <c r="L1737" s="3" t="inlineStr">
        <is>
          <t>NON SALES</t>
        </is>
      </c>
    </row>
    <row r="1738">
      <c r="A1738" s="5" t="inlineStr">
        <is>
          <t>OP10798</t>
        </is>
      </c>
      <c r="B1738" s="6" t="inlineStr">
        <is>
          <t>ANDIN CELL</t>
        </is>
      </c>
      <c r="C1738" s="7" t="inlineStr">
        <is>
          <t>AV - Agen Verified</t>
        </is>
      </c>
      <c r="D1738" s="1" t="inlineStr">
        <is>
          <t>OP00002</t>
        </is>
      </c>
      <c r="E1738" s="8" t="n">
        <v>45333.87569444445</v>
      </c>
      <c r="F1738" s="7" t="inlineStr">
        <is>
          <t>AGEN</t>
        </is>
      </c>
      <c r="G1738" s="18" t="inlineStr">
        <is>
          <t>OP10798</t>
        </is>
      </c>
      <c r="H1738" s="19">
        <f>UPPER(Table3[[#This Row],[Agen id]]&amp;"-"&amp;VLOOKUP(Table3[[#This Row],[Agen id]],A:B,2,0)&amp;"("&amp;Table3[[#This Row],[Short]]&amp;")")</f>
        <v/>
      </c>
      <c r="J1738" s="7">
        <f>VLOOKUP(Table3[[#This Row],[Agen id]],Agen!A:C,3,0)</f>
        <v/>
      </c>
      <c r="K1738" s="37">
        <f>TRIM(LEFT(Table3[[#This Row],[Group]],2))</f>
        <v/>
      </c>
      <c r="L1738" s="3" t="inlineStr">
        <is>
          <t>NON SALES</t>
        </is>
      </c>
    </row>
    <row r="1739">
      <c r="A1739" s="5" t="inlineStr">
        <is>
          <t>OP10819</t>
        </is>
      </c>
      <c r="B1739" s="6" t="inlineStr">
        <is>
          <t>Zaid Oraile</t>
        </is>
      </c>
      <c r="C1739" s="7" t="inlineStr">
        <is>
          <t>A - Agen</t>
        </is>
      </c>
      <c r="D1739" s="1" t="inlineStr">
        <is>
          <t>OP00003</t>
        </is>
      </c>
      <c r="E1739" s="8" t="n">
        <v>45334.51666666667</v>
      </c>
      <c r="F1739" s="7" t="inlineStr">
        <is>
          <t>AGEN</t>
        </is>
      </c>
      <c r="G1739" s="18" t="inlineStr">
        <is>
          <t>OP10819</t>
        </is>
      </c>
      <c r="H1739" s="19">
        <f>UPPER(Table3[[#This Row],[Agen id]]&amp;"-"&amp;VLOOKUP(Table3[[#This Row],[Agen id]],A:B,2,0)&amp;"("&amp;Table3[[#This Row],[Short]]&amp;")")</f>
        <v/>
      </c>
      <c r="J1739" s="7">
        <f>VLOOKUP(Table3[[#This Row],[Agen id]],Agen!A:C,3,0)</f>
        <v/>
      </c>
      <c r="K1739" s="37">
        <f>TRIM(LEFT(Table3[[#This Row],[Group]],2))</f>
        <v/>
      </c>
      <c r="L1739" s="3" t="inlineStr">
        <is>
          <t>NON SALES</t>
        </is>
      </c>
    </row>
    <row r="1740">
      <c r="A1740" s="5" t="inlineStr">
        <is>
          <t>OP10826</t>
        </is>
      </c>
      <c r="B1740" s="6" t="inlineStr">
        <is>
          <t>Maya sitorus</t>
        </is>
      </c>
      <c r="C1740" s="7" t="inlineStr">
        <is>
          <t>AV - Agen Verified</t>
        </is>
      </c>
      <c r="D1740" s="1" t="inlineStr">
        <is>
          <t>OP00002</t>
        </is>
      </c>
      <c r="E1740" s="8" t="n">
        <v>45334.66180555556</v>
      </c>
      <c r="F1740" s="7" t="inlineStr">
        <is>
          <t>AGEN</t>
        </is>
      </c>
      <c r="G1740" s="18" t="inlineStr">
        <is>
          <t>OP10826</t>
        </is>
      </c>
      <c r="H1740" s="19">
        <f>UPPER(Table3[[#This Row],[Agen id]]&amp;"-"&amp;VLOOKUP(Table3[[#This Row],[Agen id]],A:B,2,0)&amp;"("&amp;Table3[[#This Row],[Short]]&amp;")")</f>
        <v/>
      </c>
      <c r="J1740" s="7">
        <f>VLOOKUP(Table3[[#This Row],[Agen id]],Agen!A:C,3,0)</f>
        <v/>
      </c>
      <c r="K1740" s="37">
        <f>TRIM(LEFT(Table3[[#This Row],[Group]],2))</f>
        <v/>
      </c>
      <c r="L1740" s="3" t="inlineStr">
        <is>
          <t>NON SALES</t>
        </is>
      </c>
    </row>
    <row r="1741">
      <c r="A1741" s="5" t="inlineStr">
        <is>
          <t>OP10828</t>
        </is>
      </c>
      <c r="B1741" s="6" t="inlineStr">
        <is>
          <t>Intan</t>
        </is>
      </c>
      <c r="C1741" s="7" t="inlineStr">
        <is>
          <t>A - Agen</t>
        </is>
      </c>
      <c r="D1741" s="1" t="inlineStr">
        <is>
          <t>OP00002</t>
        </is>
      </c>
      <c r="E1741" s="8" t="n">
        <v>45334.72152777778</v>
      </c>
      <c r="F1741" s="7" t="inlineStr">
        <is>
          <t>AGEN</t>
        </is>
      </c>
      <c r="G1741" s="18" t="inlineStr">
        <is>
          <t>OP10828</t>
        </is>
      </c>
      <c r="H1741" s="19">
        <f>UPPER(Table3[[#This Row],[Agen id]]&amp;"-"&amp;VLOOKUP(Table3[[#This Row],[Agen id]],A:B,2,0)&amp;"("&amp;Table3[[#This Row],[Short]]&amp;")")</f>
        <v/>
      </c>
      <c r="J1741" s="7">
        <f>VLOOKUP(Table3[[#This Row],[Agen id]],Agen!A:C,3,0)</f>
        <v/>
      </c>
      <c r="K1741" s="37">
        <f>TRIM(LEFT(Table3[[#This Row],[Group]],2))</f>
        <v/>
      </c>
      <c r="L1741" s="3" t="inlineStr">
        <is>
          <t>NON SALES</t>
        </is>
      </c>
    </row>
    <row r="1742">
      <c r="A1742" s="5" t="inlineStr">
        <is>
          <t>OP10831</t>
        </is>
      </c>
      <c r="B1742" s="6" t="inlineStr">
        <is>
          <t>ABAH ELMIRA</t>
        </is>
      </c>
      <c r="C1742" s="7" t="inlineStr">
        <is>
          <t>AV - Agen Verified</t>
        </is>
      </c>
      <c r="D1742" s="1" t="inlineStr">
        <is>
          <t>OP00002</t>
        </is>
      </c>
      <c r="E1742" s="8" t="n">
        <v>45334.86458333334</v>
      </c>
      <c r="F1742" s="7" t="inlineStr">
        <is>
          <t>AGEN</t>
        </is>
      </c>
      <c r="G1742" s="18" t="inlineStr">
        <is>
          <t>OP10831</t>
        </is>
      </c>
      <c r="H1742" s="19">
        <f>UPPER(Table3[[#This Row],[Agen id]]&amp;"-"&amp;VLOOKUP(Table3[[#This Row],[Agen id]],A:B,2,0)&amp;"("&amp;Table3[[#This Row],[Short]]&amp;")")</f>
        <v/>
      </c>
      <c r="J1742" s="7">
        <f>VLOOKUP(Table3[[#This Row],[Agen id]],Agen!A:C,3,0)</f>
        <v/>
      </c>
      <c r="K1742" s="37">
        <f>TRIM(LEFT(Table3[[#This Row],[Group]],2))</f>
        <v/>
      </c>
      <c r="L1742" s="3" t="inlineStr">
        <is>
          <t>NON SALES</t>
        </is>
      </c>
    </row>
    <row r="1743">
      <c r="A1743" s="5" t="inlineStr">
        <is>
          <t>OP10832</t>
        </is>
      </c>
      <c r="B1743" s="6" t="inlineStr">
        <is>
          <t>NUR CELL</t>
        </is>
      </c>
      <c r="C1743" s="7" t="inlineStr">
        <is>
          <t>AV - Agen Verified</t>
        </is>
      </c>
      <c r="D1743" s="1" t="inlineStr">
        <is>
          <t>OP10656</t>
        </is>
      </c>
      <c r="E1743" s="8" t="n">
        <v>45334.87152777778</v>
      </c>
      <c r="F1743" s="7" t="inlineStr">
        <is>
          <t>DOWNLINE</t>
        </is>
      </c>
      <c r="G1743" s="18" t="inlineStr">
        <is>
          <t>OP10656</t>
        </is>
      </c>
      <c r="H1743" s="19">
        <f>UPPER(Table3[[#This Row],[Agen id]]&amp;"-"&amp;VLOOKUP(Table3[[#This Row],[Agen id]],A:B,2,0)&amp;"("&amp;Table3[[#This Row],[Short]]&amp;")")</f>
        <v/>
      </c>
      <c r="J1743" s="7">
        <f>VLOOKUP(Table3[[#This Row],[Agen id]],Agen!A:C,3,0)</f>
        <v/>
      </c>
      <c r="K1743" s="37">
        <f>TRIM(LEFT(Table3[[#This Row],[Group]],2))</f>
        <v/>
      </c>
      <c r="L1743" s="3" t="inlineStr">
        <is>
          <t>NON SALES</t>
        </is>
      </c>
    </row>
    <row r="1744">
      <c r="A1744" s="5" t="inlineStr">
        <is>
          <t>OP10842</t>
        </is>
      </c>
      <c r="B1744" s="6" t="inlineStr">
        <is>
          <t>Alea 1 Cell</t>
        </is>
      </c>
      <c r="C1744" s="7" t="inlineStr">
        <is>
          <t>AV - Agen Verified</t>
        </is>
      </c>
      <c r="D1744" s="1" t="inlineStr">
        <is>
          <t>OP00002</t>
        </is>
      </c>
      <c r="E1744" s="8" t="n">
        <v>45335.39652777778</v>
      </c>
      <c r="F1744" s="7" t="inlineStr">
        <is>
          <t>AGEN</t>
        </is>
      </c>
      <c r="G1744" s="18" t="inlineStr">
        <is>
          <t>OP10842</t>
        </is>
      </c>
      <c r="H1744" s="19">
        <f>UPPER(Table3[[#This Row],[Agen id]]&amp;"-"&amp;VLOOKUP(Table3[[#This Row],[Agen id]],A:B,2,0)&amp;"("&amp;Table3[[#This Row],[Short]]&amp;")")</f>
        <v/>
      </c>
      <c r="J1744" s="7">
        <f>VLOOKUP(Table3[[#This Row],[Agen id]],Agen!A:C,3,0)</f>
        <v/>
      </c>
      <c r="K1744" s="37">
        <f>TRIM(LEFT(Table3[[#This Row],[Group]],2))</f>
        <v/>
      </c>
      <c r="L1744" s="3" t="inlineStr">
        <is>
          <t>NON SALES</t>
        </is>
      </c>
    </row>
    <row r="1745">
      <c r="A1745" s="5" t="inlineStr">
        <is>
          <t>OP10849</t>
        </is>
      </c>
      <c r="B1745" s="6" t="inlineStr">
        <is>
          <t>Yesi</t>
        </is>
      </c>
      <c r="C1745" s="7" t="inlineStr">
        <is>
          <t>A - Agen</t>
        </is>
      </c>
      <c r="D1745" s="1" t="inlineStr">
        <is>
          <t>OP00002</t>
        </is>
      </c>
      <c r="E1745" s="8" t="n">
        <v>45335.60972222222</v>
      </c>
      <c r="F1745" s="7" t="inlineStr">
        <is>
          <t>AGEN</t>
        </is>
      </c>
      <c r="G1745" s="18" t="inlineStr">
        <is>
          <t>OP10849</t>
        </is>
      </c>
      <c r="H1745" s="19">
        <f>UPPER(Table3[[#This Row],[Agen id]]&amp;"-"&amp;VLOOKUP(Table3[[#This Row],[Agen id]],A:B,2,0)&amp;"("&amp;Table3[[#This Row],[Short]]&amp;")")</f>
        <v/>
      </c>
      <c r="J1745" s="7">
        <f>VLOOKUP(Table3[[#This Row],[Agen id]],Agen!A:C,3,0)</f>
        <v/>
      </c>
      <c r="K1745" s="37">
        <f>TRIM(LEFT(Table3[[#This Row],[Group]],2))</f>
        <v/>
      </c>
      <c r="L1745" s="3" t="inlineStr">
        <is>
          <t>NON SALES</t>
        </is>
      </c>
    </row>
    <row r="1746">
      <c r="A1746" s="5" t="inlineStr">
        <is>
          <t>OP10856</t>
        </is>
      </c>
      <c r="B1746" s="6" t="inlineStr">
        <is>
          <t>Muh Alfurqan</t>
        </is>
      </c>
      <c r="C1746" s="7" t="inlineStr">
        <is>
          <t>A - Agen</t>
        </is>
      </c>
      <c r="D1746" s="1" t="inlineStr">
        <is>
          <t>OP00002</t>
        </is>
      </c>
      <c r="E1746" s="8" t="n">
        <v>45335.78888888889</v>
      </c>
      <c r="F1746" s="7" t="inlineStr">
        <is>
          <t>AGEN</t>
        </is>
      </c>
      <c r="G1746" s="18" t="inlineStr">
        <is>
          <t>OP10856</t>
        </is>
      </c>
      <c r="H1746" s="19">
        <f>UPPER(Table3[[#This Row],[Agen id]]&amp;"-"&amp;VLOOKUP(Table3[[#This Row],[Agen id]],A:B,2,0)&amp;"("&amp;Table3[[#This Row],[Short]]&amp;")")</f>
        <v/>
      </c>
      <c r="J1746" s="7">
        <f>VLOOKUP(Table3[[#This Row],[Agen id]],Agen!A:C,3,0)</f>
        <v/>
      </c>
      <c r="K1746" s="37">
        <f>TRIM(LEFT(Table3[[#This Row],[Group]],2))</f>
        <v/>
      </c>
      <c r="L1746" s="3" t="inlineStr">
        <is>
          <t>NON SALES</t>
        </is>
      </c>
    </row>
    <row r="1747">
      <c r="A1747" s="5" t="inlineStr">
        <is>
          <t>OP10861</t>
        </is>
      </c>
      <c r="B1747" s="6" t="inlineStr">
        <is>
          <t>Elsa shop</t>
        </is>
      </c>
      <c r="C1747" s="7" t="inlineStr">
        <is>
          <t>A - Agen</t>
        </is>
      </c>
      <c r="D1747" s="1" t="inlineStr">
        <is>
          <t>OP00002</t>
        </is>
      </c>
      <c r="E1747" s="8" t="n">
        <v>45336.15416666667</v>
      </c>
      <c r="F1747" s="7" t="inlineStr">
        <is>
          <t>AGEN</t>
        </is>
      </c>
      <c r="G1747" s="18" t="inlineStr">
        <is>
          <t>OP10861</t>
        </is>
      </c>
      <c r="H1747" s="19">
        <f>UPPER(Table3[[#This Row],[Agen id]]&amp;"-"&amp;VLOOKUP(Table3[[#This Row],[Agen id]],A:B,2,0)&amp;"("&amp;Table3[[#This Row],[Short]]&amp;")")</f>
        <v/>
      </c>
      <c r="J1747" s="7">
        <f>VLOOKUP(Table3[[#This Row],[Agen id]],Agen!A:C,3,0)</f>
        <v/>
      </c>
      <c r="K1747" s="37">
        <f>TRIM(LEFT(Table3[[#This Row],[Group]],2))</f>
        <v/>
      </c>
      <c r="L1747" s="3" t="inlineStr">
        <is>
          <t>NON SALES</t>
        </is>
      </c>
    </row>
    <row r="1748">
      <c r="A1748" s="5" t="inlineStr">
        <is>
          <t>OP10863</t>
        </is>
      </c>
      <c r="B1748" s="6" t="inlineStr">
        <is>
          <t>Alex</t>
        </is>
      </c>
      <c r="C1748" s="7" t="inlineStr">
        <is>
          <t>A - Agen</t>
        </is>
      </c>
      <c r="D1748" s="1" t="inlineStr">
        <is>
          <t>OP00002</t>
        </is>
      </c>
      <c r="E1748" s="8" t="n">
        <v>45336.31458333333</v>
      </c>
      <c r="F1748" s="7" t="inlineStr">
        <is>
          <t>AGEN</t>
        </is>
      </c>
      <c r="G1748" s="18" t="inlineStr">
        <is>
          <t>OP10863</t>
        </is>
      </c>
      <c r="H1748" s="19">
        <f>UPPER(Table3[[#This Row],[Agen id]]&amp;"-"&amp;VLOOKUP(Table3[[#This Row],[Agen id]],A:B,2,0)&amp;"("&amp;Table3[[#This Row],[Short]]&amp;")")</f>
        <v/>
      </c>
      <c r="J1748" s="7">
        <f>VLOOKUP(Table3[[#This Row],[Agen id]],Agen!A:C,3,0)</f>
        <v/>
      </c>
      <c r="K1748" s="37">
        <f>TRIM(LEFT(Table3[[#This Row],[Group]],2))</f>
        <v/>
      </c>
      <c r="L1748" s="3" t="inlineStr">
        <is>
          <t>NON SALES</t>
        </is>
      </c>
    </row>
    <row r="1749">
      <c r="A1749" s="5" t="inlineStr">
        <is>
          <t>OP10865</t>
        </is>
      </c>
      <c r="B1749" s="6" t="inlineStr">
        <is>
          <t>Yuliana baok</t>
        </is>
      </c>
      <c r="C1749" s="7" t="inlineStr">
        <is>
          <t>AV - Agen Verified</t>
        </is>
      </c>
      <c r="D1749" s="1" t="inlineStr">
        <is>
          <t>OP03630</t>
        </is>
      </c>
      <c r="E1749" s="8" t="n">
        <v>45336.39097222222</v>
      </c>
      <c r="F1749" s="7" t="inlineStr">
        <is>
          <t>DOWNLINE</t>
        </is>
      </c>
      <c r="G1749" s="18" t="inlineStr">
        <is>
          <t>OP03630</t>
        </is>
      </c>
      <c r="H1749" s="19">
        <f>UPPER(Table3[[#This Row],[Agen id]]&amp;"-"&amp;VLOOKUP(Table3[[#This Row],[Agen id]],A:B,2,0)&amp;"("&amp;Table3[[#This Row],[Short]]&amp;")")</f>
        <v/>
      </c>
      <c r="J1749" s="7">
        <f>VLOOKUP(Table3[[#This Row],[Agen id]],Agen!A:C,3,0)</f>
        <v/>
      </c>
      <c r="K1749" s="37">
        <f>TRIM(LEFT(Table3[[#This Row],[Group]],2))</f>
        <v/>
      </c>
      <c r="L1749" s="3" t="inlineStr">
        <is>
          <t>NON SALES</t>
        </is>
      </c>
    </row>
    <row r="1750">
      <c r="A1750" s="5" t="inlineStr">
        <is>
          <t>OP10872</t>
        </is>
      </c>
      <c r="B1750" s="6" t="inlineStr">
        <is>
          <t>ALIF CELL</t>
        </is>
      </c>
      <c r="C1750" s="7" t="inlineStr">
        <is>
          <t>AT1 - Agen Tangerang</t>
        </is>
      </c>
      <c r="D1750" s="1" t="inlineStr">
        <is>
          <t>OP07683</t>
        </is>
      </c>
      <c r="E1750" s="8" t="n">
        <v>45336.70972222222</v>
      </c>
      <c r="F1750" s="7" t="inlineStr">
        <is>
          <t>AGEN</t>
        </is>
      </c>
      <c r="G1750" s="18" t="inlineStr">
        <is>
          <t>OP10872</t>
        </is>
      </c>
      <c r="H1750" s="19">
        <f>UPPER(Table3[[#This Row],[Agen id]]&amp;"-"&amp;VLOOKUP(Table3[[#This Row],[Agen id]],A:B,2,0)&amp;"("&amp;Table3[[#This Row],[Short]]&amp;")")</f>
        <v/>
      </c>
      <c r="J1750" s="7">
        <f>VLOOKUP(Table3[[#This Row],[Agen id]],Agen!A:C,3,0)</f>
        <v/>
      </c>
      <c r="K1750" s="37">
        <f>TRIM(LEFT(Table3[[#This Row],[Group]],2))</f>
        <v/>
      </c>
      <c r="L1750" s="3" t="inlineStr">
        <is>
          <t>NON SALES</t>
        </is>
      </c>
    </row>
    <row r="1751">
      <c r="A1751" s="5" t="inlineStr">
        <is>
          <t>OP10878</t>
        </is>
      </c>
      <c r="B1751" s="6" t="inlineStr">
        <is>
          <t>Eko cahyono</t>
        </is>
      </c>
      <c r="C1751" s="7" t="inlineStr">
        <is>
          <t>AV - Agen Verified</t>
        </is>
      </c>
      <c r="D1751" s="1" t="inlineStr">
        <is>
          <t>OP00003</t>
        </is>
      </c>
      <c r="E1751" s="8" t="n">
        <v>45336.84305555555</v>
      </c>
      <c r="F1751" s="7" t="inlineStr">
        <is>
          <t>AGEN</t>
        </is>
      </c>
      <c r="G1751" s="18" t="inlineStr">
        <is>
          <t>OP10878</t>
        </is>
      </c>
      <c r="H1751" s="19">
        <f>UPPER(Table3[[#This Row],[Agen id]]&amp;"-"&amp;VLOOKUP(Table3[[#This Row],[Agen id]],A:B,2,0)&amp;"("&amp;Table3[[#This Row],[Short]]&amp;")")</f>
        <v/>
      </c>
      <c r="J1751" s="7">
        <f>VLOOKUP(Table3[[#This Row],[Agen id]],Agen!A:C,3,0)</f>
        <v/>
      </c>
      <c r="K1751" s="37">
        <f>TRIM(LEFT(Table3[[#This Row],[Group]],2))</f>
        <v/>
      </c>
      <c r="L1751" s="3" t="inlineStr">
        <is>
          <t>NON SALES</t>
        </is>
      </c>
    </row>
    <row r="1752">
      <c r="A1752" s="5" t="inlineStr">
        <is>
          <t>OP10892</t>
        </is>
      </c>
      <c r="B1752" s="6" t="inlineStr">
        <is>
          <t>BSK cell2</t>
        </is>
      </c>
      <c r="C1752" s="7" t="inlineStr">
        <is>
          <t>A - Agen</t>
        </is>
      </c>
      <c r="D1752" s="1" t="inlineStr">
        <is>
          <t>OP08980</t>
        </is>
      </c>
      <c r="E1752" s="8" t="n">
        <v>45337.62708333333</v>
      </c>
      <c r="F1752" s="7" t="inlineStr">
        <is>
          <t>DOWNLINE</t>
        </is>
      </c>
      <c r="G1752" s="18" t="inlineStr">
        <is>
          <t>OP08980</t>
        </is>
      </c>
      <c r="H1752" s="19">
        <f>UPPER(Table3[[#This Row],[Agen id]]&amp;"-"&amp;VLOOKUP(Table3[[#This Row],[Agen id]],A:B,2,0)&amp;"("&amp;Table3[[#This Row],[Short]]&amp;")")</f>
        <v/>
      </c>
      <c r="J1752" s="7">
        <f>VLOOKUP(Table3[[#This Row],[Agen id]],Agen!A:C,3,0)</f>
        <v/>
      </c>
      <c r="K1752" s="37">
        <f>TRIM(LEFT(Table3[[#This Row],[Group]],2))</f>
        <v/>
      </c>
      <c r="L1752" s="3" t="inlineStr">
        <is>
          <t>NON SALES</t>
        </is>
      </c>
    </row>
    <row r="1753">
      <c r="A1753" s="5" t="inlineStr">
        <is>
          <t>OP10895</t>
        </is>
      </c>
      <c r="B1753" s="6" t="inlineStr">
        <is>
          <t>Enos Rudi</t>
        </is>
      </c>
      <c r="C1753" s="7" t="inlineStr">
        <is>
          <t>AV - Agen Verified</t>
        </is>
      </c>
      <c r="D1753" s="1" t="inlineStr">
        <is>
          <t>OP00049</t>
        </is>
      </c>
      <c r="E1753" s="8" t="n">
        <v>45337.76944444444</v>
      </c>
      <c r="F1753" s="7" t="inlineStr">
        <is>
          <t>DOWNLINE</t>
        </is>
      </c>
      <c r="G1753" s="18" t="inlineStr">
        <is>
          <t>OP00049</t>
        </is>
      </c>
      <c r="H1753" s="19">
        <f>UPPER(Table3[[#This Row],[Agen id]]&amp;"-"&amp;VLOOKUP(Table3[[#This Row],[Agen id]],A:B,2,0)&amp;"("&amp;Table3[[#This Row],[Short]]&amp;")")</f>
        <v/>
      </c>
      <c r="J1753" s="7">
        <f>VLOOKUP(Table3[[#This Row],[Agen id]],Agen!A:C,3,0)</f>
        <v/>
      </c>
      <c r="K1753" s="37">
        <f>TRIM(LEFT(Table3[[#This Row],[Group]],2))</f>
        <v/>
      </c>
      <c r="L1753" s="3" t="inlineStr">
        <is>
          <t>NON SALES</t>
        </is>
      </c>
    </row>
    <row r="1754">
      <c r="A1754" s="5" t="inlineStr">
        <is>
          <t>OP10924</t>
        </is>
      </c>
      <c r="B1754" s="6" t="inlineStr">
        <is>
          <t>SAMBAS CELLULAR 2</t>
        </is>
      </c>
      <c r="C1754" s="7" t="inlineStr">
        <is>
          <t>AV - Agen Verified</t>
        </is>
      </c>
      <c r="D1754" s="1" t="inlineStr">
        <is>
          <t>OP00949</t>
        </is>
      </c>
      <c r="E1754" s="8" t="n">
        <v>45339.48472222222</v>
      </c>
      <c r="F1754" s="7" t="inlineStr">
        <is>
          <t>DOWNLINE</t>
        </is>
      </c>
      <c r="G1754" s="18" t="inlineStr">
        <is>
          <t>OP00949</t>
        </is>
      </c>
      <c r="H1754" s="19">
        <f>UPPER(Table3[[#This Row],[Agen id]]&amp;"-"&amp;VLOOKUP(Table3[[#This Row],[Agen id]],A:B,2,0)&amp;"("&amp;Table3[[#This Row],[Short]]&amp;")")</f>
        <v/>
      </c>
      <c r="J1754" s="7">
        <f>VLOOKUP(Table3[[#This Row],[Agen id]],Agen!A:C,3,0)</f>
        <v/>
      </c>
      <c r="K1754" s="37">
        <f>TRIM(LEFT(Table3[[#This Row],[Group]],2))</f>
        <v/>
      </c>
      <c r="L1754" s="3" t="inlineStr">
        <is>
          <t>NON SALES</t>
        </is>
      </c>
    </row>
    <row r="1755">
      <c r="A1755" s="5" t="inlineStr">
        <is>
          <t>OP10927</t>
        </is>
      </c>
      <c r="B1755" s="6" t="inlineStr">
        <is>
          <t>Edindah Lestari</t>
        </is>
      </c>
      <c r="C1755" s="7" t="inlineStr">
        <is>
          <t>AB1 - Agen Kab Bogor</t>
        </is>
      </c>
      <c r="D1755" s="1" t="inlineStr">
        <is>
          <t>OP07367</t>
        </is>
      </c>
      <c r="E1755" s="8" t="n">
        <v>45339.59375</v>
      </c>
      <c r="F1755" s="7" t="inlineStr">
        <is>
          <t>AGEN</t>
        </is>
      </c>
      <c r="G1755" s="18" t="inlineStr">
        <is>
          <t>OP10927</t>
        </is>
      </c>
      <c r="H1755" s="19">
        <f>UPPER(Table3[[#This Row],[Agen id]]&amp;"-"&amp;VLOOKUP(Table3[[#This Row],[Agen id]],A:B,2,0)&amp;"("&amp;Table3[[#This Row],[Short]]&amp;")")</f>
        <v/>
      </c>
      <c r="J1755" s="7">
        <f>VLOOKUP(Table3[[#This Row],[Agen id]],Agen!A:C,3,0)</f>
        <v/>
      </c>
      <c r="K1755" s="37">
        <f>TRIM(LEFT(Table3[[#This Row],[Group]],2))</f>
        <v/>
      </c>
      <c r="L1755" s="3" t="inlineStr">
        <is>
          <t>NON SALES</t>
        </is>
      </c>
    </row>
    <row r="1756">
      <c r="A1756" s="5" t="inlineStr">
        <is>
          <t>OP10931</t>
        </is>
      </c>
      <c r="B1756" s="6" t="inlineStr">
        <is>
          <t>Deden</t>
        </is>
      </c>
      <c r="C1756" s="7" t="inlineStr">
        <is>
          <t>AV - Agen Verified</t>
        </is>
      </c>
      <c r="D1756" s="1" t="inlineStr">
        <is>
          <t>OP00002</t>
        </is>
      </c>
      <c r="E1756" s="8" t="n">
        <v>45339.68125</v>
      </c>
      <c r="F1756" s="7" t="inlineStr">
        <is>
          <t>AGEN</t>
        </is>
      </c>
      <c r="G1756" s="18" t="inlineStr">
        <is>
          <t>OP10931</t>
        </is>
      </c>
      <c r="H1756" s="19">
        <f>UPPER(Table3[[#This Row],[Agen id]]&amp;"-"&amp;VLOOKUP(Table3[[#This Row],[Agen id]],A:B,2,0)&amp;"("&amp;Table3[[#This Row],[Short]]&amp;")")</f>
        <v/>
      </c>
      <c r="J1756" s="7">
        <f>VLOOKUP(Table3[[#This Row],[Agen id]],Agen!A:C,3,0)</f>
        <v/>
      </c>
      <c r="K1756" s="37">
        <f>TRIM(LEFT(Table3[[#This Row],[Group]],2))</f>
        <v/>
      </c>
      <c r="L1756" s="3" t="inlineStr">
        <is>
          <t>NON SALES</t>
        </is>
      </c>
    </row>
    <row r="1757">
      <c r="A1757" s="5" t="inlineStr">
        <is>
          <t>OP10935</t>
        </is>
      </c>
      <c r="B1757" s="6" t="inlineStr">
        <is>
          <t>Als</t>
        </is>
      </c>
      <c r="C1757" s="7" t="inlineStr">
        <is>
          <t>AV - Agen Verified</t>
        </is>
      </c>
      <c r="D1757" s="1" t="inlineStr">
        <is>
          <t>OP00002</t>
        </is>
      </c>
      <c r="E1757" s="8" t="n">
        <v>45339.77291666667</v>
      </c>
      <c r="F1757" s="7" t="inlineStr">
        <is>
          <t>AGEN</t>
        </is>
      </c>
      <c r="G1757" s="18" t="inlineStr">
        <is>
          <t>OP10935</t>
        </is>
      </c>
      <c r="H1757" s="19">
        <f>UPPER(Table3[[#This Row],[Agen id]]&amp;"-"&amp;VLOOKUP(Table3[[#This Row],[Agen id]],A:B,2,0)&amp;"("&amp;Table3[[#This Row],[Short]]&amp;")")</f>
        <v/>
      </c>
      <c r="J1757" s="7">
        <f>VLOOKUP(Table3[[#This Row],[Agen id]],Agen!A:C,3,0)</f>
        <v/>
      </c>
      <c r="K1757" s="37">
        <f>TRIM(LEFT(Table3[[#This Row],[Group]],2))</f>
        <v/>
      </c>
      <c r="L1757" s="3" t="inlineStr">
        <is>
          <t>NON SALES</t>
        </is>
      </c>
    </row>
    <row r="1758">
      <c r="A1758" s="5" t="inlineStr">
        <is>
          <t>OP10936</t>
        </is>
      </c>
      <c r="B1758" s="6" t="inlineStr">
        <is>
          <t>NOVRIANTO</t>
        </is>
      </c>
      <c r="C1758" s="7" t="inlineStr">
        <is>
          <t>A - Agen</t>
        </is>
      </c>
      <c r="D1758" s="1" t="inlineStr">
        <is>
          <t>OP00002</t>
        </is>
      </c>
      <c r="E1758" s="8" t="n">
        <v>45339.79305555556</v>
      </c>
      <c r="F1758" s="7" t="inlineStr">
        <is>
          <t>AGEN</t>
        </is>
      </c>
      <c r="G1758" s="18" t="inlineStr">
        <is>
          <t>OP10936</t>
        </is>
      </c>
      <c r="H1758" s="19">
        <f>UPPER(Table3[[#This Row],[Agen id]]&amp;"-"&amp;VLOOKUP(Table3[[#This Row],[Agen id]],A:B,2,0)&amp;"("&amp;Table3[[#This Row],[Short]]&amp;")")</f>
        <v/>
      </c>
      <c r="J1758" s="7">
        <f>VLOOKUP(Table3[[#This Row],[Agen id]],Agen!A:C,3,0)</f>
        <v/>
      </c>
      <c r="K1758" s="37">
        <f>TRIM(LEFT(Table3[[#This Row],[Group]],2))</f>
        <v/>
      </c>
      <c r="L1758" s="3" t="inlineStr">
        <is>
          <t>NON SALES</t>
        </is>
      </c>
    </row>
    <row r="1759">
      <c r="A1759" s="5" t="inlineStr">
        <is>
          <t>OP10941</t>
        </is>
      </c>
      <c r="B1759" s="6" t="inlineStr">
        <is>
          <t>Nikmah Story</t>
        </is>
      </c>
      <c r="C1759" s="7" t="inlineStr">
        <is>
          <t>AV - Agen Verified</t>
        </is>
      </c>
      <c r="D1759" s="1" t="inlineStr">
        <is>
          <t>OP00002</t>
        </is>
      </c>
      <c r="E1759" s="8" t="n">
        <v>45339.84861111111</v>
      </c>
      <c r="F1759" s="7" t="inlineStr">
        <is>
          <t>AGEN</t>
        </is>
      </c>
      <c r="G1759" s="18" t="inlineStr">
        <is>
          <t>OP10941</t>
        </is>
      </c>
      <c r="H1759" s="19">
        <f>UPPER(Table3[[#This Row],[Agen id]]&amp;"-"&amp;VLOOKUP(Table3[[#This Row],[Agen id]],A:B,2,0)&amp;"("&amp;Table3[[#This Row],[Short]]&amp;")")</f>
        <v/>
      </c>
      <c r="J1759" s="7">
        <f>VLOOKUP(Table3[[#This Row],[Agen id]],Agen!A:C,3,0)</f>
        <v/>
      </c>
      <c r="K1759" s="37">
        <f>TRIM(LEFT(Table3[[#This Row],[Group]],2))</f>
        <v/>
      </c>
      <c r="L1759" s="3" t="inlineStr">
        <is>
          <t>NON SALES</t>
        </is>
      </c>
    </row>
    <row r="1760">
      <c r="A1760" s="5" t="inlineStr">
        <is>
          <t>OP10943</t>
        </is>
      </c>
      <c r="B1760" s="6" t="inlineStr">
        <is>
          <t>BOYCELL</t>
        </is>
      </c>
      <c r="C1760" s="7" t="inlineStr">
        <is>
          <t>A - Agen</t>
        </is>
      </c>
      <c r="D1760" s="1" t="inlineStr">
        <is>
          <t>OP00002</t>
        </is>
      </c>
      <c r="E1760" s="8" t="n">
        <v>45339.86458333334</v>
      </c>
      <c r="F1760" s="7" t="inlineStr">
        <is>
          <t>AGEN</t>
        </is>
      </c>
      <c r="G1760" s="18" t="inlineStr">
        <is>
          <t>OP10943</t>
        </is>
      </c>
      <c r="H1760" s="19">
        <f>UPPER(Table3[[#This Row],[Agen id]]&amp;"-"&amp;VLOOKUP(Table3[[#This Row],[Agen id]],A:B,2,0)&amp;"("&amp;Table3[[#This Row],[Short]]&amp;")")</f>
        <v/>
      </c>
      <c r="J1760" s="7">
        <f>VLOOKUP(Table3[[#This Row],[Agen id]],Agen!A:C,3,0)</f>
        <v/>
      </c>
      <c r="K1760" s="37">
        <f>TRIM(LEFT(Table3[[#This Row],[Group]],2))</f>
        <v/>
      </c>
      <c r="L1760" s="3" t="inlineStr">
        <is>
          <t>NON SALES</t>
        </is>
      </c>
    </row>
    <row r="1761">
      <c r="A1761" s="5" t="inlineStr">
        <is>
          <t>OP10944</t>
        </is>
      </c>
      <c r="B1761" s="6" t="inlineStr">
        <is>
          <t>AliyaStory cabang 01</t>
        </is>
      </c>
      <c r="C1761" s="7" t="inlineStr">
        <is>
          <t>AV - Agen Verified</t>
        </is>
      </c>
      <c r="D1761" s="1" t="inlineStr">
        <is>
          <t>OP00002</t>
        </is>
      </c>
      <c r="E1761" s="8" t="n">
        <v>45339.92291666667</v>
      </c>
      <c r="F1761" s="7" t="inlineStr">
        <is>
          <t>AGEN</t>
        </is>
      </c>
      <c r="G1761" s="18" t="inlineStr">
        <is>
          <t>OP10944</t>
        </is>
      </c>
      <c r="H1761" s="19">
        <f>UPPER(Table3[[#This Row],[Agen id]]&amp;"-"&amp;VLOOKUP(Table3[[#This Row],[Agen id]],A:B,2,0)&amp;"("&amp;Table3[[#This Row],[Short]]&amp;")")</f>
        <v/>
      </c>
      <c r="J1761" s="7">
        <f>VLOOKUP(Table3[[#This Row],[Agen id]],Agen!A:C,3,0)</f>
        <v/>
      </c>
      <c r="K1761" s="37">
        <f>TRIM(LEFT(Table3[[#This Row],[Group]],2))</f>
        <v/>
      </c>
      <c r="L1761" s="3" t="inlineStr">
        <is>
          <t>NON SALES</t>
        </is>
      </c>
    </row>
    <row r="1762">
      <c r="A1762" s="5" t="inlineStr">
        <is>
          <t>OP10945</t>
        </is>
      </c>
      <c r="B1762" s="6" t="inlineStr">
        <is>
          <t>NIKMAH STORY 2</t>
        </is>
      </c>
      <c r="C1762" s="7" t="inlineStr">
        <is>
          <t>AV - Agen Verified</t>
        </is>
      </c>
      <c r="D1762" s="1" t="inlineStr">
        <is>
          <t>OP10941</t>
        </is>
      </c>
      <c r="E1762" s="8" t="n">
        <v>45339.92361111111</v>
      </c>
      <c r="F1762" s="7" t="inlineStr">
        <is>
          <t>DOWNLINE</t>
        </is>
      </c>
      <c r="G1762" s="18" t="inlineStr">
        <is>
          <t>OP10941</t>
        </is>
      </c>
      <c r="H1762" s="19">
        <f>UPPER(Table3[[#This Row],[Agen id]]&amp;"-"&amp;VLOOKUP(Table3[[#This Row],[Agen id]],A:B,2,0)&amp;"("&amp;Table3[[#This Row],[Short]]&amp;")")</f>
        <v/>
      </c>
      <c r="J1762" s="7">
        <f>VLOOKUP(Table3[[#This Row],[Agen id]],Agen!A:C,3,0)</f>
        <v/>
      </c>
      <c r="K1762" s="37">
        <f>TRIM(LEFT(Table3[[#This Row],[Group]],2))</f>
        <v/>
      </c>
      <c r="L1762" s="3" t="inlineStr">
        <is>
          <t>NON SALES</t>
        </is>
      </c>
    </row>
    <row r="1763">
      <c r="A1763" s="5" t="inlineStr">
        <is>
          <t>OP10946</t>
        </is>
      </c>
      <c r="B1763" s="6" t="inlineStr">
        <is>
          <t>Nikmah Story Cabang 3</t>
        </is>
      </c>
      <c r="C1763" s="7" t="inlineStr">
        <is>
          <t>AV - Agen Verified</t>
        </is>
      </c>
      <c r="D1763" s="1" t="inlineStr">
        <is>
          <t>OP10941</t>
        </is>
      </c>
      <c r="E1763" s="8" t="n">
        <v>45339.925</v>
      </c>
      <c r="F1763" s="7" t="inlineStr">
        <is>
          <t>DOWNLINE</t>
        </is>
      </c>
      <c r="G1763" s="18" t="inlineStr">
        <is>
          <t>OP10941</t>
        </is>
      </c>
      <c r="H1763" s="19">
        <f>UPPER(Table3[[#This Row],[Agen id]]&amp;"-"&amp;VLOOKUP(Table3[[#This Row],[Agen id]],A:B,2,0)&amp;"("&amp;Table3[[#This Row],[Short]]&amp;")")</f>
        <v/>
      </c>
      <c r="J1763" s="7">
        <f>VLOOKUP(Table3[[#This Row],[Agen id]],Agen!A:C,3,0)</f>
        <v/>
      </c>
      <c r="K1763" s="37">
        <f>TRIM(LEFT(Table3[[#This Row],[Group]],2))</f>
        <v/>
      </c>
      <c r="L1763" s="3" t="inlineStr">
        <is>
          <t>NON SALES</t>
        </is>
      </c>
    </row>
    <row r="1764">
      <c r="A1764" s="5" t="inlineStr">
        <is>
          <t>OP10947</t>
        </is>
      </c>
      <c r="B1764" s="6" t="inlineStr">
        <is>
          <t>Yanto Cell</t>
        </is>
      </c>
      <c r="C1764" s="7" t="inlineStr">
        <is>
          <t>AV - Agen Verified</t>
        </is>
      </c>
      <c r="D1764" s="1" t="inlineStr">
        <is>
          <t>OP10941</t>
        </is>
      </c>
      <c r="E1764" s="8" t="n">
        <v>45339.92569444444</v>
      </c>
      <c r="F1764" s="7" t="inlineStr">
        <is>
          <t>DOWNLINE</t>
        </is>
      </c>
      <c r="G1764" s="18" t="inlineStr">
        <is>
          <t>OP10941</t>
        </is>
      </c>
      <c r="H1764" s="19">
        <f>UPPER(Table3[[#This Row],[Agen id]]&amp;"-"&amp;VLOOKUP(Table3[[#This Row],[Agen id]],A:B,2,0)&amp;"("&amp;Table3[[#This Row],[Short]]&amp;")")</f>
        <v/>
      </c>
      <c r="J1764" s="7">
        <f>VLOOKUP(Table3[[#This Row],[Agen id]],Agen!A:C,3,0)</f>
        <v/>
      </c>
      <c r="K1764" s="37">
        <f>TRIM(LEFT(Table3[[#This Row],[Group]],2))</f>
        <v/>
      </c>
      <c r="L1764" s="3" t="inlineStr">
        <is>
          <t>NON SALES</t>
        </is>
      </c>
    </row>
    <row r="1765">
      <c r="A1765" s="5" t="inlineStr">
        <is>
          <t>OP10950</t>
        </is>
      </c>
      <c r="B1765" s="6" t="inlineStr">
        <is>
          <t>Babacell1</t>
        </is>
      </c>
      <c r="C1765" s="7" t="inlineStr">
        <is>
          <t>A - Agen</t>
        </is>
      </c>
      <c r="D1765" s="1" t="inlineStr">
        <is>
          <t>OP00002</t>
        </is>
      </c>
      <c r="E1765" s="8" t="n">
        <v>45340.12013888889</v>
      </c>
      <c r="F1765" s="7" t="inlineStr">
        <is>
          <t>AGEN</t>
        </is>
      </c>
      <c r="G1765" s="18" t="inlineStr">
        <is>
          <t>OP10950</t>
        </is>
      </c>
      <c r="H1765" s="19">
        <f>UPPER(Table3[[#This Row],[Agen id]]&amp;"-"&amp;VLOOKUP(Table3[[#This Row],[Agen id]],A:B,2,0)&amp;"("&amp;Table3[[#This Row],[Short]]&amp;")")</f>
        <v/>
      </c>
      <c r="J1765" s="7">
        <f>VLOOKUP(Table3[[#This Row],[Agen id]],Agen!A:C,3,0)</f>
        <v/>
      </c>
      <c r="K1765" s="37">
        <f>TRIM(LEFT(Table3[[#This Row],[Group]],2))</f>
        <v/>
      </c>
      <c r="L1765" s="3" t="inlineStr">
        <is>
          <t>NON SALES</t>
        </is>
      </c>
    </row>
    <row r="1766">
      <c r="A1766" s="5" t="inlineStr">
        <is>
          <t>OP10958</t>
        </is>
      </c>
      <c r="B1766" s="6" t="inlineStr">
        <is>
          <t>kartina cell</t>
        </is>
      </c>
      <c r="C1766" s="7" t="inlineStr">
        <is>
          <t>AV - Agen Verified</t>
        </is>
      </c>
      <c r="D1766" s="1" t="inlineStr">
        <is>
          <t>OP08054</t>
        </is>
      </c>
      <c r="E1766" s="8" t="n">
        <v>45340.42013888889</v>
      </c>
      <c r="F1766" s="7" t="inlineStr">
        <is>
          <t>DOWNLINE</t>
        </is>
      </c>
      <c r="G1766" s="18" t="inlineStr">
        <is>
          <t>OP00049</t>
        </is>
      </c>
      <c r="H1766" s="19">
        <f>UPPER(Table3[[#This Row],[Agen id]]&amp;"-"&amp;VLOOKUP(Table3[[#This Row],[Agen id]],A:B,2,0)&amp;"("&amp;Table3[[#This Row],[Short]]&amp;")")</f>
        <v/>
      </c>
      <c r="J1766" s="7">
        <f>VLOOKUP(Table3[[#This Row],[Agen id]],Agen!A:C,3,0)</f>
        <v/>
      </c>
      <c r="K1766" s="37">
        <f>TRIM(LEFT(Table3[[#This Row],[Group]],2))</f>
        <v/>
      </c>
      <c r="L1766" s="3" t="inlineStr">
        <is>
          <t>NON SALES</t>
        </is>
      </c>
    </row>
    <row r="1767">
      <c r="A1767" s="5" t="inlineStr">
        <is>
          <t>OP10977</t>
        </is>
      </c>
      <c r="B1767" s="6" t="inlineStr">
        <is>
          <t>Rosita</t>
        </is>
      </c>
      <c r="C1767" s="7" t="inlineStr">
        <is>
          <t>A - Agen</t>
        </is>
      </c>
      <c r="D1767" s="1" t="inlineStr">
        <is>
          <t>OP00335</t>
        </is>
      </c>
      <c r="E1767" s="8" t="n">
        <v>45340.82638888889</v>
      </c>
      <c r="F1767" s="7" t="inlineStr">
        <is>
          <t>DOWNLINE</t>
        </is>
      </c>
      <c r="G1767" s="18" t="inlineStr">
        <is>
          <t>OP00335</t>
        </is>
      </c>
      <c r="H1767" s="19">
        <f>UPPER(Table3[[#This Row],[Agen id]]&amp;"-"&amp;VLOOKUP(Table3[[#This Row],[Agen id]],A:B,2,0)&amp;"("&amp;Table3[[#This Row],[Short]]&amp;")")</f>
        <v/>
      </c>
      <c r="J1767" s="7">
        <f>VLOOKUP(Table3[[#This Row],[Agen id]],Agen!A:C,3,0)</f>
        <v/>
      </c>
      <c r="K1767" s="37">
        <f>TRIM(LEFT(Table3[[#This Row],[Group]],2))</f>
        <v/>
      </c>
      <c r="L1767" s="3" t="inlineStr">
        <is>
          <t>NON SALES</t>
        </is>
      </c>
    </row>
    <row r="1768">
      <c r="A1768" s="5" t="inlineStr">
        <is>
          <t>OP10990</t>
        </is>
      </c>
      <c r="B1768" s="6" t="inlineStr">
        <is>
          <t>Noza cell</t>
        </is>
      </c>
      <c r="C1768" s="7" t="inlineStr">
        <is>
          <t>AB1 - Agen Kab Bogor</t>
        </is>
      </c>
      <c r="D1768" s="1" t="inlineStr">
        <is>
          <t>OP07367</t>
        </is>
      </c>
      <c r="E1768" s="8" t="n">
        <v>45341.60902777778</v>
      </c>
      <c r="F1768" s="7" t="inlineStr">
        <is>
          <t>AGEN</t>
        </is>
      </c>
      <c r="G1768" s="18" t="inlineStr">
        <is>
          <t>OP10990</t>
        </is>
      </c>
      <c r="H1768" s="19">
        <f>UPPER(Table3[[#This Row],[Agen id]]&amp;"-"&amp;VLOOKUP(Table3[[#This Row],[Agen id]],A:B,2,0)&amp;"("&amp;Table3[[#This Row],[Short]]&amp;")")</f>
        <v/>
      </c>
      <c r="J1768" s="7">
        <f>VLOOKUP(Table3[[#This Row],[Agen id]],Agen!A:C,3,0)</f>
        <v/>
      </c>
      <c r="K1768" s="37">
        <f>TRIM(LEFT(Table3[[#This Row],[Group]],2))</f>
        <v/>
      </c>
      <c r="L1768" s="3" t="inlineStr">
        <is>
          <t>NON SALES</t>
        </is>
      </c>
    </row>
    <row r="1769">
      <c r="A1769" s="5" t="inlineStr">
        <is>
          <t>OP11001</t>
        </is>
      </c>
      <c r="B1769" s="6" t="inlineStr">
        <is>
          <t>Nex One Cel</t>
        </is>
      </c>
      <c r="C1769" s="7" t="inlineStr">
        <is>
          <t>AV - Agen Verified</t>
        </is>
      </c>
      <c r="D1769" s="1" t="inlineStr">
        <is>
          <t>OP01054</t>
        </is>
      </c>
      <c r="E1769" s="8" t="n">
        <v>45342.33194444444</v>
      </c>
      <c r="F1769" s="7" t="inlineStr">
        <is>
          <t>DOWNLINE</t>
        </is>
      </c>
      <c r="G1769" s="18" t="inlineStr">
        <is>
          <t>OP01054</t>
        </is>
      </c>
      <c r="H1769" s="19">
        <f>UPPER(Table3[[#This Row],[Agen id]]&amp;"-"&amp;VLOOKUP(Table3[[#This Row],[Agen id]],A:B,2,0)&amp;"("&amp;Table3[[#This Row],[Short]]&amp;")")</f>
        <v/>
      </c>
      <c r="J1769" s="7">
        <f>VLOOKUP(Table3[[#This Row],[Agen id]],Agen!A:C,3,0)</f>
        <v/>
      </c>
      <c r="K1769" s="37">
        <f>TRIM(LEFT(Table3[[#This Row],[Group]],2))</f>
        <v/>
      </c>
      <c r="L1769" s="3" t="inlineStr">
        <is>
          <t>NON SALES</t>
        </is>
      </c>
    </row>
    <row r="1770">
      <c r="A1770" s="5" t="inlineStr">
        <is>
          <t>OP11003</t>
        </is>
      </c>
      <c r="B1770" s="6" t="inlineStr">
        <is>
          <t>Edi</t>
        </is>
      </c>
      <c r="C1770" s="7" t="inlineStr">
        <is>
          <t>A - Agen</t>
        </is>
      </c>
      <c r="D1770" s="1" t="inlineStr">
        <is>
          <t>OP00002</t>
        </is>
      </c>
      <c r="E1770" s="8" t="n">
        <v>45342.43333333333</v>
      </c>
      <c r="F1770" s="7" t="inlineStr">
        <is>
          <t>AGEN</t>
        </is>
      </c>
      <c r="G1770" s="18" t="inlineStr">
        <is>
          <t>OP11003</t>
        </is>
      </c>
      <c r="H1770" s="19">
        <f>UPPER(Table3[[#This Row],[Agen id]]&amp;"-"&amp;VLOOKUP(Table3[[#This Row],[Agen id]],A:B,2,0)&amp;"("&amp;Table3[[#This Row],[Short]]&amp;")")</f>
        <v/>
      </c>
      <c r="J1770" s="7">
        <f>VLOOKUP(Table3[[#This Row],[Agen id]],Agen!A:C,3,0)</f>
        <v/>
      </c>
      <c r="K1770" s="37">
        <f>TRIM(LEFT(Table3[[#This Row],[Group]],2))</f>
        <v/>
      </c>
      <c r="L1770" s="3" t="inlineStr">
        <is>
          <t>NON SALES</t>
        </is>
      </c>
    </row>
    <row r="1771">
      <c r="A1771" s="5" t="inlineStr">
        <is>
          <t>OP11009</t>
        </is>
      </c>
      <c r="B1771" s="6" t="inlineStr">
        <is>
          <t>23 Cell</t>
        </is>
      </c>
      <c r="C1771" s="7" t="inlineStr">
        <is>
          <t>AB1 - Agen Kab Bogor</t>
        </is>
      </c>
      <c r="D1771" s="1" t="inlineStr">
        <is>
          <t>OP07367</t>
        </is>
      </c>
      <c r="E1771" s="8" t="n">
        <v>45342.70625</v>
      </c>
      <c r="F1771" s="7" t="inlineStr">
        <is>
          <t>AGEN</t>
        </is>
      </c>
      <c r="G1771" s="18" t="inlineStr">
        <is>
          <t>OP11009</t>
        </is>
      </c>
      <c r="H1771" s="19">
        <f>UPPER(Table3[[#This Row],[Agen id]]&amp;"-"&amp;VLOOKUP(Table3[[#This Row],[Agen id]],A:B,2,0)&amp;"("&amp;Table3[[#This Row],[Short]]&amp;")")</f>
        <v/>
      </c>
      <c r="J1771" s="7">
        <f>VLOOKUP(Table3[[#This Row],[Agen id]],Agen!A:C,3,0)</f>
        <v/>
      </c>
      <c r="K1771" s="37">
        <f>TRIM(LEFT(Table3[[#This Row],[Group]],2))</f>
        <v/>
      </c>
      <c r="L1771" s="3" t="inlineStr">
        <is>
          <t>NON SALES</t>
        </is>
      </c>
    </row>
    <row r="1772">
      <c r="A1772" s="5" t="inlineStr">
        <is>
          <t>OP11024</t>
        </is>
      </c>
      <c r="B1772" s="6" t="inlineStr">
        <is>
          <t>May</t>
        </is>
      </c>
      <c r="C1772" s="7" t="inlineStr">
        <is>
          <t>A - Agen</t>
        </is>
      </c>
      <c r="D1772" s="1" t="inlineStr">
        <is>
          <t>OP10738</t>
        </is>
      </c>
      <c r="E1772" s="8" t="n">
        <v>45343.29861111111</v>
      </c>
      <c r="F1772" s="7" t="inlineStr">
        <is>
          <t>DOWNLINE</t>
        </is>
      </c>
      <c r="G1772" s="18" t="inlineStr">
        <is>
          <t>OP10738</t>
        </is>
      </c>
      <c r="H1772" s="19">
        <f>UPPER(Table3[[#This Row],[Agen id]]&amp;"-"&amp;VLOOKUP(Table3[[#This Row],[Agen id]],A:B,2,0)&amp;"("&amp;Table3[[#This Row],[Short]]&amp;")")</f>
        <v/>
      </c>
      <c r="J1772" s="7">
        <f>VLOOKUP(Table3[[#This Row],[Agen id]],Agen!A:C,3,0)</f>
        <v/>
      </c>
      <c r="K1772" s="37">
        <f>TRIM(LEFT(Table3[[#This Row],[Group]],2))</f>
        <v/>
      </c>
      <c r="L1772" s="3" t="inlineStr">
        <is>
          <t>NON SALES</t>
        </is>
      </c>
    </row>
    <row r="1773">
      <c r="A1773" s="5" t="inlineStr">
        <is>
          <t>OP11027</t>
        </is>
      </c>
      <c r="B1773" s="6" t="inlineStr">
        <is>
          <t>Toko rezeki</t>
        </is>
      </c>
      <c r="C1773" s="7" t="inlineStr">
        <is>
          <t>A - Agen</t>
        </is>
      </c>
      <c r="D1773" s="1" t="inlineStr">
        <is>
          <t>OP00002</t>
        </is>
      </c>
      <c r="E1773" s="8" t="n">
        <v>45343.36111111111</v>
      </c>
      <c r="F1773" s="7" t="inlineStr">
        <is>
          <t>AGEN</t>
        </is>
      </c>
      <c r="G1773" s="18" t="inlineStr">
        <is>
          <t>OP11027</t>
        </is>
      </c>
      <c r="H1773" s="19">
        <f>UPPER(Table3[[#This Row],[Agen id]]&amp;"-"&amp;VLOOKUP(Table3[[#This Row],[Agen id]],A:B,2,0)&amp;"("&amp;Table3[[#This Row],[Short]]&amp;")")</f>
        <v/>
      </c>
      <c r="J1773" s="7">
        <f>VLOOKUP(Table3[[#This Row],[Agen id]],Agen!A:C,3,0)</f>
        <v/>
      </c>
      <c r="K1773" s="37">
        <f>TRIM(LEFT(Table3[[#This Row],[Group]],2))</f>
        <v/>
      </c>
      <c r="L1773" s="3" t="inlineStr">
        <is>
          <t>NON SALES</t>
        </is>
      </c>
    </row>
    <row r="1774">
      <c r="A1774" s="5" t="inlineStr">
        <is>
          <t>OP11039</t>
        </is>
      </c>
      <c r="B1774" s="6" t="inlineStr">
        <is>
          <t>Azzira cell</t>
        </is>
      </c>
      <c r="C1774" s="7" t="inlineStr">
        <is>
          <t>AT1 - Agen Tangerang</t>
        </is>
      </c>
      <c r="D1774" s="1" t="inlineStr">
        <is>
          <t>OP07683</t>
        </is>
      </c>
      <c r="E1774" s="8" t="n">
        <v>45343.69583333333</v>
      </c>
      <c r="F1774" s="7" t="inlineStr">
        <is>
          <t>AGEN</t>
        </is>
      </c>
      <c r="G1774" s="18" t="inlineStr">
        <is>
          <t>OP11039</t>
        </is>
      </c>
      <c r="H1774" s="19">
        <f>UPPER(Table3[[#This Row],[Agen id]]&amp;"-"&amp;VLOOKUP(Table3[[#This Row],[Agen id]],A:B,2,0)&amp;"("&amp;Table3[[#This Row],[Short]]&amp;")")</f>
        <v/>
      </c>
      <c r="J1774" s="7">
        <f>VLOOKUP(Table3[[#This Row],[Agen id]],Agen!A:C,3,0)</f>
        <v/>
      </c>
      <c r="K1774" s="37">
        <f>TRIM(LEFT(Table3[[#This Row],[Group]],2))</f>
        <v/>
      </c>
      <c r="L1774" s="3" t="inlineStr">
        <is>
          <t>NON SALES</t>
        </is>
      </c>
    </row>
    <row r="1775">
      <c r="A1775" s="5" t="inlineStr">
        <is>
          <t>OP11040</t>
        </is>
      </c>
      <c r="B1775" s="6" t="inlineStr">
        <is>
          <t>misbah</t>
        </is>
      </c>
      <c r="C1775" s="7" t="inlineStr">
        <is>
          <t>A - Agen</t>
        </is>
      </c>
      <c r="D1775" s="1" t="inlineStr">
        <is>
          <t>OP00002</t>
        </is>
      </c>
      <c r="E1775" s="8" t="n">
        <v>45343.73055555556</v>
      </c>
      <c r="F1775" s="7" t="inlineStr">
        <is>
          <t>AGEN</t>
        </is>
      </c>
      <c r="G1775" s="18" t="inlineStr">
        <is>
          <t>OP11040</t>
        </is>
      </c>
      <c r="H1775" s="19">
        <f>UPPER(Table3[[#This Row],[Agen id]]&amp;"-"&amp;VLOOKUP(Table3[[#This Row],[Agen id]],A:B,2,0)&amp;"("&amp;Table3[[#This Row],[Short]]&amp;")")</f>
        <v/>
      </c>
      <c r="J1775" s="7">
        <f>VLOOKUP(Table3[[#This Row],[Agen id]],Agen!A:C,3,0)</f>
        <v/>
      </c>
      <c r="K1775" s="37">
        <f>TRIM(LEFT(Table3[[#This Row],[Group]],2))</f>
        <v/>
      </c>
      <c r="L1775" s="3" t="inlineStr">
        <is>
          <t>NON SALES</t>
        </is>
      </c>
    </row>
    <row r="1776">
      <c r="A1776" s="5" t="inlineStr">
        <is>
          <t>OP11048</t>
        </is>
      </c>
      <c r="B1776" s="6" t="inlineStr">
        <is>
          <t>Canvaa</t>
        </is>
      </c>
      <c r="C1776" s="7" t="inlineStr">
        <is>
          <t>A - Agen</t>
        </is>
      </c>
      <c r="D1776" s="1" t="inlineStr">
        <is>
          <t>OP00002</t>
        </is>
      </c>
      <c r="E1776" s="8" t="n">
        <v>45344.33125</v>
      </c>
      <c r="F1776" s="7" t="inlineStr">
        <is>
          <t>AGEN</t>
        </is>
      </c>
      <c r="G1776" s="18" t="inlineStr">
        <is>
          <t>OP11048</t>
        </is>
      </c>
      <c r="H1776" s="19">
        <f>UPPER(Table3[[#This Row],[Agen id]]&amp;"-"&amp;VLOOKUP(Table3[[#This Row],[Agen id]],A:B,2,0)&amp;"("&amp;Table3[[#This Row],[Short]]&amp;")")</f>
        <v/>
      </c>
      <c r="J1776" s="7">
        <f>VLOOKUP(Table3[[#This Row],[Agen id]],Agen!A:C,3,0)</f>
        <v/>
      </c>
      <c r="K1776" s="37">
        <f>TRIM(LEFT(Table3[[#This Row],[Group]],2))</f>
        <v/>
      </c>
      <c r="L1776" s="3" t="inlineStr">
        <is>
          <t>NON SALES</t>
        </is>
      </c>
    </row>
    <row r="1777">
      <c r="A1777" s="5" t="inlineStr">
        <is>
          <t>OP11059</t>
        </is>
      </c>
      <c r="B1777" s="6" t="inlineStr">
        <is>
          <t>Pitricell</t>
        </is>
      </c>
      <c r="C1777" s="7" t="inlineStr">
        <is>
          <t>A - Agen</t>
        </is>
      </c>
      <c r="D1777" s="1" t="inlineStr">
        <is>
          <t>OP00002</t>
        </is>
      </c>
      <c r="E1777" s="8" t="n">
        <v>45344.74652777778</v>
      </c>
      <c r="F1777" s="7" t="inlineStr">
        <is>
          <t>AGEN</t>
        </is>
      </c>
      <c r="G1777" s="18" t="inlineStr">
        <is>
          <t>OP11059</t>
        </is>
      </c>
      <c r="H1777" s="19">
        <f>UPPER(Table3[[#This Row],[Agen id]]&amp;"-"&amp;VLOOKUP(Table3[[#This Row],[Agen id]],A:B,2,0)&amp;"("&amp;Table3[[#This Row],[Short]]&amp;")")</f>
        <v/>
      </c>
      <c r="J1777" s="7">
        <f>VLOOKUP(Table3[[#This Row],[Agen id]],Agen!A:C,3,0)</f>
        <v/>
      </c>
      <c r="K1777" s="37">
        <f>TRIM(LEFT(Table3[[#This Row],[Group]],2))</f>
        <v/>
      </c>
      <c r="L1777" s="3" t="inlineStr">
        <is>
          <t>NON SALES</t>
        </is>
      </c>
    </row>
    <row r="1778">
      <c r="A1778" s="5" t="inlineStr">
        <is>
          <t>OP11090</t>
        </is>
      </c>
      <c r="B1778" s="6" t="inlineStr">
        <is>
          <t>Top Agen</t>
        </is>
      </c>
      <c r="C1778" s="7" t="inlineStr">
        <is>
          <t>AV - Agen Verified</t>
        </is>
      </c>
      <c r="D1778" s="1" t="inlineStr">
        <is>
          <t>OP00002</t>
        </is>
      </c>
      <c r="E1778" s="8" t="n">
        <v>45346.72638888889</v>
      </c>
      <c r="F1778" s="7" t="inlineStr">
        <is>
          <t>AGEN</t>
        </is>
      </c>
      <c r="G1778" s="18" t="inlineStr">
        <is>
          <t>OP11090</t>
        </is>
      </c>
      <c r="H1778" s="19">
        <f>UPPER(Table3[[#This Row],[Agen id]]&amp;"-"&amp;VLOOKUP(Table3[[#This Row],[Agen id]],A:B,2,0)&amp;"("&amp;Table3[[#This Row],[Short]]&amp;")")</f>
        <v/>
      </c>
      <c r="J1778" s="7">
        <f>VLOOKUP(Table3[[#This Row],[Agen id]],Agen!A:C,3,0)</f>
        <v/>
      </c>
      <c r="K1778" s="37">
        <f>TRIM(LEFT(Table3[[#This Row],[Group]],2))</f>
        <v/>
      </c>
      <c r="L1778" s="3" t="inlineStr">
        <is>
          <t>NON SALES</t>
        </is>
      </c>
    </row>
    <row r="1779">
      <c r="A1779" s="5" t="inlineStr">
        <is>
          <t>OP11107</t>
        </is>
      </c>
      <c r="B1779" s="6" t="inlineStr">
        <is>
          <t>Aping cell</t>
        </is>
      </c>
      <c r="C1779" s="7" t="inlineStr">
        <is>
          <t>A - Agen</t>
        </is>
      </c>
      <c r="D1779" s="1" t="inlineStr">
        <is>
          <t>OP02431</t>
        </is>
      </c>
      <c r="E1779" s="8" t="n">
        <v>45347.39722222222</v>
      </c>
      <c r="F1779" s="7" t="inlineStr">
        <is>
          <t>DOWNLINE</t>
        </is>
      </c>
      <c r="G1779" s="18" t="inlineStr">
        <is>
          <t>OP02431</t>
        </is>
      </c>
      <c r="H1779" s="19">
        <f>UPPER(Table3[[#This Row],[Agen id]]&amp;"-"&amp;VLOOKUP(Table3[[#This Row],[Agen id]],A:B,2,0)&amp;"("&amp;Table3[[#This Row],[Short]]&amp;")")</f>
        <v/>
      </c>
      <c r="J1779" s="7">
        <f>VLOOKUP(Table3[[#This Row],[Agen id]],Agen!A:C,3,0)</f>
        <v/>
      </c>
      <c r="K1779" s="37">
        <f>TRIM(LEFT(Table3[[#This Row],[Group]],2))</f>
        <v/>
      </c>
      <c r="L1779" s="3" t="inlineStr">
        <is>
          <t>NON SALES</t>
        </is>
      </c>
    </row>
    <row r="1780">
      <c r="A1780" s="5" t="inlineStr">
        <is>
          <t>OP11114</t>
        </is>
      </c>
      <c r="B1780" s="6" t="inlineStr">
        <is>
          <t>Zrill abdi</t>
        </is>
      </c>
      <c r="C1780" s="7" t="inlineStr">
        <is>
          <t>AB1 - Agen Kab Bogor</t>
        </is>
      </c>
      <c r="D1780" s="1" t="inlineStr">
        <is>
          <t>OP07367</t>
        </is>
      </c>
      <c r="E1780" s="8" t="n">
        <v>45347.58819444444</v>
      </c>
      <c r="F1780" s="7" t="inlineStr">
        <is>
          <t>AGEN</t>
        </is>
      </c>
      <c r="G1780" s="18" t="inlineStr">
        <is>
          <t>OP11114</t>
        </is>
      </c>
      <c r="H1780" s="19">
        <f>UPPER(Table3[[#This Row],[Agen id]]&amp;"-"&amp;VLOOKUP(Table3[[#This Row],[Agen id]],A:B,2,0)&amp;"("&amp;Table3[[#This Row],[Short]]&amp;")")</f>
        <v/>
      </c>
      <c r="J1780" s="7">
        <f>VLOOKUP(Table3[[#This Row],[Agen id]],Agen!A:C,3,0)</f>
        <v/>
      </c>
      <c r="K1780" s="37">
        <f>TRIM(LEFT(Table3[[#This Row],[Group]],2))</f>
        <v/>
      </c>
      <c r="L1780" s="3" t="inlineStr">
        <is>
          <t>NON SALES</t>
        </is>
      </c>
    </row>
    <row r="1781">
      <c r="A1781" s="5" t="inlineStr">
        <is>
          <t>OP11121</t>
        </is>
      </c>
      <c r="B1781" s="6" t="inlineStr">
        <is>
          <t>Simo cell</t>
        </is>
      </c>
      <c r="C1781" s="7" t="inlineStr">
        <is>
          <t>AV - Agen Verified</t>
        </is>
      </c>
      <c r="D1781" s="1" t="inlineStr">
        <is>
          <t>OP08379</t>
        </is>
      </c>
      <c r="E1781" s="8" t="n">
        <v>45347.7625</v>
      </c>
      <c r="F1781" s="7" t="inlineStr">
        <is>
          <t>DOWNLINE</t>
        </is>
      </c>
      <c r="G1781" s="18" t="inlineStr">
        <is>
          <t>OP08379</t>
        </is>
      </c>
      <c r="H1781" s="19">
        <f>UPPER(Table3[[#This Row],[Agen id]]&amp;"-"&amp;VLOOKUP(Table3[[#This Row],[Agen id]],A:B,2,0)&amp;"("&amp;Table3[[#This Row],[Short]]&amp;")")</f>
        <v/>
      </c>
      <c r="J1781" s="7">
        <f>VLOOKUP(Table3[[#This Row],[Agen id]],Agen!A:C,3,0)</f>
        <v/>
      </c>
      <c r="K1781" s="37">
        <f>TRIM(LEFT(Table3[[#This Row],[Group]],2))</f>
        <v/>
      </c>
      <c r="L1781" s="3" t="inlineStr">
        <is>
          <t>NON SALES</t>
        </is>
      </c>
    </row>
    <row r="1782">
      <c r="A1782" s="5" t="inlineStr">
        <is>
          <t>OP11128</t>
        </is>
      </c>
      <c r="B1782" s="6" t="inlineStr">
        <is>
          <t>Halimah</t>
        </is>
      </c>
      <c r="C1782" s="7" t="inlineStr">
        <is>
          <t>A - Agen</t>
        </is>
      </c>
      <c r="D1782" s="1" t="inlineStr">
        <is>
          <t>OP00002</t>
        </is>
      </c>
      <c r="E1782" s="8" t="n">
        <v>45347.93680555555</v>
      </c>
      <c r="F1782" s="7" t="inlineStr">
        <is>
          <t>AGEN</t>
        </is>
      </c>
      <c r="G1782" s="18" t="inlineStr">
        <is>
          <t>OP11128</t>
        </is>
      </c>
      <c r="H1782" s="19">
        <f>UPPER(Table3[[#This Row],[Agen id]]&amp;"-"&amp;VLOOKUP(Table3[[#This Row],[Agen id]],A:B,2,0)&amp;"("&amp;Table3[[#This Row],[Short]]&amp;")")</f>
        <v/>
      </c>
      <c r="J1782" s="7">
        <f>VLOOKUP(Table3[[#This Row],[Agen id]],Agen!A:C,3,0)</f>
        <v/>
      </c>
      <c r="K1782" s="37">
        <f>TRIM(LEFT(Table3[[#This Row],[Group]],2))</f>
        <v/>
      </c>
      <c r="L1782" s="3" t="inlineStr">
        <is>
          <t>NON SALES</t>
        </is>
      </c>
    </row>
    <row r="1783">
      <c r="A1783" s="5" t="inlineStr">
        <is>
          <t>OP11147</t>
        </is>
      </c>
      <c r="B1783" s="6" t="inlineStr">
        <is>
          <t>ANI SUMARNI</t>
        </is>
      </c>
      <c r="C1783" s="7" t="inlineStr">
        <is>
          <t>AV - Agen Verified</t>
        </is>
      </c>
      <c r="D1783" s="1" t="inlineStr">
        <is>
          <t>OP00002</t>
        </is>
      </c>
      <c r="E1783" s="8" t="n">
        <v>45348.62152777778</v>
      </c>
      <c r="F1783" s="7" t="inlineStr">
        <is>
          <t>AGEN</t>
        </is>
      </c>
      <c r="G1783" s="18" t="inlineStr">
        <is>
          <t>OP11147</t>
        </is>
      </c>
      <c r="H1783" s="19">
        <f>UPPER(Table3[[#This Row],[Agen id]]&amp;"-"&amp;VLOOKUP(Table3[[#This Row],[Agen id]],A:B,2,0)&amp;"("&amp;Table3[[#This Row],[Short]]&amp;")")</f>
        <v/>
      </c>
      <c r="J1783" s="7">
        <f>VLOOKUP(Table3[[#This Row],[Agen id]],Agen!A:C,3,0)</f>
        <v/>
      </c>
      <c r="K1783" s="37">
        <f>TRIM(LEFT(Table3[[#This Row],[Group]],2))</f>
        <v/>
      </c>
      <c r="L1783" s="3" t="inlineStr">
        <is>
          <t>NON SALES</t>
        </is>
      </c>
    </row>
    <row r="1784">
      <c r="A1784" s="5" t="inlineStr">
        <is>
          <t>OP11149</t>
        </is>
      </c>
      <c r="B1784" s="6" t="inlineStr">
        <is>
          <t>SESYA CELL</t>
        </is>
      </c>
      <c r="C1784" s="7" t="inlineStr">
        <is>
          <t>AV - Agen Verified</t>
        </is>
      </c>
      <c r="D1784" s="1" t="inlineStr">
        <is>
          <t>OP01054</t>
        </is>
      </c>
      <c r="E1784" s="8" t="n">
        <v>45348.78402777778</v>
      </c>
      <c r="F1784" s="7" t="inlineStr">
        <is>
          <t>DOWNLINE</t>
        </is>
      </c>
      <c r="G1784" s="18" t="inlineStr">
        <is>
          <t>OP01054</t>
        </is>
      </c>
      <c r="H1784" s="19">
        <f>UPPER(Table3[[#This Row],[Agen id]]&amp;"-"&amp;VLOOKUP(Table3[[#This Row],[Agen id]],A:B,2,0)&amp;"("&amp;Table3[[#This Row],[Short]]&amp;")")</f>
        <v/>
      </c>
      <c r="J1784" s="7">
        <f>VLOOKUP(Table3[[#This Row],[Agen id]],Agen!A:C,3,0)</f>
        <v/>
      </c>
      <c r="K1784" s="37">
        <f>TRIM(LEFT(Table3[[#This Row],[Group]],2))</f>
        <v/>
      </c>
      <c r="L1784" s="3" t="inlineStr">
        <is>
          <t>NON SALES</t>
        </is>
      </c>
    </row>
    <row r="1785">
      <c r="A1785" s="5" t="inlineStr">
        <is>
          <t>OP11157</t>
        </is>
      </c>
      <c r="B1785" s="6" t="inlineStr">
        <is>
          <t>EVI</t>
        </is>
      </c>
      <c r="C1785" s="7" t="inlineStr">
        <is>
          <t>AB1 - Agen Kab Bogor</t>
        </is>
      </c>
      <c r="D1785" s="1" t="inlineStr">
        <is>
          <t>OP07367</t>
        </is>
      </c>
      <c r="E1785" s="8" t="n">
        <v>45349.71944444445</v>
      </c>
      <c r="F1785" s="7" t="inlineStr">
        <is>
          <t>AGEN</t>
        </is>
      </c>
      <c r="G1785" s="18" t="inlineStr">
        <is>
          <t>OP11157</t>
        </is>
      </c>
      <c r="H1785" s="19">
        <f>UPPER(Table3[[#This Row],[Agen id]]&amp;"-"&amp;VLOOKUP(Table3[[#This Row],[Agen id]],A:B,2,0)&amp;"("&amp;Table3[[#This Row],[Short]]&amp;")")</f>
        <v/>
      </c>
      <c r="J1785" s="7">
        <f>VLOOKUP(Table3[[#This Row],[Agen id]],Agen!A:C,3,0)</f>
        <v/>
      </c>
      <c r="K1785" s="37">
        <f>TRIM(LEFT(Table3[[#This Row],[Group]],2))</f>
        <v/>
      </c>
      <c r="L1785" s="3" t="inlineStr">
        <is>
          <t>NON SALES</t>
        </is>
      </c>
    </row>
    <row r="1786">
      <c r="A1786" s="5" t="inlineStr">
        <is>
          <t>OP11158</t>
        </is>
      </c>
      <c r="B1786" s="6" t="inlineStr">
        <is>
          <t>Yuliatna</t>
        </is>
      </c>
      <c r="C1786" s="7" t="inlineStr">
        <is>
          <t>A - Agen</t>
        </is>
      </c>
      <c r="D1786" s="1" t="inlineStr">
        <is>
          <t>OP00002</t>
        </is>
      </c>
      <c r="E1786" s="8" t="n">
        <v>45349.76944444444</v>
      </c>
      <c r="F1786" s="7" t="inlineStr">
        <is>
          <t>AGEN</t>
        </is>
      </c>
      <c r="G1786" s="18" t="inlineStr">
        <is>
          <t>OP11158</t>
        </is>
      </c>
      <c r="H1786" s="19">
        <f>UPPER(Table3[[#This Row],[Agen id]]&amp;"-"&amp;VLOOKUP(Table3[[#This Row],[Agen id]],A:B,2,0)&amp;"("&amp;Table3[[#This Row],[Short]]&amp;")")</f>
        <v/>
      </c>
      <c r="J1786" s="7">
        <f>VLOOKUP(Table3[[#This Row],[Agen id]],Agen!A:C,3,0)</f>
        <v/>
      </c>
      <c r="K1786" s="37">
        <f>TRIM(LEFT(Table3[[#This Row],[Group]],2))</f>
        <v/>
      </c>
      <c r="L1786" s="3" t="inlineStr">
        <is>
          <t>NON SALES</t>
        </is>
      </c>
    </row>
    <row r="1787">
      <c r="A1787" s="5" t="inlineStr">
        <is>
          <t>OP11159</t>
        </is>
      </c>
      <c r="B1787" s="6" t="inlineStr">
        <is>
          <t>purnama pulsa</t>
        </is>
      </c>
      <c r="C1787" s="7" t="inlineStr">
        <is>
          <t>AV - Agen Verified</t>
        </is>
      </c>
      <c r="D1787" s="1" t="inlineStr">
        <is>
          <t>OP05927</t>
        </is>
      </c>
      <c r="E1787" s="8" t="n">
        <v>45349.79861111111</v>
      </c>
      <c r="F1787" s="7" t="inlineStr">
        <is>
          <t>DOWNLINE</t>
        </is>
      </c>
      <c r="G1787" s="18" t="inlineStr">
        <is>
          <t>OP05927</t>
        </is>
      </c>
      <c r="H1787" s="19">
        <f>UPPER(Table3[[#This Row],[Agen id]]&amp;"-"&amp;VLOOKUP(Table3[[#This Row],[Agen id]],A:B,2,0)&amp;"("&amp;Table3[[#This Row],[Short]]&amp;")")</f>
        <v/>
      </c>
      <c r="J1787" s="7">
        <f>VLOOKUP(Table3[[#This Row],[Agen id]],Agen!A:C,3,0)</f>
        <v/>
      </c>
      <c r="K1787" s="37">
        <f>TRIM(LEFT(Table3[[#This Row],[Group]],2))</f>
        <v/>
      </c>
      <c r="L1787" s="3" t="inlineStr">
        <is>
          <t>NON SALES</t>
        </is>
      </c>
    </row>
    <row r="1788">
      <c r="A1788" s="5" t="inlineStr">
        <is>
          <t>OP11162</t>
        </is>
      </c>
      <c r="B1788" s="6" t="inlineStr">
        <is>
          <t>Raflu</t>
        </is>
      </c>
      <c r="C1788" s="7" t="inlineStr">
        <is>
          <t>A - Agen</t>
        </is>
      </c>
      <c r="D1788" s="1" t="inlineStr">
        <is>
          <t>OP00002</t>
        </is>
      </c>
      <c r="E1788" s="8" t="n">
        <v>45350.61458333334</v>
      </c>
      <c r="F1788" s="7" t="inlineStr">
        <is>
          <t>AGEN</t>
        </is>
      </c>
      <c r="G1788" s="18" t="inlineStr">
        <is>
          <t>OP11162</t>
        </is>
      </c>
      <c r="H1788" s="19">
        <f>UPPER(Table3[[#This Row],[Agen id]]&amp;"-"&amp;VLOOKUP(Table3[[#This Row],[Agen id]],A:B,2,0)&amp;"("&amp;Table3[[#This Row],[Short]]&amp;")")</f>
        <v/>
      </c>
      <c r="J1788" s="7">
        <f>VLOOKUP(Table3[[#This Row],[Agen id]],Agen!A:C,3,0)</f>
        <v/>
      </c>
      <c r="K1788" s="37">
        <f>TRIM(LEFT(Table3[[#This Row],[Group]],2))</f>
        <v/>
      </c>
      <c r="L1788" s="3" t="inlineStr">
        <is>
          <t>NON SALES</t>
        </is>
      </c>
    </row>
    <row r="1789">
      <c r="A1789" s="5" t="inlineStr">
        <is>
          <t>OP11170</t>
        </is>
      </c>
      <c r="B1789" s="6" t="inlineStr">
        <is>
          <t>Rizky Prama</t>
        </is>
      </c>
      <c r="C1789" s="7" t="inlineStr">
        <is>
          <t>A - Agen</t>
        </is>
      </c>
      <c r="D1789" s="1" t="inlineStr">
        <is>
          <t>OP00003</t>
        </is>
      </c>
      <c r="E1789" s="8" t="n">
        <v>45352.57361111111</v>
      </c>
      <c r="F1789" s="7" t="inlineStr">
        <is>
          <t>AGEN</t>
        </is>
      </c>
      <c r="G1789" s="18" t="inlineStr">
        <is>
          <t>OP11170</t>
        </is>
      </c>
      <c r="H1789" s="19">
        <f>UPPER(Table3[[#This Row],[Agen id]]&amp;"-"&amp;VLOOKUP(Table3[[#This Row],[Agen id]],A:B,2,0)&amp;"("&amp;Table3[[#This Row],[Short]]&amp;")")</f>
        <v/>
      </c>
      <c r="J1789" s="7">
        <f>VLOOKUP(Table3[[#This Row],[Agen id]],Agen!A:C,3,0)</f>
        <v/>
      </c>
      <c r="K1789" s="37">
        <f>TRIM(LEFT(Table3[[#This Row],[Group]],2))</f>
        <v/>
      </c>
      <c r="L1789" s="3" t="inlineStr">
        <is>
          <t>NON SALES</t>
        </is>
      </c>
    </row>
    <row r="1790">
      <c r="A1790" s="5" t="inlineStr">
        <is>
          <t>OP11175</t>
        </is>
      </c>
      <c r="B1790" s="6" t="inlineStr">
        <is>
          <t>rohim ponsel</t>
        </is>
      </c>
      <c r="C1790" s="7" t="inlineStr">
        <is>
          <t>AV - Agen Verified</t>
        </is>
      </c>
      <c r="D1790" s="1" t="inlineStr">
        <is>
          <t>OP03216</t>
        </is>
      </c>
      <c r="E1790" s="8" t="n">
        <v>45353.69375</v>
      </c>
      <c r="F1790" s="7" t="inlineStr">
        <is>
          <t>DOWNLINE</t>
        </is>
      </c>
      <c r="G1790" s="18" t="inlineStr">
        <is>
          <t>OP00049</t>
        </is>
      </c>
      <c r="H1790" s="19">
        <f>UPPER(Table3[[#This Row],[Agen id]]&amp;"-"&amp;VLOOKUP(Table3[[#This Row],[Agen id]],A:B,2,0)&amp;"("&amp;Table3[[#This Row],[Short]]&amp;")")</f>
        <v/>
      </c>
      <c r="J1790" s="7">
        <f>VLOOKUP(Table3[[#This Row],[Agen id]],Agen!A:C,3,0)</f>
        <v/>
      </c>
      <c r="K1790" s="37">
        <f>TRIM(LEFT(Table3[[#This Row],[Group]],2))</f>
        <v/>
      </c>
      <c r="L1790" s="3" t="inlineStr">
        <is>
          <t>NON SALES</t>
        </is>
      </c>
    </row>
    <row r="1791">
      <c r="A1791" s="5" t="inlineStr">
        <is>
          <t>OP11192</t>
        </is>
      </c>
      <c r="B1791" s="6" t="inlineStr">
        <is>
          <t>MOh Agus Kamil</t>
        </is>
      </c>
      <c r="C1791" s="7" t="inlineStr">
        <is>
          <t>A - Agen</t>
        </is>
      </c>
      <c r="D1791" s="1" t="inlineStr">
        <is>
          <t>OP00002</t>
        </is>
      </c>
      <c r="E1791" s="8" t="n">
        <v>45353.86597222222</v>
      </c>
      <c r="F1791" s="7" t="inlineStr">
        <is>
          <t>AGEN</t>
        </is>
      </c>
      <c r="G1791" s="18" t="inlineStr">
        <is>
          <t>OP11192</t>
        </is>
      </c>
      <c r="H1791" s="19">
        <f>UPPER(Table3[[#This Row],[Agen id]]&amp;"-"&amp;VLOOKUP(Table3[[#This Row],[Agen id]],A:B,2,0)&amp;"("&amp;Table3[[#This Row],[Short]]&amp;")")</f>
        <v/>
      </c>
      <c r="J1791" s="7">
        <f>VLOOKUP(Table3[[#This Row],[Agen id]],Agen!A:C,3,0)</f>
        <v/>
      </c>
      <c r="K1791" s="37">
        <f>TRIM(LEFT(Table3[[#This Row],[Group]],2))</f>
        <v/>
      </c>
      <c r="L1791" s="3" t="inlineStr">
        <is>
          <t>NON SALES</t>
        </is>
      </c>
    </row>
    <row r="1792">
      <c r="A1792" s="5" t="inlineStr">
        <is>
          <t>OP11201</t>
        </is>
      </c>
      <c r="B1792" s="6" t="inlineStr">
        <is>
          <t>rasti</t>
        </is>
      </c>
      <c r="C1792" s="7" t="inlineStr">
        <is>
          <t>AB1 - Agen Kab Bogor</t>
        </is>
      </c>
      <c r="D1792" s="1" t="inlineStr">
        <is>
          <t>OP00002</t>
        </is>
      </c>
      <c r="E1792" s="8" t="n">
        <v>45354.24166666667</v>
      </c>
      <c r="F1792" s="7" t="inlineStr">
        <is>
          <t>AGEN</t>
        </is>
      </c>
      <c r="G1792" s="18" t="inlineStr">
        <is>
          <t>OP11201</t>
        </is>
      </c>
      <c r="H1792" s="19">
        <f>UPPER(Table3[[#This Row],[Agen id]]&amp;"-"&amp;VLOOKUP(Table3[[#This Row],[Agen id]],A:B,2,0)&amp;"("&amp;Table3[[#This Row],[Short]]&amp;")")</f>
        <v/>
      </c>
      <c r="J1792" s="7">
        <f>VLOOKUP(Table3[[#This Row],[Agen id]],Agen!A:C,3,0)</f>
        <v/>
      </c>
      <c r="K1792" s="37">
        <f>TRIM(LEFT(Table3[[#This Row],[Group]],2))</f>
        <v/>
      </c>
      <c r="L1792" s="3" t="inlineStr">
        <is>
          <t>NON SALES</t>
        </is>
      </c>
    </row>
    <row r="1793">
      <c r="A1793" s="5" t="inlineStr">
        <is>
          <t>OP11215</t>
        </is>
      </c>
      <c r="B1793" s="6" t="inlineStr">
        <is>
          <t>Raya cell</t>
        </is>
      </c>
      <c r="C1793" s="7" t="inlineStr">
        <is>
          <t>AV - Agen Verified</t>
        </is>
      </c>
      <c r="D1793" s="1" t="inlineStr">
        <is>
          <t>OP01054</t>
        </is>
      </c>
      <c r="E1793" s="8" t="n">
        <v>45354.73680555556</v>
      </c>
      <c r="F1793" s="7" t="inlineStr">
        <is>
          <t>DOWNLINE</t>
        </is>
      </c>
      <c r="G1793" s="18" t="inlineStr">
        <is>
          <t>OP01054</t>
        </is>
      </c>
      <c r="H1793" s="19">
        <f>UPPER(Table3[[#This Row],[Agen id]]&amp;"-"&amp;VLOOKUP(Table3[[#This Row],[Agen id]],A:B,2,0)&amp;"("&amp;Table3[[#This Row],[Short]]&amp;")")</f>
        <v/>
      </c>
      <c r="J1793" s="7">
        <f>VLOOKUP(Table3[[#This Row],[Agen id]],Agen!A:C,3,0)</f>
        <v/>
      </c>
      <c r="K1793" s="37">
        <f>TRIM(LEFT(Table3[[#This Row],[Group]],2))</f>
        <v/>
      </c>
      <c r="L1793" s="3" t="inlineStr">
        <is>
          <t>NON SALES</t>
        </is>
      </c>
    </row>
    <row r="1794">
      <c r="A1794" s="5" t="inlineStr">
        <is>
          <t>OP11228</t>
        </is>
      </c>
      <c r="B1794" s="6" t="inlineStr">
        <is>
          <t>PUTRI CELL MADURA</t>
        </is>
      </c>
      <c r="C1794" s="7" t="inlineStr">
        <is>
          <t>AV - Agen Verified</t>
        </is>
      </c>
      <c r="D1794" s="1" t="inlineStr">
        <is>
          <t>OP04523</t>
        </is>
      </c>
      <c r="E1794" s="8" t="n">
        <v>45355.30625</v>
      </c>
      <c r="F1794" s="7" t="inlineStr">
        <is>
          <t>DOWNLINE</t>
        </is>
      </c>
      <c r="G1794" s="18" t="inlineStr">
        <is>
          <t>OP04523</t>
        </is>
      </c>
      <c r="H1794" s="19">
        <f>UPPER(Table3[[#This Row],[Agen id]]&amp;"-"&amp;VLOOKUP(Table3[[#This Row],[Agen id]],A:B,2,0)&amp;"("&amp;Table3[[#This Row],[Short]]&amp;")")</f>
        <v/>
      </c>
      <c r="J1794" s="7">
        <f>VLOOKUP(Table3[[#This Row],[Agen id]],Agen!A:C,3,0)</f>
        <v/>
      </c>
      <c r="K1794" s="37">
        <f>TRIM(LEFT(Table3[[#This Row],[Group]],2))</f>
        <v/>
      </c>
      <c r="L1794" s="3" t="inlineStr">
        <is>
          <t>NON SALES</t>
        </is>
      </c>
    </row>
    <row r="1795">
      <c r="A1795" s="5" t="inlineStr">
        <is>
          <t>OP11236</t>
        </is>
      </c>
      <c r="B1795" s="6" t="inlineStr">
        <is>
          <t>rehan cell</t>
        </is>
      </c>
      <c r="C1795" s="7" t="inlineStr">
        <is>
          <t>A - Agen</t>
        </is>
      </c>
      <c r="D1795" s="1" t="inlineStr">
        <is>
          <t>OP00002</t>
        </is>
      </c>
      <c r="E1795" s="8" t="n">
        <v>45355.47291666667</v>
      </c>
      <c r="F1795" s="7" t="inlineStr">
        <is>
          <t>AGEN</t>
        </is>
      </c>
      <c r="G1795" s="18" t="inlineStr">
        <is>
          <t>OP11236</t>
        </is>
      </c>
      <c r="H1795" s="19">
        <f>UPPER(Table3[[#This Row],[Agen id]]&amp;"-"&amp;VLOOKUP(Table3[[#This Row],[Agen id]],A:B,2,0)&amp;"("&amp;Table3[[#This Row],[Short]]&amp;")")</f>
        <v/>
      </c>
      <c r="J1795" s="7">
        <f>VLOOKUP(Table3[[#This Row],[Agen id]],Agen!A:C,3,0)</f>
        <v/>
      </c>
      <c r="K1795" s="37">
        <f>TRIM(LEFT(Table3[[#This Row],[Group]],2))</f>
        <v/>
      </c>
      <c r="L1795" s="3" t="inlineStr">
        <is>
          <t>NON SALES</t>
        </is>
      </c>
    </row>
    <row r="1796">
      <c r="A1796" s="5" t="inlineStr">
        <is>
          <t>OP11253</t>
        </is>
      </c>
      <c r="B1796" s="6" t="inlineStr">
        <is>
          <t>Bk cell</t>
        </is>
      </c>
      <c r="C1796" s="7" t="inlineStr">
        <is>
          <t>AB1 - Agen Kab Bogor</t>
        </is>
      </c>
      <c r="D1796" s="1" t="inlineStr">
        <is>
          <t>OP07367</t>
        </is>
      </c>
      <c r="E1796" s="8" t="n">
        <v>45356.42916666667</v>
      </c>
      <c r="F1796" s="7" t="inlineStr">
        <is>
          <t>AGEN</t>
        </is>
      </c>
      <c r="G1796" s="18" t="inlineStr">
        <is>
          <t>OP11253</t>
        </is>
      </c>
      <c r="H1796" s="19">
        <f>UPPER(Table3[[#This Row],[Agen id]]&amp;"-"&amp;VLOOKUP(Table3[[#This Row],[Agen id]],A:B,2,0)&amp;"("&amp;Table3[[#This Row],[Short]]&amp;")")</f>
        <v/>
      </c>
      <c r="J1796" s="7">
        <f>VLOOKUP(Table3[[#This Row],[Agen id]],Agen!A:C,3,0)</f>
        <v/>
      </c>
      <c r="K1796" s="37">
        <f>TRIM(LEFT(Table3[[#This Row],[Group]],2))</f>
        <v/>
      </c>
      <c r="L1796" s="3" t="inlineStr">
        <is>
          <t>NON SALES</t>
        </is>
      </c>
    </row>
    <row r="1797">
      <c r="A1797" s="5" t="inlineStr">
        <is>
          <t>OP11263</t>
        </is>
      </c>
      <c r="B1797" s="6" t="inlineStr">
        <is>
          <t>Arti Safnadi</t>
        </is>
      </c>
      <c r="C1797" s="7" t="inlineStr">
        <is>
          <t>AV - Agen Verified</t>
        </is>
      </c>
      <c r="D1797" s="1" t="inlineStr">
        <is>
          <t>OP02233</t>
        </is>
      </c>
      <c r="E1797" s="8" t="n">
        <v>45357.72986111111</v>
      </c>
      <c r="F1797" s="7" t="inlineStr">
        <is>
          <t>DOWNLINE</t>
        </is>
      </c>
      <c r="G1797" s="18" t="inlineStr">
        <is>
          <t>OP02233</t>
        </is>
      </c>
      <c r="H1797" s="19">
        <f>UPPER(Table3[[#This Row],[Agen id]]&amp;"-"&amp;VLOOKUP(Table3[[#This Row],[Agen id]],A:B,2,0)&amp;"("&amp;Table3[[#This Row],[Short]]&amp;")")</f>
        <v/>
      </c>
      <c r="J1797" s="7">
        <f>VLOOKUP(Table3[[#This Row],[Agen id]],Agen!A:C,3,0)</f>
        <v/>
      </c>
      <c r="K1797" s="37">
        <f>TRIM(LEFT(Table3[[#This Row],[Group]],2))</f>
        <v/>
      </c>
      <c r="L1797" s="3" t="inlineStr">
        <is>
          <t>NON SALES</t>
        </is>
      </c>
    </row>
    <row r="1798">
      <c r="A1798" s="5" t="inlineStr">
        <is>
          <t>OP11264</t>
        </is>
      </c>
      <c r="B1798" s="6" t="inlineStr">
        <is>
          <t>JOSAM CELL</t>
        </is>
      </c>
      <c r="C1798" s="7" t="inlineStr">
        <is>
          <t>A - Agen</t>
        </is>
      </c>
      <c r="D1798" s="1" t="inlineStr">
        <is>
          <t>OP00002</t>
        </is>
      </c>
      <c r="E1798" s="8" t="n">
        <v>45357.85555555556</v>
      </c>
      <c r="F1798" s="7" t="inlineStr">
        <is>
          <t>AGEN</t>
        </is>
      </c>
      <c r="G1798" s="18" t="inlineStr">
        <is>
          <t>OP11264</t>
        </is>
      </c>
      <c r="H1798" s="19">
        <f>UPPER(Table3[[#This Row],[Agen id]]&amp;"-"&amp;VLOOKUP(Table3[[#This Row],[Agen id]],A:B,2,0)&amp;"("&amp;Table3[[#This Row],[Short]]&amp;")")</f>
        <v/>
      </c>
      <c r="J1798" s="7">
        <f>VLOOKUP(Table3[[#This Row],[Agen id]],Agen!A:C,3,0)</f>
        <v/>
      </c>
      <c r="K1798" s="37">
        <f>TRIM(LEFT(Table3[[#This Row],[Group]],2))</f>
        <v/>
      </c>
      <c r="L1798" s="3" t="inlineStr">
        <is>
          <t>NON SALES</t>
        </is>
      </c>
    </row>
    <row r="1799">
      <c r="A1799" s="5" t="inlineStr">
        <is>
          <t>OP11295</t>
        </is>
      </c>
      <c r="B1799" s="6" t="inlineStr">
        <is>
          <t>Rina safitri</t>
        </is>
      </c>
      <c r="C1799" s="7" t="inlineStr">
        <is>
          <t>A - Agen</t>
        </is>
      </c>
      <c r="D1799" s="1" t="inlineStr">
        <is>
          <t>OP00002</t>
        </is>
      </c>
      <c r="E1799" s="8" t="n">
        <v>45359.71527777778</v>
      </c>
      <c r="F1799" s="7" t="inlineStr">
        <is>
          <t>AGEN</t>
        </is>
      </c>
      <c r="G1799" s="18" t="inlineStr">
        <is>
          <t>OP11295</t>
        </is>
      </c>
      <c r="H1799" s="19">
        <f>UPPER(Table3[[#This Row],[Agen id]]&amp;"-"&amp;VLOOKUP(Table3[[#This Row],[Agen id]],A:B,2,0)&amp;"("&amp;Table3[[#This Row],[Short]]&amp;")")</f>
        <v/>
      </c>
      <c r="J1799" s="7">
        <f>VLOOKUP(Table3[[#This Row],[Agen id]],Agen!A:C,3,0)</f>
        <v/>
      </c>
      <c r="K1799" s="37">
        <f>TRIM(LEFT(Table3[[#This Row],[Group]],2))</f>
        <v/>
      </c>
      <c r="L1799" s="3" t="inlineStr">
        <is>
          <t>NON SALES</t>
        </is>
      </c>
    </row>
    <row r="1800">
      <c r="A1800" s="5" t="inlineStr">
        <is>
          <t>OP11298</t>
        </is>
      </c>
      <c r="B1800" s="6" t="inlineStr">
        <is>
          <t>Yono cell</t>
        </is>
      </c>
      <c r="C1800" s="7" t="inlineStr">
        <is>
          <t>A - Agen</t>
        </is>
      </c>
      <c r="D1800" s="1" t="inlineStr">
        <is>
          <t>OP00996</t>
        </is>
      </c>
      <c r="E1800" s="8" t="n">
        <v>45359.75902777778</v>
      </c>
      <c r="F1800" s="7" t="inlineStr">
        <is>
          <t>DOWNLINE</t>
        </is>
      </c>
      <c r="G1800" s="18" t="inlineStr">
        <is>
          <t>OP00996</t>
        </is>
      </c>
      <c r="H1800" s="19">
        <f>UPPER(Table3[[#This Row],[Agen id]]&amp;"-"&amp;VLOOKUP(Table3[[#This Row],[Agen id]],A:B,2,0)&amp;"("&amp;Table3[[#This Row],[Short]]&amp;")")</f>
        <v/>
      </c>
      <c r="J1800" s="7">
        <f>VLOOKUP(Table3[[#This Row],[Agen id]],Agen!A:C,3,0)</f>
        <v/>
      </c>
      <c r="K1800" s="37">
        <f>TRIM(LEFT(Table3[[#This Row],[Group]],2))</f>
        <v/>
      </c>
      <c r="L1800" s="3" t="inlineStr">
        <is>
          <t>NON SALES</t>
        </is>
      </c>
    </row>
    <row r="1801">
      <c r="A1801" s="5" t="inlineStr">
        <is>
          <t>OP11299</t>
        </is>
      </c>
      <c r="B1801" s="6" t="inlineStr">
        <is>
          <t>Beryl</t>
        </is>
      </c>
      <c r="C1801" s="7" t="inlineStr">
        <is>
          <t>A - Agen</t>
        </is>
      </c>
      <c r="D1801" s="1" t="inlineStr">
        <is>
          <t>OP00002</t>
        </is>
      </c>
      <c r="E1801" s="8" t="n">
        <v>45359.77569444444</v>
      </c>
      <c r="F1801" s="7" t="inlineStr">
        <is>
          <t>AGEN</t>
        </is>
      </c>
      <c r="G1801" s="18" t="inlineStr">
        <is>
          <t>OP11299</t>
        </is>
      </c>
      <c r="H1801" s="19">
        <f>UPPER(Table3[[#This Row],[Agen id]]&amp;"-"&amp;VLOOKUP(Table3[[#This Row],[Agen id]],A:B,2,0)&amp;"("&amp;Table3[[#This Row],[Short]]&amp;")")</f>
        <v/>
      </c>
      <c r="J1801" s="7">
        <f>VLOOKUP(Table3[[#This Row],[Agen id]],Agen!A:C,3,0)</f>
        <v/>
      </c>
      <c r="K1801" s="37">
        <f>TRIM(LEFT(Table3[[#This Row],[Group]],2))</f>
        <v/>
      </c>
      <c r="L1801" s="3" t="inlineStr">
        <is>
          <t>NON SALES</t>
        </is>
      </c>
    </row>
    <row r="1802">
      <c r="A1802" s="5" t="inlineStr">
        <is>
          <t>OP11320</t>
        </is>
      </c>
      <c r="B1802" s="6" t="inlineStr">
        <is>
          <t>Madura Iyon 4</t>
        </is>
      </c>
      <c r="C1802" s="7" t="inlineStr">
        <is>
          <t>A - Agen</t>
        </is>
      </c>
      <c r="D1802" s="1" t="inlineStr">
        <is>
          <t>OP00002</t>
        </is>
      </c>
      <c r="E1802" s="8" t="n">
        <v>45360.82361111111</v>
      </c>
      <c r="F1802" s="7" t="inlineStr">
        <is>
          <t>AGEN</t>
        </is>
      </c>
      <c r="G1802" s="18" t="inlineStr">
        <is>
          <t>OP11320</t>
        </is>
      </c>
      <c r="H1802" s="19">
        <f>UPPER(Table3[[#This Row],[Agen id]]&amp;"-"&amp;VLOOKUP(Table3[[#This Row],[Agen id]],A:B,2,0)&amp;"("&amp;Table3[[#This Row],[Short]]&amp;")")</f>
        <v/>
      </c>
      <c r="J1802" s="7">
        <f>VLOOKUP(Table3[[#This Row],[Agen id]],Agen!A:C,3,0)</f>
        <v/>
      </c>
      <c r="K1802" s="37">
        <f>TRIM(LEFT(Table3[[#This Row],[Group]],2))</f>
        <v/>
      </c>
      <c r="L1802" s="3" t="inlineStr">
        <is>
          <t>NON SALES</t>
        </is>
      </c>
    </row>
    <row r="1803">
      <c r="A1803" s="5" t="inlineStr">
        <is>
          <t>OP11321</t>
        </is>
      </c>
      <c r="B1803" s="6" t="inlineStr">
        <is>
          <t>Markyy</t>
        </is>
      </c>
      <c r="C1803" s="7" t="inlineStr">
        <is>
          <t>A - Agen</t>
        </is>
      </c>
      <c r="D1803" s="1" t="inlineStr">
        <is>
          <t>OP00002</t>
        </is>
      </c>
      <c r="E1803" s="8" t="n">
        <v>45360.82916666667</v>
      </c>
      <c r="F1803" s="7" t="inlineStr">
        <is>
          <t>AGEN</t>
        </is>
      </c>
      <c r="G1803" s="18" t="inlineStr">
        <is>
          <t>OP11321</t>
        </is>
      </c>
      <c r="H1803" s="19">
        <f>UPPER(Table3[[#This Row],[Agen id]]&amp;"-"&amp;VLOOKUP(Table3[[#This Row],[Agen id]],A:B,2,0)&amp;"("&amp;Table3[[#This Row],[Short]]&amp;")")</f>
        <v/>
      </c>
      <c r="J1803" s="7">
        <f>VLOOKUP(Table3[[#This Row],[Agen id]],Agen!A:C,3,0)</f>
        <v/>
      </c>
      <c r="K1803" s="37">
        <f>TRIM(LEFT(Table3[[#This Row],[Group]],2))</f>
        <v/>
      </c>
      <c r="L1803" s="3" t="inlineStr">
        <is>
          <t>NON SALES</t>
        </is>
      </c>
    </row>
    <row r="1804">
      <c r="A1804" s="5" t="inlineStr">
        <is>
          <t>OP11324</t>
        </is>
      </c>
      <c r="B1804" s="6" t="inlineStr">
        <is>
          <t>Reja</t>
        </is>
      </c>
      <c r="C1804" s="7" t="inlineStr">
        <is>
          <t>AT1 - Agen Tangerang</t>
        </is>
      </c>
      <c r="D1804" s="1" t="inlineStr">
        <is>
          <t>OP00002</t>
        </is>
      </c>
      <c r="E1804" s="8" t="n">
        <v>45360.89166666667</v>
      </c>
      <c r="F1804" s="7" t="inlineStr">
        <is>
          <t>AGEN</t>
        </is>
      </c>
      <c r="G1804" s="18" t="inlineStr">
        <is>
          <t>OP11324</t>
        </is>
      </c>
      <c r="H1804" s="19">
        <f>UPPER(Table3[[#This Row],[Agen id]]&amp;"-"&amp;VLOOKUP(Table3[[#This Row],[Agen id]],A:B,2,0)&amp;"("&amp;Table3[[#This Row],[Short]]&amp;")")</f>
        <v/>
      </c>
      <c r="J1804" s="7">
        <f>VLOOKUP(Table3[[#This Row],[Agen id]],Agen!A:C,3,0)</f>
        <v/>
      </c>
      <c r="K1804" s="37">
        <f>TRIM(LEFT(Table3[[#This Row],[Group]],2))</f>
        <v/>
      </c>
      <c r="L1804" s="3" t="inlineStr">
        <is>
          <t>NON SALES</t>
        </is>
      </c>
    </row>
    <row r="1805">
      <c r="A1805" s="5" t="inlineStr">
        <is>
          <t>OP11351</t>
        </is>
      </c>
      <c r="B1805" s="6" t="inlineStr">
        <is>
          <t>Irsyal</t>
        </is>
      </c>
      <c r="C1805" s="7" t="inlineStr">
        <is>
          <t>A - Agen</t>
        </is>
      </c>
      <c r="D1805" s="1" t="inlineStr">
        <is>
          <t>OP00002</t>
        </is>
      </c>
      <c r="E1805" s="8" t="n">
        <v>45361.99791666667</v>
      </c>
      <c r="F1805" s="7" t="inlineStr">
        <is>
          <t>AGEN</t>
        </is>
      </c>
      <c r="G1805" s="18" t="inlineStr">
        <is>
          <t>OP11351</t>
        </is>
      </c>
      <c r="H1805" s="19">
        <f>UPPER(Table3[[#This Row],[Agen id]]&amp;"-"&amp;VLOOKUP(Table3[[#This Row],[Agen id]],A:B,2,0)&amp;"("&amp;Table3[[#This Row],[Short]]&amp;")")</f>
        <v/>
      </c>
      <c r="J1805" s="7">
        <f>VLOOKUP(Table3[[#This Row],[Agen id]],Agen!A:C,3,0)</f>
        <v/>
      </c>
      <c r="K1805" s="37">
        <f>TRIM(LEFT(Table3[[#This Row],[Group]],2))</f>
        <v/>
      </c>
      <c r="L1805" s="3" t="inlineStr">
        <is>
          <t>NON SALES</t>
        </is>
      </c>
    </row>
    <row r="1806">
      <c r="A1806" s="5" t="inlineStr">
        <is>
          <t>OP11362</t>
        </is>
      </c>
      <c r="B1806" s="6" t="inlineStr">
        <is>
          <t>BINTANG TERANG</t>
        </is>
      </c>
      <c r="C1806" s="7" t="inlineStr">
        <is>
          <t>A - Agen</t>
        </is>
      </c>
      <c r="D1806" s="1" t="inlineStr">
        <is>
          <t>OP01502</t>
        </is>
      </c>
      <c r="E1806" s="8" t="n">
        <v>45362.42986111111</v>
      </c>
      <c r="F1806" s="7" t="inlineStr">
        <is>
          <t>DOWNLINE</t>
        </is>
      </c>
      <c r="G1806" s="18" t="inlineStr">
        <is>
          <t>OP01502</t>
        </is>
      </c>
      <c r="H1806" s="19">
        <f>UPPER(Table3[[#This Row],[Agen id]]&amp;"-"&amp;VLOOKUP(Table3[[#This Row],[Agen id]],A:B,2,0)&amp;"("&amp;Table3[[#This Row],[Short]]&amp;")")</f>
        <v/>
      </c>
      <c r="J1806" s="7">
        <f>VLOOKUP(Table3[[#This Row],[Agen id]],Agen!A:C,3,0)</f>
        <v/>
      </c>
      <c r="K1806" s="37">
        <f>TRIM(LEFT(Table3[[#This Row],[Group]],2))</f>
        <v/>
      </c>
      <c r="L1806" s="3" t="inlineStr">
        <is>
          <t>NON SALES</t>
        </is>
      </c>
    </row>
    <row r="1807">
      <c r="A1807" s="5" t="inlineStr">
        <is>
          <t>OP11365</t>
        </is>
      </c>
      <c r="B1807" s="6" t="inlineStr">
        <is>
          <t>agustr</t>
        </is>
      </c>
      <c r="C1807" s="7" t="inlineStr">
        <is>
          <t>AV - Agen Verified</t>
        </is>
      </c>
      <c r="D1807" s="1" t="inlineStr">
        <is>
          <t>OP00002</t>
        </is>
      </c>
      <c r="E1807" s="8" t="n">
        <v>45362.44791666666</v>
      </c>
      <c r="F1807" s="7" t="inlineStr">
        <is>
          <t>AGEN</t>
        </is>
      </c>
      <c r="G1807" s="18" t="inlineStr">
        <is>
          <t>OP11365</t>
        </is>
      </c>
      <c r="H1807" s="19">
        <f>UPPER(Table3[[#This Row],[Agen id]]&amp;"-"&amp;VLOOKUP(Table3[[#This Row],[Agen id]],A:B,2,0)&amp;"("&amp;Table3[[#This Row],[Short]]&amp;")")</f>
        <v/>
      </c>
      <c r="J1807" s="7">
        <f>VLOOKUP(Table3[[#This Row],[Agen id]],Agen!A:C,3,0)</f>
        <v/>
      </c>
      <c r="K1807" s="37">
        <f>TRIM(LEFT(Table3[[#This Row],[Group]],2))</f>
        <v/>
      </c>
      <c r="L1807" s="3" t="inlineStr">
        <is>
          <t>NON SALES</t>
        </is>
      </c>
    </row>
    <row r="1808">
      <c r="A1808" s="5" t="inlineStr">
        <is>
          <t>OP11375</t>
        </is>
      </c>
      <c r="B1808" s="6" t="inlineStr">
        <is>
          <t>Afrizal</t>
        </is>
      </c>
      <c r="C1808" s="7" t="inlineStr">
        <is>
          <t>A - Agen</t>
        </is>
      </c>
      <c r="D1808" s="1" t="inlineStr">
        <is>
          <t>OP00002</t>
        </is>
      </c>
      <c r="E1808" s="8" t="n">
        <v>45362.68819444445</v>
      </c>
      <c r="F1808" s="7" t="inlineStr">
        <is>
          <t>AGEN</t>
        </is>
      </c>
      <c r="G1808" s="18" t="inlineStr">
        <is>
          <t>OP11375</t>
        </is>
      </c>
      <c r="H1808" s="19">
        <f>UPPER(Table3[[#This Row],[Agen id]]&amp;"-"&amp;VLOOKUP(Table3[[#This Row],[Agen id]],A:B,2,0)&amp;"("&amp;Table3[[#This Row],[Short]]&amp;")")</f>
        <v/>
      </c>
      <c r="J1808" s="7">
        <f>VLOOKUP(Table3[[#This Row],[Agen id]],Agen!A:C,3,0)</f>
        <v/>
      </c>
      <c r="K1808" s="37">
        <f>TRIM(LEFT(Table3[[#This Row],[Group]],2))</f>
        <v/>
      </c>
      <c r="L1808" s="3" t="inlineStr">
        <is>
          <t>NON SALES</t>
        </is>
      </c>
    </row>
    <row r="1809">
      <c r="A1809" s="5" t="inlineStr">
        <is>
          <t>OP11377</t>
        </is>
      </c>
      <c r="B1809" s="6" t="inlineStr">
        <is>
          <t>YUDA CELL</t>
        </is>
      </c>
      <c r="C1809" s="7" t="inlineStr">
        <is>
          <t>AB1 - Agen Kab Bogor</t>
        </is>
      </c>
      <c r="D1809" s="1" t="inlineStr">
        <is>
          <t>OP08206</t>
        </is>
      </c>
      <c r="E1809" s="8" t="n">
        <v>45362.74236111111</v>
      </c>
      <c r="F1809" s="7" t="inlineStr">
        <is>
          <t>DOWNLINE</t>
        </is>
      </c>
      <c r="G1809" s="18" t="inlineStr">
        <is>
          <t>OP08206</t>
        </is>
      </c>
      <c r="H1809" s="19">
        <f>UPPER(Table3[[#This Row],[Agen id]]&amp;"-"&amp;VLOOKUP(Table3[[#This Row],[Agen id]],A:B,2,0)&amp;"("&amp;Table3[[#This Row],[Short]]&amp;")")</f>
        <v/>
      </c>
      <c r="J1809" s="7">
        <f>VLOOKUP(Table3[[#This Row],[Agen id]],Agen!A:C,3,0)</f>
        <v/>
      </c>
      <c r="K1809" s="37">
        <f>TRIM(LEFT(Table3[[#This Row],[Group]],2))</f>
        <v/>
      </c>
      <c r="L1809" s="3" t="inlineStr">
        <is>
          <t>NON SALES</t>
        </is>
      </c>
    </row>
    <row r="1810">
      <c r="A1810" s="5" t="inlineStr">
        <is>
          <t>OP11390</t>
        </is>
      </c>
      <c r="B1810" s="6" t="inlineStr">
        <is>
          <t>Putra</t>
        </is>
      </c>
      <c r="C1810" s="7" t="inlineStr">
        <is>
          <t>A - Agen</t>
        </is>
      </c>
      <c r="D1810" s="1" t="inlineStr">
        <is>
          <t>OP00335</t>
        </is>
      </c>
      <c r="E1810" s="8" t="n">
        <v>45362.95069444444</v>
      </c>
      <c r="F1810" s="7" t="inlineStr">
        <is>
          <t>DOWNLINE</t>
        </is>
      </c>
      <c r="G1810" s="18" t="inlineStr">
        <is>
          <t>OP00335</t>
        </is>
      </c>
      <c r="H1810" s="19">
        <f>UPPER(Table3[[#This Row],[Agen id]]&amp;"-"&amp;VLOOKUP(Table3[[#This Row],[Agen id]],A:B,2,0)&amp;"("&amp;Table3[[#This Row],[Short]]&amp;")")</f>
        <v/>
      </c>
      <c r="J1810" s="7">
        <f>VLOOKUP(Table3[[#This Row],[Agen id]],Agen!A:C,3,0)</f>
        <v/>
      </c>
      <c r="K1810" s="37">
        <f>TRIM(LEFT(Table3[[#This Row],[Group]],2))</f>
        <v/>
      </c>
      <c r="L1810" s="3" t="inlineStr">
        <is>
          <t>NON SALES</t>
        </is>
      </c>
    </row>
    <row r="1811">
      <c r="A1811" s="5" t="inlineStr">
        <is>
          <t>OP11394</t>
        </is>
      </c>
      <c r="B1811" s="6" t="inlineStr">
        <is>
          <t>Juve cell</t>
        </is>
      </c>
      <c r="C1811" s="7" t="inlineStr">
        <is>
          <t>AV - Agen Verified</t>
        </is>
      </c>
      <c r="D1811" s="1" t="inlineStr">
        <is>
          <t>OP00002</t>
        </is>
      </c>
      <c r="E1811" s="8" t="n">
        <v>45363.24861111111</v>
      </c>
      <c r="F1811" s="7" t="inlineStr">
        <is>
          <t>AGEN</t>
        </is>
      </c>
      <c r="G1811" s="18" t="inlineStr">
        <is>
          <t>OP11394</t>
        </is>
      </c>
      <c r="H1811" s="19">
        <f>UPPER(Table3[[#This Row],[Agen id]]&amp;"-"&amp;VLOOKUP(Table3[[#This Row],[Agen id]],A:B,2,0)&amp;"("&amp;Table3[[#This Row],[Short]]&amp;")")</f>
        <v/>
      </c>
      <c r="J1811" s="7">
        <f>VLOOKUP(Table3[[#This Row],[Agen id]],Agen!A:C,3,0)</f>
        <v/>
      </c>
      <c r="K1811" s="37">
        <f>TRIM(LEFT(Table3[[#This Row],[Group]],2))</f>
        <v/>
      </c>
      <c r="L1811" s="3" t="inlineStr">
        <is>
          <t>NON SALES</t>
        </is>
      </c>
    </row>
    <row r="1812">
      <c r="A1812" s="5" t="inlineStr">
        <is>
          <t>OP11399</t>
        </is>
      </c>
      <c r="B1812" s="6" t="inlineStr">
        <is>
          <t>Rusli</t>
        </is>
      </c>
      <c r="C1812" s="7" t="inlineStr">
        <is>
          <t>AV - Agen Verified</t>
        </is>
      </c>
      <c r="D1812" s="1" t="inlineStr">
        <is>
          <t>OP00002</t>
        </is>
      </c>
      <c r="E1812" s="8" t="n">
        <v>45363.575</v>
      </c>
      <c r="F1812" s="7" t="inlineStr">
        <is>
          <t>AGEN</t>
        </is>
      </c>
      <c r="G1812" s="18" t="inlineStr">
        <is>
          <t>OP11399</t>
        </is>
      </c>
      <c r="H1812" s="19">
        <f>UPPER(Table3[[#This Row],[Agen id]]&amp;"-"&amp;VLOOKUP(Table3[[#This Row],[Agen id]],A:B,2,0)&amp;"("&amp;Table3[[#This Row],[Short]]&amp;")")</f>
        <v/>
      </c>
      <c r="J1812" s="7">
        <f>VLOOKUP(Table3[[#This Row],[Agen id]],Agen!A:C,3,0)</f>
        <v/>
      </c>
      <c r="K1812" s="37">
        <f>TRIM(LEFT(Table3[[#This Row],[Group]],2))</f>
        <v/>
      </c>
      <c r="L1812" s="3" t="inlineStr">
        <is>
          <t>NON SALES</t>
        </is>
      </c>
    </row>
    <row r="1813">
      <c r="A1813" s="5" t="inlineStr">
        <is>
          <t>OP11401</t>
        </is>
      </c>
      <c r="B1813" s="6" t="inlineStr">
        <is>
          <t>88 Cell</t>
        </is>
      </c>
      <c r="C1813" s="7" t="inlineStr">
        <is>
          <t>AB1 - Agen Kab Bogor</t>
        </is>
      </c>
      <c r="D1813" s="1" t="inlineStr">
        <is>
          <t>OP07367</t>
        </is>
      </c>
      <c r="E1813" s="8" t="n">
        <v>45363.65902777778</v>
      </c>
      <c r="F1813" s="7" t="inlineStr">
        <is>
          <t>AGEN</t>
        </is>
      </c>
      <c r="G1813" s="18" t="inlineStr">
        <is>
          <t>OP11401</t>
        </is>
      </c>
      <c r="H1813" s="19">
        <f>UPPER(Table3[[#This Row],[Agen id]]&amp;"-"&amp;VLOOKUP(Table3[[#This Row],[Agen id]],A:B,2,0)&amp;"("&amp;Table3[[#This Row],[Short]]&amp;")")</f>
        <v/>
      </c>
      <c r="J1813" s="7">
        <f>VLOOKUP(Table3[[#This Row],[Agen id]],Agen!A:C,3,0)</f>
        <v/>
      </c>
      <c r="K1813" s="37">
        <f>TRIM(LEFT(Table3[[#This Row],[Group]],2))</f>
        <v/>
      </c>
      <c r="L1813" s="3" t="inlineStr">
        <is>
          <t>NON SALES</t>
        </is>
      </c>
    </row>
    <row r="1814">
      <c r="A1814" s="5" t="inlineStr">
        <is>
          <t>OP11427</t>
        </is>
      </c>
      <c r="B1814" s="6" t="inlineStr">
        <is>
          <t>nurtekawati</t>
        </is>
      </c>
      <c r="C1814" s="7" t="inlineStr">
        <is>
          <t>AV - Agen Verified</t>
        </is>
      </c>
      <c r="D1814" s="1" t="inlineStr">
        <is>
          <t>OP10958</t>
        </is>
      </c>
      <c r="E1814" s="8" t="n">
        <v>45364.44027777778</v>
      </c>
      <c r="F1814" s="7" t="inlineStr">
        <is>
          <t>DOWNLINE</t>
        </is>
      </c>
      <c r="G1814" s="18" t="inlineStr">
        <is>
          <t>OP00049</t>
        </is>
      </c>
      <c r="H1814" s="19">
        <f>UPPER(Table3[[#This Row],[Agen id]]&amp;"-"&amp;VLOOKUP(Table3[[#This Row],[Agen id]],A:B,2,0)&amp;"("&amp;Table3[[#This Row],[Short]]&amp;")")</f>
        <v/>
      </c>
      <c r="J1814" s="7">
        <f>VLOOKUP(Table3[[#This Row],[Agen id]],Agen!A:C,3,0)</f>
        <v/>
      </c>
      <c r="K1814" s="37">
        <f>TRIM(LEFT(Table3[[#This Row],[Group]],2))</f>
        <v/>
      </c>
      <c r="L1814" s="3" t="inlineStr">
        <is>
          <t>NON SALES</t>
        </is>
      </c>
    </row>
    <row r="1815">
      <c r="A1815" s="5" t="inlineStr">
        <is>
          <t>OP11432</t>
        </is>
      </c>
      <c r="B1815" s="6" t="inlineStr">
        <is>
          <t>Abdul ponsel</t>
        </is>
      </c>
      <c r="C1815" s="7" t="inlineStr">
        <is>
          <t>AV - Agen Verified</t>
        </is>
      </c>
      <c r="D1815" s="1" t="inlineStr">
        <is>
          <t>OP00002</t>
        </is>
      </c>
      <c r="E1815" s="8" t="n">
        <v>45364.54166666666</v>
      </c>
      <c r="F1815" s="7" t="inlineStr">
        <is>
          <t>AGEN</t>
        </is>
      </c>
      <c r="G1815" s="18" t="inlineStr">
        <is>
          <t>OP11432</t>
        </is>
      </c>
      <c r="H1815" s="19">
        <f>UPPER(Table3[[#This Row],[Agen id]]&amp;"-"&amp;VLOOKUP(Table3[[#This Row],[Agen id]],A:B,2,0)&amp;"("&amp;Table3[[#This Row],[Short]]&amp;")")</f>
        <v/>
      </c>
      <c r="J1815" s="7">
        <f>VLOOKUP(Table3[[#This Row],[Agen id]],Agen!A:C,3,0)</f>
        <v/>
      </c>
      <c r="K1815" s="37">
        <f>TRIM(LEFT(Table3[[#This Row],[Group]],2))</f>
        <v/>
      </c>
      <c r="L1815" s="3" t="inlineStr">
        <is>
          <t>NON SALES</t>
        </is>
      </c>
    </row>
    <row r="1816">
      <c r="A1816" s="5" t="inlineStr">
        <is>
          <t>OP11433</t>
        </is>
      </c>
      <c r="B1816" s="6" t="inlineStr">
        <is>
          <t>SOLEH</t>
        </is>
      </c>
      <c r="C1816" s="7" t="inlineStr">
        <is>
          <t>A - Agen</t>
        </is>
      </c>
      <c r="D1816" s="1" t="inlineStr">
        <is>
          <t>OP00002</t>
        </is>
      </c>
      <c r="E1816" s="8" t="n">
        <v>45364.55208333334</v>
      </c>
      <c r="F1816" s="7" t="inlineStr">
        <is>
          <t>AGEN</t>
        </is>
      </c>
      <c r="G1816" s="18" t="inlineStr">
        <is>
          <t>OP11433</t>
        </is>
      </c>
      <c r="H1816" s="19">
        <f>UPPER(Table3[[#This Row],[Agen id]]&amp;"-"&amp;VLOOKUP(Table3[[#This Row],[Agen id]],A:B,2,0)&amp;"("&amp;Table3[[#This Row],[Short]]&amp;")")</f>
        <v/>
      </c>
      <c r="J1816" s="7">
        <f>VLOOKUP(Table3[[#This Row],[Agen id]],Agen!A:C,3,0)</f>
        <v/>
      </c>
      <c r="K1816" s="37">
        <f>TRIM(LEFT(Table3[[#This Row],[Group]],2))</f>
        <v/>
      </c>
      <c r="L1816" s="3" t="inlineStr">
        <is>
          <t>NON SALES</t>
        </is>
      </c>
    </row>
    <row r="1817">
      <c r="A1817" s="5" t="inlineStr">
        <is>
          <t>OP11451</t>
        </is>
      </c>
      <c r="B1817" s="6" t="inlineStr">
        <is>
          <t>Faisal</t>
        </is>
      </c>
      <c r="C1817" s="7" t="inlineStr">
        <is>
          <t>AB1 - Agen Kab Bogor</t>
        </is>
      </c>
      <c r="D1817" s="1" t="inlineStr">
        <is>
          <t>OP00002</t>
        </is>
      </c>
      <c r="E1817" s="8" t="n">
        <v>45364.95833333334</v>
      </c>
      <c r="F1817" s="7" t="inlineStr">
        <is>
          <t>AGEN</t>
        </is>
      </c>
      <c r="G1817" s="18" t="inlineStr">
        <is>
          <t>OP11451</t>
        </is>
      </c>
      <c r="H1817" s="19">
        <f>UPPER(Table3[[#This Row],[Agen id]]&amp;"-"&amp;VLOOKUP(Table3[[#This Row],[Agen id]],A:B,2,0)&amp;"("&amp;Table3[[#This Row],[Short]]&amp;")")</f>
        <v/>
      </c>
      <c r="J1817" s="7">
        <f>VLOOKUP(Table3[[#This Row],[Agen id]],Agen!A:C,3,0)</f>
        <v/>
      </c>
      <c r="K1817" s="37">
        <f>TRIM(LEFT(Table3[[#This Row],[Group]],2))</f>
        <v/>
      </c>
      <c r="L1817" s="3" t="inlineStr">
        <is>
          <t>NON SALES</t>
        </is>
      </c>
    </row>
    <row r="1818">
      <c r="A1818" s="5" t="inlineStr">
        <is>
          <t>OP11468</t>
        </is>
      </c>
      <c r="B1818" s="6" t="inlineStr">
        <is>
          <t>Leni mardalena</t>
        </is>
      </c>
      <c r="C1818" s="7" t="inlineStr">
        <is>
          <t>AV - Agen Verified</t>
        </is>
      </c>
      <c r="D1818" s="1" t="inlineStr">
        <is>
          <t>OP00825</t>
        </is>
      </c>
      <c r="E1818" s="8" t="n">
        <v>45365.72152777778</v>
      </c>
      <c r="F1818" s="7" t="inlineStr">
        <is>
          <t>DOWNLINE</t>
        </is>
      </c>
      <c r="G1818" s="18" t="inlineStr">
        <is>
          <t>OP00014</t>
        </is>
      </c>
      <c r="H1818" s="19">
        <f>UPPER(Table3[[#This Row],[Agen id]]&amp;"-"&amp;VLOOKUP(Table3[[#This Row],[Agen id]],A:B,2,0)&amp;"("&amp;Table3[[#This Row],[Short]]&amp;")")</f>
        <v/>
      </c>
      <c r="J1818" s="7">
        <f>VLOOKUP(Table3[[#This Row],[Agen id]],Agen!A:C,3,0)</f>
        <v/>
      </c>
      <c r="K1818" s="37">
        <f>TRIM(LEFT(Table3[[#This Row],[Group]],2))</f>
        <v/>
      </c>
      <c r="L1818" s="3" t="inlineStr">
        <is>
          <t>NON SALES</t>
        </is>
      </c>
    </row>
    <row r="1819">
      <c r="A1819" s="5" t="inlineStr">
        <is>
          <t>OP11486</t>
        </is>
      </c>
      <c r="B1819" s="6" t="inlineStr">
        <is>
          <t>CALL MONEY</t>
        </is>
      </c>
      <c r="C1819" s="7" t="inlineStr">
        <is>
          <t>AV - Agen Verified</t>
        </is>
      </c>
      <c r="D1819" s="1" t="inlineStr">
        <is>
          <t>OP05567</t>
        </is>
      </c>
      <c r="E1819" s="8" t="n">
        <v>45366.70138888889</v>
      </c>
      <c r="F1819" s="7" t="inlineStr">
        <is>
          <t>DOWNLINE</t>
        </is>
      </c>
      <c r="G1819" s="18" t="inlineStr">
        <is>
          <t>OP05567</t>
        </is>
      </c>
      <c r="H1819" s="19">
        <f>UPPER(Table3[[#This Row],[Agen id]]&amp;"-"&amp;VLOOKUP(Table3[[#This Row],[Agen id]],A:B,2,0)&amp;"("&amp;Table3[[#This Row],[Short]]&amp;")")</f>
        <v/>
      </c>
      <c r="J1819" s="7">
        <f>VLOOKUP(Table3[[#This Row],[Agen id]],Agen!A:C,3,0)</f>
        <v/>
      </c>
      <c r="K1819" s="37">
        <f>TRIM(LEFT(Table3[[#This Row],[Group]],2))</f>
        <v/>
      </c>
      <c r="L1819" s="3" t="inlineStr">
        <is>
          <t>NON SALES</t>
        </is>
      </c>
    </row>
    <row r="1820">
      <c r="A1820" s="5" t="inlineStr">
        <is>
          <t>OP11491</t>
        </is>
      </c>
      <c r="B1820" s="6" t="inlineStr">
        <is>
          <t>INDRAALFA</t>
        </is>
      </c>
      <c r="C1820" s="7" t="inlineStr">
        <is>
          <t>A - Agen</t>
        </is>
      </c>
      <c r="D1820" s="1" t="inlineStr">
        <is>
          <t>OP00002</t>
        </is>
      </c>
      <c r="E1820" s="8" t="n">
        <v>45366.80138888889</v>
      </c>
      <c r="F1820" s="7" t="inlineStr">
        <is>
          <t>AGEN</t>
        </is>
      </c>
      <c r="G1820" s="18" t="inlineStr">
        <is>
          <t>OP11491</t>
        </is>
      </c>
      <c r="H1820" s="19">
        <f>UPPER(Table3[[#This Row],[Agen id]]&amp;"-"&amp;VLOOKUP(Table3[[#This Row],[Agen id]],A:B,2,0)&amp;"("&amp;Table3[[#This Row],[Short]]&amp;")")</f>
        <v/>
      </c>
      <c r="J1820" s="7">
        <f>VLOOKUP(Table3[[#This Row],[Agen id]],Agen!A:C,3,0)</f>
        <v/>
      </c>
      <c r="K1820" s="37">
        <f>TRIM(LEFT(Table3[[#This Row],[Group]],2))</f>
        <v/>
      </c>
      <c r="L1820" s="3" t="inlineStr">
        <is>
          <t>NON SALES</t>
        </is>
      </c>
    </row>
    <row r="1821">
      <c r="A1821" s="5" t="inlineStr">
        <is>
          <t>OP11492</t>
        </is>
      </c>
      <c r="B1821" s="6" t="inlineStr">
        <is>
          <t>Call Money Cell Tiga Raksa</t>
        </is>
      </c>
      <c r="C1821" s="7" t="inlineStr">
        <is>
          <t>AV - Agen Verified</t>
        </is>
      </c>
      <c r="D1821" s="1" t="inlineStr">
        <is>
          <t>OP00002</t>
        </is>
      </c>
      <c r="E1821" s="8" t="n">
        <v>45366.8375</v>
      </c>
      <c r="F1821" s="7" t="inlineStr">
        <is>
          <t>AGEN</t>
        </is>
      </c>
      <c r="G1821" s="18" t="inlineStr">
        <is>
          <t>OP11492</t>
        </is>
      </c>
      <c r="H1821" s="19">
        <f>UPPER(Table3[[#This Row],[Agen id]]&amp;"-"&amp;VLOOKUP(Table3[[#This Row],[Agen id]],A:B,2,0)&amp;"("&amp;Table3[[#This Row],[Short]]&amp;")")</f>
        <v/>
      </c>
      <c r="J1821" s="7">
        <f>VLOOKUP(Table3[[#This Row],[Agen id]],Agen!A:C,3,0)</f>
        <v/>
      </c>
      <c r="K1821" s="37">
        <f>TRIM(LEFT(Table3[[#This Row],[Group]],2))</f>
        <v/>
      </c>
      <c r="L1821" s="3" t="inlineStr">
        <is>
          <t>NON SALES</t>
        </is>
      </c>
    </row>
    <row r="1822">
      <c r="A1822" s="5" t="inlineStr">
        <is>
          <t>OP11493</t>
        </is>
      </c>
      <c r="B1822" s="6" t="inlineStr">
        <is>
          <t>Agung prabowo</t>
        </is>
      </c>
      <c r="C1822" s="7" t="inlineStr">
        <is>
          <t>A - Agen</t>
        </is>
      </c>
      <c r="D1822" s="1" t="inlineStr">
        <is>
          <t>OP00002</t>
        </is>
      </c>
      <c r="E1822" s="8" t="n">
        <v>45366.84513888889</v>
      </c>
      <c r="F1822" s="7" t="inlineStr">
        <is>
          <t>AGEN</t>
        </is>
      </c>
      <c r="G1822" s="18" t="inlineStr">
        <is>
          <t>OP11493</t>
        </is>
      </c>
      <c r="H1822" s="19">
        <f>UPPER(Table3[[#This Row],[Agen id]]&amp;"-"&amp;VLOOKUP(Table3[[#This Row],[Agen id]],A:B,2,0)&amp;"("&amp;Table3[[#This Row],[Short]]&amp;")")</f>
        <v/>
      </c>
      <c r="J1822" s="7">
        <f>VLOOKUP(Table3[[#This Row],[Agen id]],Agen!A:C,3,0)</f>
        <v/>
      </c>
      <c r="K1822" s="37">
        <f>TRIM(LEFT(Table3[[#This Row],[Group]],2))</f>
        <v/>
      </c>
      <c r="L1822" s="3" t="inlineStr">
        <is>
          <t>NON SALES</t>
        </is>
      </c>
    </row>
    <row r="1823">
      <c r="A1823" s="5" t="inlineStr">
        <is>
          <t>OP11498</t>
        </is>
      </c>
      <c r="B1823" s="6" t="inlineStr">
        <is>
          <t>Share Reload 2024</t>
        </is>
      </c>
      <c r="C1823" s="7" t="inlineStr">
        <is>
          <t>A - Agen</t>
        </is>
      </c>
      <c r="D1823" s="1" t="inlineStr">
        <is>
          <t>OP00002</t>
        </is>
      </c>
      <c r="E1823" s="8" t="n">
        <v>45366.96805555555</v>
      </c>
      <c r="F1823" s="7" t="inlineStr">
        <is>
          <t>AGEN</t>
        </is>
      </c>
      <c r="G1823" s="18" t="inlineStr">
        <is>
          <t>OP11498</t>
        </is>
      </c>
      <c r="H1823" s="19">
        <f>UPPER(Table3[[#This Row],[Agen id]]&amp;"-"&amp;VLOOKUP(Table3[[#This Row],[Agen id]],A:B,2,0)&amp;"("&amp;Table3[[#This Row],[Short]]&amp;")")</f>
        <v/>
      </c>
      <c r="J1823" s="7">
        <f>VLOOKUP(Table3[[#This Row],[Agen id]],Agen!A:C,3,0)</f>
        <v/>
      </c>
      <c r="K1823" s="37">
        <f>TRIM(LEFT(Table3[[#This Row],[Group]],2))</f>
        <v/>
      </c>
      <c r="L1823" s="3" t="inlineStr">
        <is>
          <t>NON SALES</t>
        </is>
      </c>
    </row>
    <row r="1824">
      <c r="A1824" s="5" t="inlineStr">
        <is>
          <t>OP11506</t>
        </is>
      </c>
      <c r="B1824" s="6" t="inlineStr">
        <is>
          <t>Seniman harefa</t>
        </is>
      </c>
      <c r="C1824" s="7" t="inlineStr">
        <is>
          <t>A - Agen</t>
        </is>
      </c>
      <c r="D1824" s="1" t="inlineStr">
        <is>
          <t>OP00002</t>
        </is>
      </c>
      <c r="E1824" s="8" t="n">
        <v>45367.4125</v>
      </c>
      <c r="F1824" s="7" t="inlineStr">
        <is>
          <t>AGEN</t>
        </is>
      </c>
      <c r="G1824" s="18" t="inlineStr">
        <is>
          <t>OP11506</t>
        </is>
      </c>
      <c r="H1824" s="19">
        <f>UPPER(Table3[[#This Row],[Agen id]]&amp;"-"&amp;VLOOKUP(Table3[[#This Row],[Agen id]],A:B,2,0)&amp;"("&amp;Table3[[#This Row],[Short]]&amp;")")</f>
        <v/>
      </c>
      <c r="J1824" s="7">
        <f>VLOOKUP(Table3[[#This Row],[Agen id]],Agen!A:C,3,0)</f>
        <v/>
      </c>
      <c r="K1824" s="37">
        <f>TRIM(LEFT(Table3[[#This Row],[Group]],2))</f>
        <v/>
      </c>
      <c r="L1824" s="3" t="inlineStr">
        <is>
          <t>NON SALES</t>
        </is>
      </c>
    </row>
    <row r="1825">
      <c r="A1825" s="5" t="inlineStr">
        <is>
          <t>OP11519</t>
        </is>
      </c>
      <c r="B1825" s="6" t="inlineStr">
        <is>
          <t>Zi Cell 2</t>
        </is>
      </c>
      <c r="C1825" s="7" t="inlineStr">
        <is>
          <t>A - Agen</t>
        </is>
      </c>
      <c r="D1825" s="1" t="inlineStr">
        <is>
          <t>OP09339</t>
        </is>
      </c>
      <c r="E1825" s="8" t="n">
        <v>45367.83888888889</v>
      </c>
      <c r="F1825" s="7" t="inlineStr">
        <is>
          <t>DOWNLINE</t>
        </is>
      </c>
      <c r="G1825" s="18" t="inlineStr">
        <is>
          <t>OP09339</t>
        </is>
      </c>
      <c r="H1825" s="19">
        <f>UPPER(Table3[[#This Row],[Agen id]]&amp;"-"&amp;VLOOKUP(Table3[[#This Row],[Agen id]],A:B,2,0)&amp;"("&amp;Table3[[#This Row],[Short]]&amp;")")</f>
        <v/>
      </c>
      <c r="J1825" s="7">
        <f>VLOOKUP(Table3[[#This Row],[Agen id]],Agen!A:C,3,0)</f>
        <v/>
      </c>
      <c r="K1825" s="37">
        <f>TRIM(LEFT(Table3[[#This Row],[Group]],2))</f>
        <v/>
      </c>
      <c r="L1825" s="3" t="inlineStr">
        <is>
          <t>NON SALES</t>
        </is>
      </c>
    </row>
    <row r="1826">
      <c r="A1826" s="5" t="inlineStr">
        <is>
          <t>OP11531</t>
        </is>
      </c>
      <c r="B1826" s="6" t="inlineStr">
        <is>
          <t>Rifat</t>
        </is>
      </c>
      <c r="C1826" s="7" t="inlineStr">
        <is>
          <t>A - Agen</t>
        </is>
      </c>
      <c r="D1826" s="1" t="inlineStr">
        <is>
          <t>OP00002</t>
        </is>
      </c>
      <c r="E1826" s="8" t="n">
        <v>45368.41597222222</v>
      </c>
      <c r="F1826" s="7" t="inlineStr">
        <is>
          <t>AGEN</t>
        </is>
      </c>
      <c r="G1826" s="18" t="inlineStr">
        <is>
          <t>OP11531</t>
        </is>
      </c>
      <c r="H1826" s="19">
        <f>UPPER(Table3[[#This Row],[Agen id]]&amp;"-"&amp;VLOOKUP(Table3[[#This Row],[Agen id]],A:B,2,0)&amp;"("&amp;Table3[[#This Row],[Short]]&amp;")")</f>
        <v/>
      </c>
      <c r="J1826" s="7">
        <f>VLOOKUP(Table3[[#This Row],[Agen id]],Agen!A:C,3,0)</f>
        <v/>
      </c>
      <c r="K1826" s="37">
        <f>TRIM(LEFT(Table3[[#This Row],[Group]],2))</f>
        <v/>
      </c>
      <c r="L1826" s="3" t="inlineStr">
        <is>
          <t>NON SALES</t>
        </is>
      </c>
    </row>
    <row r="1827">
      <c r="A1827" s="5" t="inlineStr">
        <is>
          <t>OP11532</t>
        </is>
      </c>
      <c r="B1827" s="6" t="inlineStr">
        <is>
          <t>Dwii</t>
        </is>
      </c>
      <c r="C1827" s="7" t="inlineStr">
        <is>
          <t>AV - Agen Verified</t>
        </is>
      </c>
      <c r="D1827" s="1" t="inlineStr">
        <is>
          <t>OP00002</t>
        </is>
      </c>
      <c r="E1827" s="8" t="n">
        <v>45368.42986111111</v>
      </c>
      <c r="F1827" s="7" t="inlineStr">
        <is>
          <t>AGEN</t>
        </is>
      </c>
      <c r="G1827" s="18" t="inlineStr">
        <is>
          <t>OP11532</t>
        </is>
      </c>
      <c r="H1827" s="19">
        <f>UPPER(Table3[[#This Row],[Agen id]]&amp;"-"&amp;VLOOKUP(Table3[[#This Row],[Agen id]],A:B,2,0)&amp;"("&amp;Table3[[#This Row],[Short]]&amp;")")</f>
        <v/>
      </c>
      <c r="J1827" s="7">
        <f>VLOOKUP(Table3[[#This Row],[Agen id]],Agen!A:C,3,0)</f>
        <v/>
      </c>
      <c r="K1827" s="37">
        <f>TRIM(LEFT(Table3[[#This Row],[Group]],2))</f>
        <v/>
      </c>
      <c r="L1827" s="3" t="inlineStr">
        <is>
          <t>NON SALES</t>
        </is>
      </c>
    </row>
    <row r="1828">
      <c r="A1828" s="5" t="inlineStr">
        <is>
          <t>OP11551</t>
        </is>
      </c>
      <c r="B1828" s="6" t="inlineStr">
        <is>
          <t>nickho</t>
        </is>
      </c>
      <c r="C1828" s="7" t="inlineStr">
        <is>
          <t>AT1 - Agen Tangerang</t>
        </is>
      </c>
      <c r="D1828" s="1" t="inlineStr">
        <is>
          <t>OP08200</t>
        </is>
      </c>
      <c r="E1828" s="8" t="n">
        <v>45368.86111111111</v>
      </c>
      <c r="F1828" s="7" t="inlineStr">
        <is>
          <t>DOWNLINE</t>
        </is>
      </c>
      <c r="G1828" s="18" t="inlineStr">
        <is>
          <t>OP08200</t>
        </is>
      </c>
      <c r="H1828" s="19">
        <f>UPPER(Table3[[#This Row],[Agen id]]&amp;"-"&amp;VLOOKUP(Table3[[#This Row],[Agen id]],A:B,2,0)&amp;"("&amp;Table3[[#This Row],[Short]]&amp;")")</f>
        <v/>
      </c>
      <c r="J1828" s="7">
        <f>VLOOKUP(Table3[[#This Row],[Agen id]],Agen!A:C,3,0)</f>
        <v/>
      </c>
      <c r="K1828" s="37">
        <f>TRIM(LEFT(Table3[[#This Row],[Group]],2))</f>
        <v/>
      </c>
      <c r="L1828" s="3" t="inlineStr">
        <is>
          <t>NON SALES</t>
        </is>
      </c>
    </row>
    <row r="1829">
      <c r="A1829" s="5" t="inlineStr">
        <is>
          <t>OP11570</t>
        </is>
      </c>
      <c r="B1829" s="6" t="inlineStr">
        <is>
          <t>Rahmatcel</t>
        </is>
      </c>
      <c r="C1829" s="7" t="inlineStr">
        <is>
          <t>A - Agen</t>
        </is>
      </c>
      <c r="D1829" s="1" t="inlineStr">
        <is>
          <t>OP02233</t>
        </is>
      </c>
      <c r="E1829" s="8" t="n">
        <v>45369.48333333333</v>
      </c>
      <c r="F1829" s="7" t="inlineStr">
        <is>
          <t>DOWNLINE</t>
        </is>
      </c>
      <c r="G1829" s="18" t="inlineStr">
        <is>
          <t>OP02233</t>
        </is>
      </c>
      <c r="H1829" s="19">
        <f>UPPER(Table3[[#This Row],[Agen id]]&amp;"-"&amp;VLOOKUP(Table3[[#This Row],[Agen id]],A:B,2,0)&amp;"("&amp;Table3[[#This Row],[Short]]&amp;")")</f>
        <v/>
      </c>
      <c r="J1829" s="7">
        <f>VLOOKUP(Table3[[#This Row],[Agen id]],Agen!A:C,3,0)</f>
        <v/>
      </c>
      <c r="K1829" s="37">
        <f>TRIM(LEFT(Table3[[#This Row],[Group]],2))</f>
        <v/>
      </c>
      <c r="L1829" s="3" t="inlineStr">
        <is>
          <t>NON SALES</t>
        </is>
      </c>
    </row>
    <row r="1830">
      <c r="A1830" s="5" t="inlineStr">
        <is>
          <t>OP11572</t>
        </is>
      </c>
      <c r="B1830" s="6" t="inlineStr">
        <is>
          <t>ARIEF CELL</t>
        </is>
      </c>
      <c r="C1830" s="7" t="inlineStr">
        <is>
          <t>AB1 - Agen Kab Bogor</t>
        </is>
      </c>
      <c r="D1830" s="1" t="inlineStr">
        <is>
          <t>OP07367</t>
        </is>
      </c>
      <c r="E1830" s="8" t="n">
        <v>45369.54652777778</v>
      </c>
      <c r="F1830" s="7" t="inlineStr">
        <is>
          <t>AGEN</t>
        </is>
      </c>
      <c r="G1830" s="18" t="inlineStr">
        <is>
          <t>OP11572</t>
        </is>
      </c>
      <c r="H1830" s="19">
        <f>UPPER(Table3[[#This Row],[Agen id]]&amp;"-"&amp;VLOOKUP(Table3[[#This Row],[Agen id]],A:B,2,0)&amp;"("&amp;Table3[[#This Row],[Short]]&amp;")")</f>
        <v/>
      </c>
      <c r="J1830" s="7">
        <f>VLOOKUP(Table3[[#This Row],[Agen id]],Agen!A:C,3,0)</f>
        <v/>
      </c>
      <c r="K1830" s="37">
        <f>TRIM(LEFT(Table3[[#This Row],[Group]],2))</f>
        <v/>
      </c>
      <c r="L1830" s="3" t="inlineStr">
        <is>
          <t>NON SALES</t>
        </is>
      </c>
    </row>
    <row r="1831">
      <c r="A1831" s="5" t="inlineStr">
        <is>
          <t>OP11579</t>
        </is>
      </c>
      <c r="B1831" s="6" t="inlineStr">
        <is>
          <t>nia</t>
        </is>
      </c>
      <c r="C1831" s="7" t="inlineStr">
        <is>
          <t>A - Agen</t>
        </is>
      </c>
      <c r="D1831" s="1" t="inlineStr">
        <is>
          <t>OP11432</t>
        </is>
      </c>
      <c r="E1831" s="8" t="n">
        <v>45369.83055555556</v>
      </c>
      <c r="F1831" s="7" t="inlineStr">
        <is>
          <t>DOWNLINE</t>
        </is>
      </c>
      <c r="G1831" s="18" t="inlineStr">
        <is>
          <t>OP11432</t>
        </is>
      </c>
      <c r="H1831" s="19">
        <f>UPPER(Table3[[#This Row],[Agen id]]&amp;"-"&amp;VLOOKUP(Table3[[#This Row],[Agen id]],A:B,2,0)&amp;"("&amp;Table3[[#This Row],[Short]]&amp;")")</f>
        <v/>
      </c>
      <c r="J1831" s="7">
        <f>VLOOKUP(Table3[[#This Row],[Agen id]],Agen!A:C,3,0)</f>
        <v/>
      </c>
      <c r="K1831" s="37">
        <f>TRIM(LEFT(Table3[[#This Row],[Group]],2))</f>
        <v/>
      </c>
      <c r="L1831" s="3" t="inlineStr">
        <is>
          <t>NON SALES</t>
        </is>
      </c>
    </row>
    <row r="1832">
      <c r="A1832" s="5" t="inlineStr">
        <is>
          <t>OP11585</t>
        </is>
      </c>
      <c r="B1832" s="6" t="inlineStr">
        <is>
          <t>Agus hariadi</t>
        </is>
      </c>
      <c r="C1832" s="7" t="inlineStr">
        <is>
          <t>A - Agen</t>
        </is>
      </c>
      <c r="D1832" s="1" t="inlineStr">
        <is>
          <t>OP00002</t>
        </is>
      </c>
      <c r="E1832" s="8" t="n">
        <v>45370.01319444444</v>
      </c>
      <c r="F1832" s="7" t="inlineStr">
        <is>
          <t>AGEN</t>
        </is>
      </c>
      <c r="G1832" s="18" t="inlineStr">
        <is>
          <t>OP11585</t>
        </is>
      </c>
      <c r="H1832" s="19">
        <f>UPPER(Table3[[#This Row],[Agen id]]&amp;"-"&amp;VLOOKUP(Table3[[#This Row],[Agen id]],A:B,2,0)&amp;"("&amp;Table3[[#This Row],[Short]]&amp;")")</f>
        <v/>
      </c>
      <c r="J1832" s="7">
        <f>VLOOKUP(Table3[[#This Row],[Agen id]],Agen!A:C,3,0)</f>
        <v/>
      </c>
      <c r="K1832" s="37">
        <f>TRIM(LEFT(Table3[[#This Row],[Group]],2))</f>
        <v/>
      </c>
      <c r="L1832" s="3" t="inlineStr">
        <is>
          <t>NON SALES</t>
        </is>
      </c>
    </row>
    <row r="1833">
      <c r="A1833" s="5" t="inlineStr">
        <is>
          <t>OP11592</t>
        </is>
      </c>
      <c r="B1833" s="6" t="inlineStr">
        <is>
          <t>VIVAN CELL</t>
        </is>
      </c>
      <c r="C1833" s="7" t="inlineStr">
        <is>
          <t>AV - Agen Verified</t>
        </is>
      </c>
      <c r="D1833" s="1" t="inlineStr">
        <is>
          <t>OP00002</t>
        </is>
      </c>
      <c r="E1833" s="8" t="n">
        <v>45370.35</v>
      </c>
      <c r="F1833" s="7" t="inlineStr">
        <is>
          <t>AGEN</t>
        </is>
      </c>
      <c r="G1833" s="18" t="inlineStr">
        <is>
          <t>OP11592</t>
        </is>
      </c>
      <c r="H1833" s="19">
        <f>UPPER(Table3[[#This Row],[Agen id]]&amp;"-"&amp;VLOOKUP(Table3[[#This Row],[Agen id]],A:B,2,0)&amp;"("&amp;Table3[[#This Row],[Short]]&amp;")")</f>
        <v/>
      </c>
      <c r="J1833" s="7">
        <f>VLOOKUP(Table3[[#This Row],[Agen id]],Agen!A:C,3,0)</f>
        <v/>
      </c>
      <c r="K1833" s="37">
        <f>TRIM(LEFT(Table3[[#This Row],[Group]],2))</f>
        <v/>
      </c>
      <c r="L1833" s="3" t="inlineStr">
        <is>
          <t>NON SALES</t>
        </is>
      </c>
    </row>
    <row r="1834">
      <c r="A1834" s="5" t="inlineStr">
        <is>
          <t>OP11594</t>
        </is>
      </c>
      <c r="B1834" s="6" t="inlineStr">
        <is>
          <t>Yudha Cell</t>
        </is>
      </c>
      <c r="C1834" s="7" t="inlineStr">
        <is>
          <t>AB1 - Agen Kab Bogor</t>
        </is>
      </c>
      <c r="D1834" s="1" t="inlineStr">
        <is>
          <t>OP07367</t>
        </is>
      </c>
      <c r="E1834" s="8" t="n">
        <v>45370.39583333334</v>
      </c>
      <c r="F1834" s="7" t="inlineStr">
        <is>
          <t>AGEN</t>
        </is>
      </c>
      <c r="G1834" s="18" t="inlineStr">
        <is>
          <t>OP11594</t>
        </is>
      </c>
      <c r="H1834" s="19">
        <f>UPPER(Table3[[#This Row],[Agen id]]&amp;"-"&amp;VLOOKUP(Table3[[#This Row],[Agen id]],A:B,2,0)&amp;"("&amp;Table3[[#This Row],[Short]]&amp;")")</f>
        <v/>
      </c>
      <c r="J1834" s="7">
        <f>VLOOKUP(Table3[[#This Row],[Agen id]],Agen!A:C,3,0)</f>
        <v/>
      </c>
      <c r="K1834" s="37">
        <f>TRIM(LEFT(Table3[[#This Row],[Group]],2))</f>
        <v/>
      </c>
      <c r="L1834" s="3" t="inlineStr">
        <is>
          <t>NON SALES</t>
        </is>
      </c>
    </row>
    <row r="1835">
      <c r="A1835" s="5" t="inlineStr">
        <is>
          <t>OP11595</t>
        </is>
      </c>
      <c r="B1835" s="6" t="inlineStr">
        <is>
          <t>jelfantri Doru</t>
        </is>
      </c>
      <c r="C1835" s="7" t="inlineStr">
        <is>
          <t>AV - Agen Verified</t>
        </is>
      </c>
      <c r="D1835" s="1" t="inlineStr">
        <is>
          <t>OP03230</t>
        </is>
      </c>
      <c r="E1835" s="8" t="n">
        <v>45370.45902777778</v>
      </c>
      <c r="F1835" s="7" t="inlineStr">
        <is>
          <t>DOWNLINE</t>
        </is>
      </c>
      <c r="G1835" s="18" t="inlineStr">
        <is>
          <t>OP03230</t>
        </is>
      </c>
      <c r="H1835" s="19">
        <f>UPPER(Table3[[#This Row],[Agen id]]&amp;"-"&amp;VLOOKUP(Table3[[#This Row],[Agen id]],A:B,2,0)&amp;"("&amp;Table3[[#This Row],[Short]]&amp;")")</f>
        <v/>
      </c>
      <c r="J1835" s="7">
        <f>VLOOKUP(Table3[[#This Row],[Agen id]],Agen!A:C,3,0)</f>
        <v/>
      </c>
      <c r="K1835" s="37">
        <f>TRIM(LEFT(Table3[[#This Row],[Group]],2))</f>
        <v/>
      </c>
      <c r="L1835" s="3" t="inlineStr">
        <is>
          <t>NON SALES</t>
        </is>
      </c>
    </row>
    <row r="1836">
      <c r="A1836" s="5" t="inlineStr">
        <is>
          <t>OP11603</t>
        </is>
      </c>
      <c r="B1836" s="6" t="inlineStr">
        <is>
          <t>Silda</t>
        </is>
      </c>
      <c r="C1836" s="7" t="inlineStr">
        <is>
          <t>A - Agen</t>
        </is>
      </c>
      <c r="D1836" s="1" t="inlineStr">
        <is>
          <t>OP00002</t>
        </is>
      </c>
      <c r="E1836" s="8" t="n">
        <v>45370.83055555556</v>
      </c>
      <c r="F1836" s="7" t="inlineStr">
        <is>
          <t>AGEN</t>
        </is>
      </c>
      <c r="G1836" s="18" t="inlineStr">
        <is>
          <t>OP11603</t>
        </is>
      </c>
      <c r="H1836" s="19">
        <f>UPPER(Table3[[#This Row],[Agen id]]&amp;"-"&amp;VLOOKUP(Table3[[#This Row],[Agen id]],A:B,2,0)&amp;"("&amp;Table3[[#This Row],[Short]]&amp;")")</f>
        <v/>
      </c>
      <c r="J1836" s="7">
        <f>VLOOKUP(Table3[[#This Row],[Agen id]],Agen!A:C,3,0)</f>
        <v/>
      </c>
      <c r="K1836" s="37">
        <f>TRIM(LEFT(Table3[[#This Row],[Group]],2))</f>
        <v/>
      </c>
      <c r="L1836" s="3" t="inlineStr">
        <is>
          <t>NON SALES</t>
        </is>
      </c>
    </row>
    <row r="1837">
      <c r="A1837" s="5" t="inlineStr">
        <is>
          <t>OP11619</t>
        </is>
      </c>
      <c r="B1837" s="6" t="inlineStr">
        <is>
          <t>Pohan cell</t>
        </is>
      </c>
      <c r="C1837" s="7" t="inlineStr">
        <is>
          <t>A - Agen</t>
        </is>
      </c>
      <c r="D1837" s="1" t="inlineStr">
        <is>
          <t>OP00002</t>
        </is>
      </c>
      <c r="E1837" s="8" t="n">
        <v>45371.60694444444</v>
      </c>
      <c r="F1837" s="7" t="inlineStr">
        <is>
          <t>AGEN</t>
        </is>
      </c>
      <c r="G1837" s="18" t="inlineStr">
        <is>
          <t>OP11619</t>
        </is>
      </c>
      <c r="H1837" s="19">
        <f>UPPER(Table3[[#This Row],[Agen id]]&amp;"-"&amp;VLOOKUP(Table3[[#This Row],[Agen id]],A:B,2,0)&amp;"("&amp;Table3[[#This Row],[Short]]&amp;")")</f>
        <v/>
      </c>
      <c r="J1837" s="7">
        <f>VLOOKUP(Table3[[#This Row],[Agen id]],Agen!A:C,3,0)</f>
        <v/>
      </c>
      <c r="K1837" s="37">
        <f>TRIM(LEFT(Table3[[#This Row],[Group]],2))</f>
        <v/>
      </c>
      <c r="L1837" s="3" t="inlineStr">
        <is>
          <t>NON SALES</t>
        </is>
      </c>
    </row>
    <row r="1838">
      <c r="A1838" s="5" t="inlineStr">
        <is>
          <t>OP11622</t>
        </is>
      </c>
      <c r="B1838" s="6" t="inlineStr">
        <is>
          <t>Hasria</t>
        </is>
      </c>
      <c r="C1838" s="7" t="inlineStr">
        <is>
          <t>AV - Agen Verified</t>
        </is>
      </c>
      <c r="D1838" s="1" t="inlineStr">
        <is>
          <t>OP00002</t>
        </is>
      </c>
      <c r="E1838" s="8" t="n">
        <v>45371.69583333333</v>
      </c>
      <c r="F1838" s="7" t="inlineStr">
        <is>
          <t>AGEN</t>
        </is>
      </c>
      <c r="G1838" s="7" t="inlineStr">
        <is>
          <t>OP11622</t>
        </is>
      </c>
      <c r="H1838" s="19">
        <f>UPPER(Table3[[#This Row],[Agen id]]&amp;"-"&amp;VLOOKUP(Table3[[#This Row],[Agen id]],A:B,2,0)&amp;"("&amp;Table3[[#This Row],[Short]]&amp;")")</f>
        <v/>
      </c>
      <c r="J1838" s="7">
        <f>VLOOKUP(Table3[[#This Row],[Agen id]],Agen!A:C,3,0)</f>
        <v/>
      </c>
      <c r="K1838" s="37">
        <f>TRIM(LEFT(Table3[[#This Row],[Group]],2))</f>
        <v/>
      </c>
      <c r="L1838" s="3" t="inlineStr">
        <is>
          <t>NON SALES</t>
        </is>
      </c>
    </row>
    <row r="1839">
      <c r="A1839" s="5" t="inlineStr">
        <is>
          <t>OP11636</t>
        </is>
      </c>
      <c r="B1839" s="6" t="inlineStr">
        <is>
          <t>Mori cell</t>
        </is>
      </c>
      <c r="C1839" s="7" t="inlineStr">
        <is>
          <t>AT1 - Agen Tangerang</t>
        </is>
      </c>
      <c r="D1839" s="1" t="inlineStr">
        <is>
          <t>OP07683</t>
        </is>
      </c>
      <c r="E1839" s="8" t="n">
        <v>45371.92708333334</v>
      </c>
      <c r="F1839" s="7" t="inlineStr">
        <is>
          <t>AGEN</t>
        </is>
      </c>
      <c r="G1839" s="18" t="inlineStr">
        <is>
          <t>OP11636</t>
        </is>
      </c>
      <c r="H1839" s="19">
        <f>UPPER(Table3[[#This Row],[Agen id]]&amp;"-"&amp;VLOOKUP(Table3[[#This Row],[Agen id]],A:B,2,0)&amp;"("&amp;Table3[[#This Row],[Short]]&amp;")")</f>
        <v/>
      </c>
      <c r="J1839" s="7">
        <f>VLOOKUP(Table3[[#This Row],[Agen id]],Agen!A:C,3,0)</f>
        <v/>
      </c>
      <c r="K1839" s="37">
        <f>TRIM(LEFT(Table3[[#This Row],[Group]],2))</f>
        <v/>
      </c>
      <c r="L1839" s="3" t="inlineStr">
        <is>
          <t>NON SALES</t>
        </is>
      </c>
    </row>
    <row r="1840">
      <c r="A1840" s="5" t="inlineStr">
        <is>
          <t>OP11639</t>
        </is>
      </c>
      <c r="B1840" s="6" t="inlineStr">
        <is>
          <t>Amran</t>
        </is>
      </c>
      <c r="C1840" s="7" t="inlineStr">
        <is>
          <t>A - Agen</t>
        </is>
      </c>
      <c r="D1840" s="1" t="inlineStr">
        <is>
          <t>OP00002</t>
        </is>
      </c>
      <c r="E1840" s="8" t="n">
        <v>45372.1875</v>
      </c>
      <c r="F1840" s="7" t="inlineStr">
        <is>
          <t>AGEN</t>
        </is>
      </c>
      <c r="G1840" s="18" t="inlineStr">
        <is>
          <t>OP11639</t>
        </is>
      </c>
      <c r="H1840" s="19">
        <f>UPPER(Table3[[#This Row],[Agen id]]&amp;"-"&amp;VLOOKUP(Table3[[#This Row],[Agen id]],A:B,2,0)&amp;"("&amp;Table3[[#This Row],[Short]]&amp;")")</f>
        <v/>
      </c>
      <c r="J1840" s="7">
        <f>VLOOKUP(Table3[[#This Row],[Agen id]],Agen!A:C,3,0)</f>
        <v/>
      </c>
      <c r="K1840" s="37">
        <f>TRIM(LEFT(Table3[[#This Row],[Group]],2))</f>
        <v/>
      </c>
      <c r="L1840" s="3" t="inlineStr">
        <is>
          <t>NON SALES</t>
        </is>
      </c>
    </row>
    <row r="1841">
      <c r="A1841" s="5" t="inlineStr">
        <is>
          <t>OP11651</t>
        </is>
      </c>
      <c r="B1841" s="6" t="inlineStr">
        <is>
          <t>Herman Chandra</t>
        </is>
      </c>
      <c r="C1841" s="7" t="inlineStr">
        <is>
          <t>AV - Agen Verified</t>
        </is>
      </c>
      <c r="D1841" s="1" t="inlineStr">
        <is>
          <t>OP00002</t>
        </is>
      </c>
      <c r="E1841" s="8" t="n">
        <v>45372.49513888889</v>
      </c>
      <c r="F1841" s="7" t="inlineStr">
        <is>
          <t>AGEN</t>
        </is>
      </c>
      <c r="G1841" s="18" t="inlineStr">
        <is>
          <t>OP11651</t>
        </is>
      </c>
      <c r="H1841" s="19">
        <f>UPPER(Table3[[#This Row],[Agen id]]&amp;"-"&amp;VLOOKUP(Table3[[#This Row],[Agen id]],A:B,2,0)&amp;"("&amp;Table3[[#This Row],[Short]]&amp;")")</f>
        <v/>
      </c>
      <c r="J1841" s="7">
        <f>VLOOKUP(Table3[[#This Row],[Agen id]],Agen!A:C,3,0)</f>
        <v/>
      </c>
      <c r="K1841" s="37">
        <f>TRIM(LEFT(Table3[[#This Row],[Group]],2))</f>
        <v/>
      </c>
      <c r="L1841" s="3" t="inlineStr">
        <is>
          <t>NON SALES</t>
        </is>
      </c>
    </row>
    <row r="1842">
      <c r="A1842" s="5" t="inlineStr">
        <is>
          <t>OP11676</t>
        </is>
      </c>
      <c r="B1842" s="6" t="inlineStr">
        <is>
          <t>Supiana</t>
        </is>
      </c>
      <c r="C1842" s="7" t="inlineStr">
        <is>
          <t>AV - Agen Verified</t>
        </is>
      </c>
      <c r="D1842" s="1" t="inlineStr">
        <is>
          <t>OP06243</t>
        </is>
      </c>
      <c r="E1842" s="8" t="n">
        <v>45373.31805555556</v>
      </c>
      <c r="F1842" s="7" t="inlineStr">
        <is>
          <t>DOWNLINE</t>
        </is>
      </c>
      <c r="G1842" s="18" t="inlineStr">
        <is>
          <t>OP03179</t>
        </is>
      </c>
      <c r="H1842" s="19">
        <f>UPPER(Table3[[#This Row],[Agen id]]&amp;"-"&amp;VLOOKUP(Table3[[#This Row],[Agen id]],A:B,2,0)&amp;"("&amp;Table3[[#This Row],[Short]]&amp;")")</f>
        <v/>
      </c>
      <c r="J1842" s="7">
        <f>VLOOKUP(Table3[[#This Row],[Agen id]],Agen!A:C,3,0)</f>
        <v/>
      </c>
      <c r="K1842" s="37">
        <f>TRIM(LEFT(Table3[[#This Row],[Group]],2))</f>
        <v/>
      </c>
      <c r="L1842" s="3" t="inlineStr">
        <is>
          <t>NON SALES</t>
        </is>
      </c>
    </row>
    <row r="1843">
      <c r="A1843" s="5" t="inlineStr">
        <is>
          <t>OP11677</t>
        </is>
      </c>
      <c r="B1843" s="6" t="inlineStr">
        <is>
          <t>REZA CELULAR</t>
        </is>
      </c>
      <c r="C1843" s="7" t="inlineStr">
        <is>
          <t>AV - Agen Verified</t>
        </is>
      </c>
      <c r="D1843" s="1" t="inlineStr">
        <is>
          <t>OP03918</t>
        </is>
      </c>
      <c r="E1843" s="8" t="n">
        <v>45373.33263888889</v>
      </c>
      <c r="F1843" s="7" t="inlineStr">
        <is>
          <t>DOWNLINE</t>
        </is>
      </c>
      <c r="G1843" s="18" t="inlineStr">
        <is>
          <t>OP00304</t>
        </is>
      </c>
      <c r="H1843" s="19">
        <f>UPPER(Table3[[#This Row],[Agen id]]&amp;"-"&amp;VLOOKUP(Table3[[#This Row],[Agen id]],A:B,2,0)&amp;"("&amp;Table3[[#This Row],[Short]]&amp;")")</f>
        <v/>
      </c>
      <c r="J1843" s="7">
        <f>VLOOKUP(Table3[[#This Row],[Agen id]],Agen!A:C,3,0)</f>
        <v/>
      </c>
      <c r="K1843" s="37">
        <f>TRIM(LEFT(Table3[[#This Row],[Group]],2))</f>
        <v/>
      </c>
      <c r="L1843" s="3" t="inlineStr">
        <is>
          <t>NON SALES</t>
        </is>
      </c>
    </row>
    <row r="1844">
      <c r="A1844" s="5" t="inlineStr">
        <is>
          <t>OP11682</t>
        </is>
      </c>
      <c r="B1844" s="6" t="inlineStr">
        <is>
          <t>Kaigo cell</t>
        </is>
      </c>
      <c r="C1844" s="7" t="inlineStr">
        <is>
          <t>AV - Agen Verified</t>
        </is>
      </c>
      <c r="D1844" s="1" t="inlineStr">
        <is>
          <t>OP00002</t>
        </is>
      </c>
      <c r="E1844" s="8" t="n">
        <v>45373.47013888889</v>
      </c>
      <c r="F1844" s="7" t="inlineStr">
        <is>
          <t>AGEN</t>
        </is>
      </c>
      <c r="G1844" s="18" t="inlineStr">
        <is>
          <t>OP11682</t>
        </is>
      </c>
      <c r="H1844" s="19">
        <f>UPPER(Table3[[#This Row],[Agen id]]&amp;"-"&amp;VLOOKUP(Table3[[#This Row],[Agen id]],A:B,2,0)&amp;"("&amp;Table3[[#This Row],[Short]]&amp;")")</f>
        <v/>
      </c>
      <c r="J1844" s="7">
        <f>VLOOKUP(Table3[[#This Row],[Agen id]],Agen!A:C,3,0)</f>
        <v/>
      </c>
      <c r="K1844" s="37">
        <f>TRIM(LEFT(Table3[[#This Row],[Group]],2))</f>
        <v/>
      </c>
      <c r="L1844" s="3" t="inlineStr">
        <is>
          <t>NON SALES</t>
        </is>
      </c>
    </row>
    <row r="1845">
      <c r="A1845" s="5" t="inlineStr">
        <is>
          <t>OP11683</t>
        </is>
      </c>
      <c r="B1845" s="6" t="inlineStr">
        <is>
          <t>Andre</t>
        </is>
      </c>
      <c r="C1845" s="7" t="inlineStr">
        <is>
          <t>A - Agen</t>
        </is>
      </c>
      <c r="D1845" s="1" t="inlineStr">
        <is>
          <t>OP00002</t>
        </is>
      </c>
      <c r="E1845" s="8" t="n">
        <v>45373.47569444445</v>
      </c>
      <c r="F1845" s="7" t="inlineStr">
        <is>
          <t>AGEN</t>
        </is>
      </c>
      <c r="G1845" s="18" t="inlineStr">
        <is>
          <t>OP11683</t>
        </is>
      </c>
      <c r="H1845" s="19">
        <f>UPPER(Table3[[#This Row],[Agen id]]&amp;"-"&amp;VLOOKUP(Table3[[#This Row],[Agen id]],A:B,2,0)&amp;"("&amp;Table3[[#This Row],[Short]]&amp;")")</f>
        <v/>
      </c>
      <c r="J1845" s="7">
        <f>VLOOKUP(Table3[[#This Row],[Agen id]],Agen!A:C,3,0)</f>
        <v/>
      </c>
      <c r="K1845" s="37">
        <f>TRIM(LEFT(Table3[[#This Row],[Group]],2))</f>
        <v/>
      </c>
      <c r="L1845" s="3" t="inlineStr">
        <is>
          <t>NON SALES</t>
        </is>
      </c>
    </row>
    <row r="1846">
      <c r="A1846" s="5" t="inlineStr">
        <is>
          <t>OP11686</t>
        </is>
      </c>
      <c r="B1846" s="6" t="inlineStr">
        <is>
          <t>Marisa cell</t>
        </is>
      </c>
      <c r="C1846" s="7" t="inlineStr">
        <is>
          <t>A - Agen</t>
        </is>
      </c>
      <c r="D1846" s="1" t="inlineStr">
        <is>
          <t>OP00002</t>
        </is>
      </c>
      <c r="E1846" s="8" t="n">
        <v>45373.63958333333</v>
      </c>
      <c r="F1846" s="7" t="inlineStr">
        <is>
          <t>AGEN</t>
        </is>
      </c>
      <c r="G1846" s="18" t="inlineStr">
        <is>
          <t>OP11686</t>
        </is>
      </c>
      <c r="H1846" s="19">
        <f>UPPER(Table3[[#This Row],[Agen id]]&amp;"-"&amp;VLOOKUP(Table3[[#This Row],[Agen id]],A:B,2,0)&amp;"("&amp;Table3[[#This Row],[Short]]&amp;")")</f>
        <v/>
      </c>
      <c r="J1846" s="7">
        <f>VLOOKUP(Table3[[#This Row],[Agen id]],Agen!A:C,3,0)</f>
        <v/>
      </c>
      <c r="K1846" s="37">
        <f>TRIM(LEFT(Table3[[#This Row],[Group]],2))</f>
        <v/>
      </c>
      <c r="L1846" s="3" t="inlineStr">
        <is>
          <t>NON SALES</t>
        </is>
      </c>
    </row>
    <row r="1847">
      <c r="A1847" s="5" t="inlineStr">
        <is>
          <t>OP11698</t>
        </is>
      </c>
      <c r="B1847" s="6" t="inlineStr">
        <is>
          <t>Juan</t>
        </is>
      </c>
      <c r="C1847" s="7" t="inlineStr">
        <is>
          <t>AV - Agen Verified</t>
        </is>
      </c>
      <c r="D1847" s="1" t="inlineStr">
        <is>
          <t>OP00002</t>
        </is>
      </c>
      <c r="E1847" s="8" t="n">
        <v>45374.30416666667</v>
      </c>
      <c r="F1847" s="7" t="inlineStr">
        <is>
          <t>AGEN</t>
        </is>
      </c>
      <c r="G1847" s="18" t="inlineStr">
        <is>
          <t>OP11698</t>
        </is>
      </c>
      <c r="H1847" s="19">
        <f>UPPER(Table3[[#This Row],[Agen id]]&amp;"-"&amp;VLOOKUP(Table3[[#This Row],[Agen id]],A:B,2,0)&amp;"("&amp;Table3[[#This Row],[Short]]&amp;")")</f>
        <v/>
      </c>
      <c r="J1847" s="7">
        <f>VLOOKUP(Table3[[#This Row],[Agen id]],Agen!A:C,3,0)</f>
        <v/>
      </c>
      <c r="K1847" s="37">
        <f>TRIM(LEFT(Table3[[#This Row],[Group]],2))</f>
        <v/>
      </c>
      <c r="L1847" s="3" t="inlineStr">
        <is>
          <t>NON SALES</t>
        </is>
      </c>
    </row>
    <row r="1848">
      <c r="A1848" s="5" t="inlineStr">
        <is>
          <t>OP11701</t>
        </is>
      </c>
      <c r="B1848" s="6" t="inlineStr">
        <is>
          <t>AZ cell</t>
        </is>
      </c>
      <c r="C1848" s="7" t="inlineStr">
        <is>
          <t>A - Agen</t>
        </is>
      </c>
      <c r="D1848" s="1" t="inlineStr">
        <is>
          <t>OP01489</t>
        </is>
      </c>
      <c r="E1848" s="8" t="n">
        <v>45374.43472222222</v>
      </c>
      <c r="F1848" s="7" t="inlineStr">
        <is>
          <t>DOWNLINE</t>
        </is>
      </c>
      <c r="G1848" s="18" t="inlineStr">
        <is>
          <t>OP01489</t>
        </is>
      </c>
      <c r="H1848" s="19">
        <f>UPPER(Table3[[#This Row],[Agen id]]&amp;"-"&amp;VLOOKUP(Table3[[#This Row],[Agen id]],A:B,2,0)&amp;"("&amp;Table3[[#This Row],[Short]]&amp;")")</f>
        <v/>
      </c>
      <c r="J1848" s="7">
        <f>VLOOKUP(Table3[[#This Row],[Agen id]],Agen!A:C,3,0)</f>
        <v/>
      </c>
      <c r="K1848" s="37">
        <f>TRIM(LEFT(Table3[[#This Row],[Group]],2))</f>
        <v/>
      </c>
      <c r="L1848" s="3" t="inlineStr">
        <is>
          <t>NON SALES</t>
        </is>
      </c>
    </row>
    <row r="1849">
      <c r="A1849" s="5" t="inlineStr">
        <is>
          <t>OP11714</t>
        </is>
      </c>
      <c r="B1849" s="6" t="inlineStr">
        <is>
          <t>ZAHRAN</t>
        </is>
      </c>
      <c r="C1849" s="7" t="inlineStr">
        <is>
          <t>AV - Agen Verified</t>
        </is>
      </c>
      <c r="D1849" s="1" t="inlineStr">
        <is>
          <t>OP08379</t>
        </is>
      </c>
      <c r="E1849" s="8" t="n">
        <v>45374.80277777778</v>
      </c>
      <c r="F1849" s="7" t="inlineStr">
        <is>
          <t>DOWNLINE</t>
        </is>
      </c>
      <c r="G1849" s="18" t="inlineStr">
        <is>
          <t>OP08379</t>
        </is>
      </c>
      <c r="H1849" s="19">
        <f>UPPER(Table3[[#This Row],[Agen id]]&amp;"-"&amp;VLOOKUP(Table3[[#This Row],[Agen id]],A:B,2,0)&amp;"("&amp;Table3[[#This Row],[Short]]&amp;")")</f>
        <v/>
      </c>
      <c r="J1849" s="7">
        <f>VLOOKUP(Table3[[#This Row],[Agen id]],Agen!A:C,3,0)</f>
        <v/>
      </c>
      <c r="K1849" s="37">
        <f>TRIM(LEFT(Table3[[#This Row],[Group]],2))</f>
        <v/>
      </c>
      <c r="L1849" s="3" t="inlineStr">
        <is>
          <t>NON SALES</t>
        </is>
      </c>
    </row>
    <row r="1850">
      <c r="A1850" s="5" t="inlineStr">
        <is>
          <t>OP11718</t>
        </is>
      </c>
      <c r="B1850" s="6" t="inlineStr">
        <is>
          <t>Hamdi</t>
        </is>
      </c>
      <c r="C1850" s="7" t="inlineStr">
        <is>
          <t>AT1 - Agen Tangerang</t>
        </is>
      </c>
      <c r="D1850" s="1" t="inlineStr">
        <is>
          <t>OP03632</t>
        </is>
      </c>
      <c r="E1850" s="8" t="n">
        <v>45374.89305555556</v>
      </c>
      <c r="F1850" s="7" t="inlineStr">
        <is>
          <t>DOWNLINE</t>
        </is>
      </c>
      <c r="G1850" s="18" t="inlineStr">
        <is>
          <t>OP00996</t>
        </is>
      </c>
      <c r="H1850" s="19">
        <f>UPPER(Table3[[#This Row],[Agen id]]&amp;"-"&amp;VLOOKUP(Table3[[#This Row],[Agen id]],A:B,2,0)&amp;"("&amp;Table3[[#This Row],[Short]]&amp;")")</f>
        <v/>
      </c>
      <c r="J1850" s="7">
        <f>VLOOKUP(Table3[[#This Row],[Agen id]],Agen!A:C,3,0)</f>
        <v/>
      </c>
      <c r="K1850" s="37">
        <f>TRIM(LEFT(Table3[[#This Row],[Group]],2))</f>
        <v/>
      </c>
      <c r="L1850" s="3" t="inlineStr">
        <is>
          <t>NON SALES</t>
        </is>
      </c>
    </row>
    <row r="1851">
      <c r="A1851" s="5" t="inlineStr">
        <is>
          <t>OP11755</t>
        </is>
      </c>
      <c r="B1851" s="6" t="inlineStr">
        <is>
          <t>TOKO MAMA FERDI</t>
        </is>
      </c>
      <c r="C1851" s="7" t="inlineStr">
        <is>
          <t>AT1 - Agen Tangerang</t>
        </is>
      </c>
      <c r="D1851" s="1" t="inlineStr">
        <is>
          <t>OP07683</t>
        </is>
      </c>
      <c r="E1851" s="8" t="n">
        <v>45376.75069444445</v>
      </c>
      <c r="F1851" s="7" t="inlineStr">
        <is>
          <t>AGEN</t>
        </is>
      </c>
      <c r="G1851" s="18" t="inlineStr">
        <is>
          <t>OP11755</t>
        </is>
      </c>
      <c r="H1851" s="19">
        <f>UPPER(Table3[[#This Row],[Agen id]]&amp;"-"&amp;VLOOKUP(Table3[[#This Row],[Agen id]],A:B,2,0)&amp;"("&amp;Table3[[#This Row],[Short]]&amp;")")</f>
        <v/>
      </c>
      <c r="J1851" s="7">
        <f>VLOOKUP(Table3[[#This Row],[Agen id]],Agen!A:C,3,0)</f>
        <v/>
      </c>
      <c r="K1851" s="37">
        <f>TRIM(LEFT(Table3[[#This Row],[Group]],2))</f>
        <v/>
      </c>
      <c r="L1851" s="3" t="inlineStr">
        <is>
          <t>NON SALES</t>
        </is>
      </c>
    </row>
    <row r="1852">
      <c r="A1852" s="5" t="inlineStr">
        <is>
          <t>OP11772</t>
        </is>
      </c>
      <c r="B1852" s="6" t="inlineStr">
        <is>
          <t>Galang Cell</t>
        </is>
      </c>
      <c r="C1852" s="7" t="inlineStr">
        <is>
          <t>AV - Agen Verified</t>
        </is>
      </c>
      <c r="D1852" s="1" t="inlineStr">
        <is>
          <t>OP01054</t>
        </is>
      </c>
      <c r="E1852" s="8" t="n">
        <v>45377.64375</v>
      </c>
      <c r="F1852" s="7" t="inlineStr">
        <is>
          <t>DOWNLINE</t>
        </is>
      </c>
      <c r="G1852" s="18" t="inlineStr">
        <is>
          <t>OP01054</t>
        </is>
      </c>
      <c r="H1852" s="19">
        <f>UPPER(Table3[[#This Row],[Agen id]]&amp;"-"&amp;VLOOKUP(Table3[[#This Row],[Agen id]],A:B,2,0)&amp;"("&amp;Table3[[#This Row],[Short]]&amp;")")</f>
        <v/>
      </c>
      <c r="J1852" s="7">
        <f>VLOOKUP(Table3[[#This Row],[Agen id]],Agen!A:C,3,0)</f>
        <v/>
      </c>
      <c r="K1852" s="37">
        <f>TRIM(LEFT(Table3[[#This Row],[Group]],2))</f>
        <v/>
      </c>
      <c r="L1852" s="3" t="inlineStr">
        <is>
          <t>NON SALES</t>
        </is>
      </c>
    </row>
    <row r="1853">
      <c r="A1853" s="5" t="inlineStr">
        <is>
          <t>OP11776</t>
        </is>
      </c>
      <c r="B1853" s="6" t="inlineStr">
        <is>
          <t>Rama</t>
        </is>
      </c>
      <c r="C1853" s="7" t="inlineStr">
        <is>
          <t>A - Agen</t>
        </is>
      </c>
      <c r="D1853" s="1" t="inlineStr">
        <is>
          <t>OP00002</t>
        </is>
      </c>
      <c r="E1853" s="8" t="n">
        <v>45377.85833333333</v>
      </c>
      <c r="F1853" s="7" t="inlineStr">
        <is>
          <t>AGEN</t>
        </is>
      </c>
      <c r="G1853" s="18" t="inlineStr">
        <is>
          <t>OP11776</t>
        </is>
      </c>
      <c r="H1853" s="19">
        <f>UPPER(Table3[[#This Row],[Agen id]]&amp;"-"&amp;VLOOKUP(Table3[[#This Row],[Agen id]],A:B,2,0)&amp;"("&amp;Table3[[#This Row],[Short]]&amp;")")</f>
        <v/>
      </c>
      <c r="J1853" s="7">
        <f>VLOOKUP(Table3[[#This Row],[Agen id]],Agen!A:C,3,0)</f>
        <v/>
      </c>
      <c r="K1853" s="37">
        <f>TRIM(LEFT(Table3[[#This Row],[Group]],2))</f>
        <v/>
      </c>
      <c r="L1853" s="3" t="inlineStr">
        <is>
          <t>NON SALES</t>
        </is>
      </c>
    </row>
    <row r="1854">
      <c r="A1854" s="5" t="inlineStr">
        <is>
          <t>OP11778</t>
        </is>
      </c>
      <c r="B1854" s="6" t="inlineStr">
        <is>
          <t>TOKO YON</t>
        </is>
      </c>
      <c r="C1854" s="7" t="inlineStr">
        <is>
          <t>AT1 - Agen Tangerang</t>
        </is>
      </c>
      <c r="D1854" s="1" t="inlineStr">
        <is>
          <t>OP07683</t>
        </is>
      </c>
      <c r="E1854" s="8" t="n">
        <v>45377.99097222222</v>
      </c>
      <c r="F1854" s="7" t="inlineStr">
        <is>
          <t>AGEN</t>
        </is>
      </c>
      <c r="G1854" s="18" t="inlineStr">
        <is>
          <t>OP11778</t>
        </is>
      </c>
      <c r="H1854" s="19">
        <f>UPPER(Table3[[#This Row],[Agen id]]&amp;"-"&amp;VLOOKUP(Table3[[#This Row],[Agen id]],A:B,2,0)&amp;"("&amp;Table3[[#This Row],[Short]]&amp;")")</f>
        <v/>
      </c>
      <c r="J1854" s="7">
        <f>VLOOKUP(Table3[[#This Row],[Agen id]],Agen!A:C,3,0)</f>
        <v/>
      </c>
      <c r="K1854" s="37">
        <f>TRIM(LEFT(Table3[[#This Row],[Group]],2))</f>
        <v/>
      </c>
      <c r="L1854" s="3" t="inlineStr">
        <is>
          <t>NON SALES</t>
        </is>
      </c>
    </row>
    <row r="1855">
      <c r="A1855" s="5" t="inlineStr">
        <is>
          <t>OP11783</t>
        </is>
      </c>
      <c r="B1855" s="6" t="inlineStr">
        <is>
          <t>M.aziel</t>
        </is>
      </c>
      <c r="C1855" s="7" t="inlineStr">
        <is>
          <t>A - Agen</t>
        </is>
      </c>
      <c r="D1855" s="1" t="inlineStr">
        <is>
          <t>OP00002</t>
        </is>
      </c>
      <c r="E1855" s="8" t="n">
        <v>45378.29791666667</v>
      </c>
      <c r="F1855" s="7" t="inlineStr">
        <is>
          <t>AGEN</t>
        </is>
      </c>
      <c r="G1855" s="18" t="inlineStr">
        <is>
          <t>OP11783</t>
        </is>
      </c>
      <c r="H1855" s="19">
        <f>UPPER(Table3[[#This Row],[Agen id]]&amp;"-"&amp;VLOOKUP(Table3[[#This Row],[Agen id]],A:B,2,0)&amp;"("&amp;Table3[[#This Row],[Short]]&amp;")")</f>
        <v/>
      </c>
      <c r="J1855" s="7">
        <f>VLOOKUP(Table3[[#This Row],[Agen id]],Agen!A:C,3,0)</f>
        <v/>
      </c>
      <c r="K1855" s="37">
        <f>TRIM(LEFT(Table3[[#This Row],[Group]],2))</f>
        <v/>
      </c>
      <c r="L1855" s="3" t="inlineStr">
        <is>
          <t>NON SALES</t>
        </is>
      </c>
    </row>
    <row r="1856">
      <c r="A1856" s="5" t="inlineStr">
        <is>
          <t>OP11786</t>
        </is>
      </c>
      <c r="B1856" s="6" t="inlineStr">
        <is>
          <t>Iyaa</t>
        </is>
      </c>
      <c r="C1856" s="7" t="inlineStr">
        <is>
          <t>A - Agen</t>
        </is>
      </c>
      <c r="D1856" s="1" t="inlineStr">
        <is>
          <t>OP00002</t>
        </is>
      </c>
      <c r="E1856" s="8" t="n">
        <v>45378.3875</v>
      </c>
      <c r="F1856" s="7" t="inlineStr">
        <is>
          <t>AGEN</t>
        </is>
      </c>
      <c r="G1856" s="18" t="inlineStr">
        <is>
          <t>OP11786</t>
        </is>
      </c>
      <c r="H1856" s="19">
        <f>UPPER(Table3[[#This Row],[Agen id]]&amp;"-"&amp;VLOOKUP(Table3[[#This Row],[Agen id]],A:B,2,0)&amp;"("&amp;Table3[[#This Row],[Short]]&amp;")")</f>
        <v/>
      </c>
      <c r="J1856" s="7">
        <f>VLOOKUP(Table3[[#This Row],[Agen id]],Agen!A:C,3,0)</f>
        <v/>
      </c>
      <c r="K1856" s="37">
        <f>TRIM(LEFT(Table3[[#This Row],[Group]],2))</f>
        <v/>
      </c>
      <c r="L1856" s="3" t="inlineStr">
        <is>
          <t>NON SALES</t>
        </is>
      </c>
    </row>
    <row r="1857">
      <c r="A1857" s="5" t="inlineStr">
        <is>
          <t>OP11795</t>
        </is>
      </c>
      <c r="B1857" s="6" t="inlineStr">
        <is>
          <t>Lasria</t>
        </is>
      </c>
      <c r="C1857" s="7" t="inlineStr">
        <is>
          <t>AV - Agen Verified</t>
        </is>
      </c>
      <c r="D1857" s="1" t="inlineStr">
        <is>
          <t>OP01489</t>
        </is>
      </c>
      <c r="E1857" s="8" t="n">
        <v>45378.53333333333</v>
      </c>
      <c r="F1857" s="7" t="inlineStr">
        <is>
          <t>DOWNLINE</t>
        </is>
      </c>
      <c r="G1857" s="18" t="inlineStr">
        <is>
          <t>OP01489</t>
        </is>
      </c>
      <c r="H1857" s="19">
        <f>UPPER(Table3[[#This Row],[Agen id]]&amp;"-"&amp;VLOOKUP(Table3[[#This Row],[Agen id]],A:B,2,0)&amp;"("&amp;Table3[[#This Row],[Short]]&amp;")")</f>
        <v/>
      </c>
      <c r="J1857" s="7">
        <f>VLOOKUP(Table3[[#This Row],[Agen id]],Agen!A:C,3,0)</f>
        <v/>
      </c>
      <c r="K1857" s="37">
        <f>TRIM(LEFT(Table3[[#This Row],[Group]],2))</f>
        <v/>
      </c>
      <c r="L1857" s="3" t="inlineStr">
        <is>
          <t>NON SALES</t>
        </is>
      </c>
    </row>
    <row r="1858">
      <c r="A1858" s="5" t="inlineStr">
        <is>
          <t>OP11804</t>
        </is>
      </c>
      <c r="B1858" s="6" t="inlineStr">
        <is>
          <t>Saraswati</t>
        </is>
      </c>
      <c r="C1858" s="7" t="inlineStr">
        <is>
          <t>AV - Agen Verified</t>
        </is>
      </c>
      <c r="D1858" s="1" t="inlineStr">
        <is>
          <t>OP00002</t>
        </is>
      </c>
      <c r="E1858" s="8" t="n">
        <v>45378.95208333333</v>
      </c>
      <c r="F1858" s="7" t="inlineStr">
        <is>
          <t>AGEN</t>
        </is>
      </c>
      <c r="G1858" s="18" t="inlineStr">
        <is>
          <t>OP11804</t>
        </is>
      </c>
      <c r="H1858" s="19">
        <f>UPPER(Table3[[#This Row],[Agen id]]&amp;"-"&amp;VLOOKUP(Table3[[#This Row],[Agen id]],A:B,2,0)&amp;"("&amp;Table3[[#This Row],[Short]]&amp;")")</f>
        <v/>
      </c>
      <c r="J1858" s="7">
        <f>VLOOKUP(Table3[[#This Row],[Agen id]],Agen!A:C,3,0)</f>
        <v/>
      </c>
      <c r="K1858" s="37">
        <f>TRIM(LEFT(Table3[[#This Row],[Group]],2))</f>
        <v/>
      </c>
      <c r="L1858" s="3" t="inlineStr">
        <is>
          <t>NON SALES</t>
        </is>
      </c>
    </row>
    <row r="1859">
      <c r="A1859" s="5" t="inlineStr">
        <is>
          <t>OP11810</t>
        </is>
      </c>
      <c r="B1859" s="6" t="inlineStr">
        <is>
          <t>Syafitri</t>
        </is>
      </c>
      <c r="C1859" s="7" t="inlineStr">
        <is>
          <t>A - Agen</t>
        </is>
      </c>
      <c r="D1859" s="1" t="inlineStr">
        <is>
          <t>OP00002</t>
        </is>
      </c>
      <c r="E1859" s="8" t="n">
        <v>45379.09444444445</v>
      </c>
      <c r="F1859" s="7" t="inlineStr">
        <is>
          <t>AGEN</t>
        </is>
      </c>
      <c r="G1859" s="18" t="inlineStr">
        <is>
          <t>OP11810</t>
        </is>
      </c>
      <c r="H1859" s="19">
        <f>UPPER(Table3[[#This Row],[Agen id]]&amp;"-"&amp;VLOOKUP(Table3[[#This Row],[Agen id]],A:B,2,0)&amp;"("&amp;Table3[[#This Row],[Short]]&amp;")")</f>
        <v/>
      </c>
      <c r="J1859" s="7">
        <f>VLOOKUP(Table3[[#This Row],[Agen id]],Agen!A:C,3,0)</f>
        <v/>
      </c>
      <c r="K1859" s="37">
        <f>TRIM(LEFT(Table3[[#This Row],[Group]],2))</f>
        <v/>
      </c>
      <c r="L1859" s="3" t="inlineStr">
        <is>
          <t>NON SALES</t>
        </is>
      </c>
    </row>
    <row r="1860">
      <c r="A1860" s="5" t="inlineStr">
        <is>
          <t>OP11818</t>
        </is>
      </c>
      <c r="B1860" s="6" t="inlineStr">
        <is>
          <t>Mputcell</t>
        </is>
      </c>
      <c r="C1860" s="7" t="inlineStr">
        <is>
          <t>AV - Agen Verified</t>
        </is>
      </c>
      <c r="D1860" s="1" t="inlineStr">
        <is>
          <t>OP00002</t>
        </is>
      </c>
      <c r="E1860" s="8" t="n">
        <v>45379.38888888889</v>
      </c>
      <c r="F1860" s="7" t="inlineStr">
        <is>
          <t>AGEN</t>
        </is>
      </c>
      <c r="G1860" s="18" t="inlineStr">
        <is>
          <t>OP11818</t>
        </is>
      </c>
      <c r="H1860" s="19">
        <f>UPPER(Table3[[#This Row],[Agen id]]&amp;"-"&amp;VLOOKUP(Table3[[#This Row],[Agen id]],A:B,2,0)&amp;"("&amp;Table3[[#This Row],[Short]]&amp;")")</f>
        <v/>
      </c>
      <c r="J1860" s="7">
        <f>VLOOKUP(Table3[[#This Row],[Agen id]],Agen!A:C,3,0)</f>
        <v/>
      </c>
      <c r="K1860" s="37">
        <f>TRIM(LEFT(Table3[[#This Row],[Group]],2))</f>
        <v/>
      </c>
      <c r="L1860" s="3" t="inlineStr">
        <is>
          <t>NON SALES</t>
        </is>
      </c>
    </row>
    <row r="1861">
      <c r="A1861" s="5" t="inlineStr">
        <is>
          <t>OP11830</t>
        </is>
      </c>
      <c r="B1861" s="6" t="inlineStr">
        <is>
          <t>Elnino cell</t>
        </is>
      </c>
      <c r="C1861" s="7" t="inlineStr">
        <is>
          <t>AV - Agen Verified</t>
        </is>
      </c>
      <c r="D1861" s="1" t="inlineStr">
        <is>
          <t>OP00002</t>
        </is>
      </c>
      <c r="E1861" s="8" t="n">
        <v>45379.75694444445</v>
      </c>
      <c r="F1861" s="7" t="inlineStr">
        <is>
          <t>AGEN</t>
        </is>
      </c>
      <c r="G1861" s="18" t="inlineStr">
        <is>
          <t>OP11830</t>
        </is>
      </c>
      <c r="H1861" s="19">
        <f>UPPER(Table3[[#This Row],[Agen id]]&amp;"-"&amp;VLOOKUP(Table3[[#This Row],[Agen id]],A:B,2,0)&amp;"("&amp;Table3[[#This Row],[Short]]&amp;")")</f>
        <v/>
      </c>
      <c r="J1861" s="7">
        <f>VLOOKUP(Table3[[#This Row],[Agen id]],Agen!A:C,3,0)</f>
        <v/>
      </c>
      <c r="K1861" s="37">
        <f>TRIM(LEFT(Table3[[#This Row],[Group]],2))</f>
        <v/>
      </c>
      <c r="L1861" s="3" t="inlineStr">
        <is>
          <t>NON SALES</t>
        </is>
      </c>
    </row>
    <row r="1862">
      <c r="A1862" s="5" t="inlineStr">
        <is>
          <t>OP11862</t>
        </is>
      </c>
      <c r="B1862" s="6" t="inlineStr">
        <is>
          <t>sunarya</t>
        </is>
      </c>
      <c r="C1862" s="7" t="inlineStr">
        <is>
          <t>A - Agen</t>
        </is>
      </c>
      <c r="D1862" s="1" t="inlineStr">
        <is>
          <t>OP00002</t>
        </is>
      </c>
      <c r="E1862" s="8" t="n">
        <v>45380.79722222222</v>
      </c>
      <c r="F1862" s="7" t="inlineStr">
        <is>
          <t>AGEN</t>
        </is>
      </c>
      <c r="G1862" s="18" t="inlineStr">
        <is>
          <t>OP11862</t>
        </is>
      </c>
      <c r="H1862" s="19">
        <f>UPPER(Table3[[#This Row],[Agen id]]&amp;"-"&amp;VLOOKUP(Table3[[#This Row],[Agen id]],A:B,2,0)&amp;"("&amp;Table3[[#This Row],[Short]]&amp;")")</f>
        <v/>
      </c>
      <c r="J1862" s="7">
        <f>VLOOKUP(Table3[[#This Row],[Agen id]],Agen!A:C,3,0)</f>
        <v/>
      </c>
      <c r="K1862" s="37">
        <f>TRIM(LEFT(Table3[[#This Row],[Group]],2))</f>
        <v/>
      </c>
      <c r="L1862" s="3" t="inlineStr">
        <is>
          <t>NON SALES</t>
        </is>
      </c>
    </row>
    <row r="1863">
      <c r="A1863" s="5" t="inlineStr">
        <is>
          <t>OP11875</t>
        </is>
      </c>
      <c r="B1863" s="6" t="inlineStr">
        <is>
          <t>Rahnat</t>
        </is>
      </c>
      <c r="C1863" s="7" t="inlineStr">
        <is>
          <t>AB1 - Agen Kab Bogor</t>
        </is>
      </c>
      <c r="D1863" s="1" t="inlineStr">
        <is>
          <t>OP07367</t>
        </is>
      </c>
      <c r="E1863" s="8" t="n">
        <v>45381.72430555556</v>
      </c>
      <c r="F1863" s="7" t="inlineStr">
        <is>
          <t>AGEN</t>
        </is>
      </c>
      <c r="G1863" s="18" t="inlineStr">
        <is>
          <t>OP11875</t>
        </is>
      </c>
      <c r="H1863" s="19">
        <f>UPPER(Table3[[#This Row],[Agen id]]&amp;"-"&amp;VLOOKUP(Table3[[#This Row],[Agen id]],A:B,2,0)&amp;"("&amp;Table3[[#This Row],[Short]]&amp;")")</f>
        <v/>
      </c>
      <c r="J1863" s="7">
        <f>VLOOKUP(Table3[[#This Row],[Agen id]],Agen!A:C,3,0)</f>
        <v/>
      </c>
      <c r="K1863" s="37">
        <f>TRIM(LEFT(Table3[[#This Row],[Group]],2))</f>
        <v/>
      </c>
      <c r="L1863" s="3" t="inlineStr">
        <is>
          <t>NON SALES</t>
        </is>
      </c>
    </row>
    <row r="1864">
      <c r="A1864" s="5" t="inlineStr">
        <is>
          <t>OP11876</t>
        </is>
      </c>
      <c r="B1864" s="6" t="inlineStr">
        <is>
          <t>Erni</t>
        </is>
      </c>
      <c r="C1864" s="7" t="inlineStr">
        <is>
          <t>AV - Agen Verified</t>
        </is>
      </c>
      <c r="D1864" s="1" t="inlineStr">
        <is>
          <t>OP10769</t>
        </is>
      </c>
      <c r="E1864" s="8" t="n">
        <v>45381.83958333333</v>
      </c>
      <c r="F1864" s="7" t="inlineStr">
        <is>
          <t>DOWNLINE</t>
        </is>
      </c>
      <c r="G1864" s="18" t="inlineStr">
        <is>
          <t>OP10769</t>
        </is>
      </c>
      <c r="H1864" s="19">
        <f>UPPER(Table3[[#This Row],[Agen id]]&amp;"-"&amp;VLOOKUP(Table3[[#This Row],[Agen id]],A:B,2,0)&amp;"("&amp;Table3[[#This Row],[Short]]&amp;")")</f>
        <v/>
      </c>
      <c r="J1864" s="7">
        <f>VLOOKUP(Table3[[#This Row],[Agen id]],Agen!A:C,3,0)</f>
        <v/>
      </c>
      <c r="K1864" s="37">
        <f>TRIM(LEFT(Table3[[#This Row],[Group]],2))</f>
        <v/>
      </c>
      <c r="L1864" s="3" t="inlineStr">
        <is>
          <t>NON SALES</t>
        </is>
      </c>
    </row>
    <row r="1865">
      <c r="A1865" s="5" t="inlineStr">
        <is>
          <t>OP11879</t>
        </is>
      </c>
      <c r="B1865" s="6" t="inlineStr">
        <is>
          <t>Call Money Cell Serpong</t>
        </is>
      </c>
      <c r="C1865" s="7" t="inlineStr">
        <is>
          <t>A - Agen</t>
        </is>
      </c>
      <c r="D1865" s="1" t="inlineStr">
        <is>
          <t>OP00002</t>
        </is>
      </c>
      <c r="E1865" s="8" t="n">
        <v>45382.90138888889</v>
      </c>
      <c r="F1865" s="7" t="inlineStr">
        <is>
          <t>AGEN</t>
        </is>
      </c>
      <c r="G1865" s="18" t="inlineStr">
        <is>
          <t>OP11879</t>
        </is>
      </c>
      <c r="H1865" s="19">
        <f>UPPER(Table3[[#This Row],[Agen id]]&amp;"-"&amp;VLOOKUP(Table3[[#This Row],[Agen id]],A:B,2,0)&amp;"("&amp;Table3[[#This Row],[Short]]&amp;")")</f>
        <v/>
      </c>
      <c r="J1865" s="7">
        <f>VLOOKUP(Table3[[#This Row],[Agen id]],Agen!A:C,3,0)</f>
        <v/>
      </c>
      <c r="K1865" s="37">
        <f>TRIM(LEFT(Table3[[#This Row],[Group]],2))</f>
        <v/>
      </c>
      <c r="L1865" s="3" t="inlineStr">
        <is>
          <t>NON SALES</t>
        </is>
      </c>
    </row>
    <row r="1866">
      <c r="A1866" s="5" t="inlineStr">
        <is>
          <t>OP11886</t>
        </is>
      </c>
      <c r="B1866" s="6" t="inlineStr">
        <is>
          <t>26 Cell</t>
        </is>
      </c>
      <c r="C1866" s="7" t="inlineStr">
        <is>
          <t>AB1 - Agen Kab Bogor</t>
        </is>
      </c>
      <c r="D1866" s="1" t="inlineStr">
        <is>
          <t>OP07367</t>
        </is>
      </c>
      <c r="E1866" s="8" t="n">
        <v>45383.43055555555</v>
      </c>
      <c r="F1866" s="7" t="inlineStr">
        <is>
          <t>AGEN</t>
        </is>
      </c>
      <c r="G1866" s="18" t="inlineStr">
        <is>
          <t>OP11886</t>
        </is>
      </c>
      <c r="H1866" s="19">
        <f>UPPER(Table3[[#This Row],[Agen id]]&amp;"-"&amp;VLOOKUP(Table3[[#This Row],[Agen id]],A:B,2,0)&amp;"("&amp;Table3[[#This Row],[Short]]&amp;")")</f>
        <v/>
      </c>
      <c r="J1866" s="7">
        <f>VLOOKUP(Table3[[#This Row],[Agen id]],Agen!A:C,3,0)</f>
        <v/>
      </c>
      <c r="K1866" s="37">
        <f>TRIM(LEFT(Table3[[#This Row],[Group]],2))</f>
        <v/>
      </c>
      <c r="L1866" s="3" t="inlineStr">
        <is>
          <t>NON SALES</t>
        </is>
      </c>
    </row>
    <row r="1867">
      <c r="A1867" s="5" t="inlineStr">
        <is>
          <t>OP11903</t>
        </is>
      </c>
      <c r="B1867" s="6" t="inlineStr">
        <is>
          <t>Andara Cell</t>
        </is>
      </c>
      <c r="C1867" s="7" t="inlineStr">
        <is>
          <t>A - Agen</t>
        </is>
      </c>
      <c r="D1867" s="1" t="inlineStr">
        <is>
          <t>OP00002</t>
        </is>
      </c>
      <c r="E1867" s="8" t="n">
        <v>45383.65</v>
      </c>
      <c r="F1867" s="7" t="inlineStr">
        <is>
          <t>AGEN</t>
        </is>
      </c>
      <c r="G1867" s="18" t="inlineStr">
        <is>
          <t>OP11903</t>
        </is>
      </c>
      <c r="H1867" s="19">
        <f>UPPER(Table3[[#This Row],[Agen id]]&amp;"-"&amp;VLOOKUP(Table3[[#This Row],[Agen id]],A:B,2,0)&amp;"("&amp;Table3[[#This Row],[Short]]&amp;")")</f>
        <v/>
      </c>
      <c r="J1867" s="7">
        <f>VLOOKUP(Table3[[#This Row],[Agen id]],Agen!A:C,3,0)</f>
        <v/>
      </c>
      <c r="K1867" s="37">
        <f>TRIM(LEFT(Table3[[#This Row],[Group]],2))</f>
        <v/>
      </c>
      <c r="L1867" s="3" t="inlineStr">
        <is>
          <t>NON SALES</t>
        </is>
      </c>
    </row>
    <row r="1868">
      <c r="A1868" s="5" t="inlineStr">
        <is>
          <t>OP11929</t>
        </is>
      </c>
      <c r="B1868" s="6" t="inlineStr">
        <is>
          <t>F3 CELL</t>
        </is>
      </c>
      <c r="C1868" s="7" t="inlineStr">
        <is>
          <t>A - Agen</t>
        </is>
      </c>
      <c r="D1868" s="1" t="inlineStr">
        <is>
          <t>OP00002</t>
        </is>
      </c>
      <c r="E1868" s="8" t="n">
        <v>45384.50138888889</v>
      </c>
      <c r="F1868" s="7" t="inlineStr">
        <is>
          <t>AGEN</t>
        </is>
      </c>
      <c r="G1868" s="18" t="inlineStr">
        <is>
          <t>OP11929</t>
        </is>
      </c>
      <c r="H1868" s="19">
        <f>UPPER(Table3[[#This Row],[Agen id]]&amp;"-"&amp;VLOOKUP(Table3[[#This Row],[Agen id]],A:B,2,0)&amp;"("&amp;Table3[[#This Row],[Short]]&amp;")")</f>
        <v/>
      </c>
      <c r="J1868" s="7">
        <f>VLOOKUP(Table3[[#This Row],[Agen id]],Agen!A:C,3,0)</f>
        <v/>
      </c>
      <c r="K1868" s="37">
        <f>TRIM(LEFT(Table3[[#This Row],[Group]],2))</f>
        <v/>
      </c>
      <c r="L1868" s="3" t="inlineStr">
        <is>
          <t>NON SALES</t>
        </is>
      </c>
    </row>
    <row r="1869">
      <c r="A1869" s="5" t="inlineStr">
        <is>
          <t>OP11939</t>
        </is>
      </c>
      <c r="B1869" s="6" t="inlineStr">
        <is>
          <t>mird</t>
        </is>
      </c>
      <c r="C1869" s="7" t="inlineStr">
        <is>
          <t>AV - Agen Verified</t>
        </is>
      </c>
      <c r="D1869" s="1" t="inlineStr">
        <is>
          <t>OP11830</t>
        </is>
      </c>
      <c r="E1869" s="8" t="n">
        <v>45384.79583333333</v>
      </c>
      <c r="F1869" s="7" t="inlineStr">
        <is>
          <t>DOWNLINE</t>
        </is>
      </c>
      <c r="G1869" s="18" t="inlineStr">
        <is>
          <t>OP11830</t>
        </is>
      </c>
      <c r="H1869" s="19">
        <f>UPPER(Table3[[#This Row],[Agen id]]&amp;"-"&amp;VLOOKUP(Table3[[#This Row],[Agen id]],A:B,2,0)&amp;"("&amp;Table3[[#This Row],[Short]]&amp;")")</f>
        <v/>
      </c>
      <c r="J1869" s="7">
        <f>VLOOKUP(Table3[[#This Row],[Agen id]],Agen!A:C,3,0)</f>
        <v/>
      </c>
      <c r="K1869" s="37">
        <f>TRIM(LEFT(Table3[[#This Row],[Group]],2))</f>
        <v/>
      </c>
      <c r="L1869" s="3" t="inlineStr">
        <is>
          <t>NON SALES</t>
        </is>
      </c>
    </row>
    <row r="1870">
      <c r="A1870" s="5" t="inlineStr">
        <is>
          <t>OP11942</t>
        </is>
      </c>
      <c r="B1870" s="6" t="inlineStr">
        <is>
          <t>Zi cell 3</t>
        </is>
      </c>
      <c r="C1870" s="7" t="inlineStr">
        <is>
          <t>AV - Agen Verified</t>
        </is>
      </c>
      <c r="D1870" s="1" t="inlineStr">
        <is>
          <t>OP09339</t>
        </is>
      </c>
      <c r="E1870" s="8" t="n">
        <v>45385.02638888889</v>
      </c>
      <c r="F1870" s="7" t="inlineStr">
        <is>
          <t>DOWNLINE</t>
        </is>
      </c>
      <c r="G1870" s="18" t="inlineStr">
        <is>
          <t>OP09339</t>
        </is>
      </c>
      <c r="H1870" s="19">
        <f>UPPER(Table3[[#This Row],[Agen id]]&amp;"-"&amp;VLOOKUP(Table3[[#This Row],[Agen id]],A:B,2,0)&amp;"("&amp;Table3[[#This Row],[Short]]&amp;")")</f>
        <v/>
      </c>
      <c r="J1870" s="7">
        <f>VLOOKUP(Table3[[#This Row],[Agen id]],Agen!A:C,3,0)</f>
        <v/>
      </c>
      <c r="K1870" s="37">
        <f>TRIM(LEFT(Table3[[#This Row],[Group]],2))</f>
        <v/>
      </c>
      <c r="L1870" s="3" t="inlineStr">
        <is>
          <t>NON SALES</t>
        </is>
      </c>
    </row>
    <row r="1871">
      <c r="A1871" s="5" t="inlineStr">
        <is>
          <t>OP11969</t>
        </is>
      </c>
      <c r="B1871" s="6" t="inlineStr">
        <is>
          <t>Nafila cell</t>
        </is>
      </c>
      <c r="C1871" s="7" t="inlineStr">
        <is>
          <t>A - Agen</t>
        </is>
      </c>
      <c r="D1871" s="1" t="inlineStr">
        <is>
          <t>OP00002</t>
        </is>
      </c>
      <c r="E1871" s="8" t="n">
        <v>45385.63541666666</v>
      </c>
      <c r="F1871" s="7" t="inlineStr">
        <is>
          <t>AGEN</t>
        </is>
      </c>
      <c r="G1871" s="18" t="inlineStr">
        <is>
          <t>OP11969</t>
        </is>
      </c>
      <c r="H1871" s="19">
        <f>UPPER(Table3[[#This Row],[Agen id]]&amp;"-"&amp;VLOOKUP(Table3[[#This Row],[Agen id]],A:B,2,0)&amp;"("&amp;Table3[[#This Row],[Short]]&amp;")")</f>
        <v/>
      </c>
      <c r="J1871" s="7">
        <f>VLOOKUP(Table3[[#This Row],[Agen id]],Agen!A:C,3,0)</f>
        <v/>
      </c>
      <c r="K1871" s="37">
        <f>TRIM(LEFT(Table3[[#This Row],[Group]],2))</f>
        <v/>
      </c>
      <c r="L1871" s="3" t="inlineStr">
        <is>
          <t>NON SALES</t>
        </is>
      </c>
    </row>
    <row r="1872">
      <c r="A1872" s="5" t="inlineStr">
        <is>
          <t>OP11971</t>
        </is>
      </c>
      <c r="B1872" s="6" t="inlineStr">
        <is>
          <t>siti hasbiah</t>
        </is>
      </c>
      <c r="C1872" s="7" t="inlineStr">
        <is>
          <t>A - Agen</t>
        </is>
      </c>
      <c r="D1872" s="1" t="inlineStr">
        <is>
          <t>OP00120</t>
        </is>
      </c>
      <c r="E1872" s="8" t="n">
        <v>45385.79027777778</v>
      </c>
      <c r="F1872" s="7" t="inlineStr">
        <is>
          <t>DOWNLINE</t>
        </is>
      </c>
      <c r="G1872" s="18" t="inlineStr">
        <is>
          <t>OP00120</t>
        </is>
      </c>
      <c r="H1872" s="19">
        <f>UPPER(Table3[[#This Row],[Agen id]]&amp;"-"&amp;VLOOKUP(Table3[[#This Row],[Agen id]],A:B,2,0)&amp;"("&amp;Table3[[#This Row],[Short]]&amp;")")</f>
        <v/>
      </c>
      <c r="J1872" s="7">
        <f>VLOOKUP(Table3[[#This Row],[Agen id]],Agen!A:C,3,0)</f>
        <v/>
      </c>
      <c r="K1872" s="37">
        <f>TRIM(LEFT(Table3[[#This Row],[Group]],2))</f>
        <v/>
      </c>
      <c r="L1872" s="3" t="inlineStr">
        <is>
          <t>NON SALES</t>
        </is>
      </c>
    </row>
    <row r="1873">
      <c r="A1873" s="5" t="inlineStr">
        <is>
          <t>OP11978</t>
        </is>
      </c>
      <c r="B1873" s="6" t="inlineStr">
        <is>
          <t>Mekar.Cell</t>
        </is>
      </c>
      <c r="C1873" s="7" t="inlineStr">
        <is>
          <t>AV - Agen Verified</t>
        </is>
      </c>
      <c r="D1873" s="1" t="inlineStr">
        <is>
          <t>OP00002</t>
        </is>
      </c>
      <c r="E1873" s="8" t="n">
        <v>45386.41527777778</v>
      </c>
      <c r="F1873" s="7" t="inlineStr">
        <is>
          <t>AGEN</t>
        </is>
      </c>
      <c r="G1873" s="18" t="inlineStr">
        <is>
          <t>OP11978</t>
        </is>
      </c>
      <c r="H1873" s="19">
        <f>UPPER(Table3[[#This Row],[Agen id]]&amp;"-"&amp;VLOOKUP(Table3[[#This Row],[Agen id]],A:B,2,0)&amp;"("&amp;Table3[[#This Row],[Short]]&amp;")")</f>
        <v/>
      </c>
      <c r="J1873" s="7">
        <f>VLOOKUP(Table3[[#This Row],[Agen id]],Agen!A:C,3,0)</f>
        <v/>
      </c>
      <c r="K1873" s="37">
        <f>TRIM(LEFT(Table3[[#This Row],[Group]],2))</f>
        <v/>
      </c>
      <c r="L1873" s="3" t="inlineStr">
        <is>
          <t>NON SALES</t>
        </is>
      </c>
    </row>
    <row r="1874">
      <c r="A1874" s="5" t="inlineStr">
        <is>
          <t>OP11987</t>
        </is>
      </c>
      <c r="B1874" s="6" t="inlineStr">
        <is>
          <t>INTAN CELL</t>
        </is>
      </c>
      <c r="C1874" s="7" t="inlineStr">
        <is>
          <t>AV - Agen Verified</t>
        </is>
      </c>
      <c r="D1874" s="1" t="inlineStr">
        <is>
          <t>OP00036</t>
        </is>
      </c>
      <c r="E1874" s="8" t="n">
        <v>45386.67291666667</v>
      </c>
      <c r="F1874" s="7" t="inlineStr">
        <is>
          <t>DOWNLINE</t>
        </is>
      </c>
      <c r="G1874" s="18" t="inlineStr">
        <is>
          <t>OP00036</t>
        </is>
      </c>
      <c r="H1874" s="19">
        <f>UPPER(Table3[[#This Row],[Agen id]]&amp;"-"&amp;VLOOKUP(Table3[[#This Row],[Agen id]],A:B,2,0)&amp;"("&amp;Table3[[#This Row],[Short]]&amp;")")</f>
        <v/>
      </c>
      <c r="J1874" s="7">
        <f>VLOOKUP(Table3[[#This Row],[Agen id]],Agen!A:C,3,0)</f>
        <v/>
      </c>
      <c r="K1874" s="37">
        <f>TRIM(LEFT(Table3[[#This Row],[Group]],2))</f>
        <v/>
      </c>
      <c r="L1874" s="3" t="inlineStr">
        <is>
          <t>NON SALES</t>
        </is>
      </c>
    </row>
    <row r="1875">
      <c r="A1875" s="5" t="inlineStr">
        <is>
          <t>OP12005</t>
        </is>
      </c>
      <c r="B1875" s="6" t="inlineStr">
        <is>
          <t>Elkana</t>
        </is>
      </c>
      <c r="C1875" s="7" t="inlineStr">
        <is>
          <t>A - Agen</t>
        </is>
      </c>
      <c r="D1875" s="1" t="inlineStr">
        <is>
          <t>OP00049</t>
        </is>
      </c>
      <c r="E1875" s="8" t="n">
        <v>45387.68333333333</v>
      </c>
      <c r="F1875" s="7" t="inlineStr">
        <is>
          <t>DOWNLINE</t>
        </is>
      </c>
      <c r="G1875" s="18" t="inlineStr">
        <is>
          <t>OP00049</t>
        </is>
      </c>
      <c r="H1875" s="19">
        <f>UPPER(Table3[[#This Row],[Agen id]]&amp;"-"&amp;VLOOKUP(Table3[[#This Row],[Agen id]],A:B,2,0)&amp;"("&amp;Table3[[#This Row],[Short]]&amp;")")</f>
        <v/>
      </c>
      <c r="J1875" s="7">
        <f>VLOOKUP(Table3[[#This Row],[Agen id]],Agen!A:C,3,0)</f>
        <v/>
      </c>
      <c r="K1875" s="37">
        <f>TRIM(LEFT(Table3[[#This Row],[Group]],2))</f>
        <v/>
      </c>
      <c r="L1875" s="3" t="inlineStr">
        <is>
          <t>NON SALES</t>
        </is>
      </c>
    </row>
    <row r="1876">
      <c r="A1876" s="5" t="inlineStr">
        <is>
          <t>OP12014</t>
        </is>
      </c>
      <c r="B1876" s="6" t="inlineStr">
        <is>
          <t>TOKO SAHABAT</t>
        </is>
      </c>
      <c r="C1876" s="7" t="inlineStr">
        <is>
          <t>AT1 - Agen Tangerang</t>
        </is>
      </c>
      <c r="D1876" s="1" t="inlineStr">
        <is>
          <t>OP07683</t>
        </is>
      </c>
      <c r="E1876" s="8" t="n">
        <v>45387.81666666667</v>
      </c>
      <c r="F1876" s="7" t="inlineStr">
        <is>
          <t>AGEN</t>
        </is>
      </c>
      <c r="G1876" s="18" t="inlineStr">
        <is>
          <t>OP12014</t>
        </is>
      </c>
      <c r="H1876" s="19">
        <f>UPPER(Table3[[#This Row],[Agen id]]&amp;"-"&amp;VLOOKUP(Table3[[#This Row],[Agen id]],A:B,2,0)&amp;"("&amp;Table3[[#This Row],[Short]]&amp;")")</f>
        <v/>
      </c>
      <c r="J1876" s="7">
        <f>VLOOKUP(Table3[[#This Row],[Agen id]],Agen!A:C,3,0)</f>
        <v/>
      </c>
      <c r="K1876" s="37">
        <f>TRIM(LEFT(Table3[[#This Row],[Group]],2))</f>
        <v/>
      </c>
      <c r="L1876" s="3" t="inlineStr">
        <is>
          <t>NON SALES</t>
        </is>
      </c>
    </row>
    <row r="1877">
      <c r="A1877" s="5" t="inlineStr">
        <is>
          <t>OP12035</t>
        </is>
      </c>
      <c r="B1877" s="6" t="inlineStr">
        <is>
          <t>Siti Aisyah</t>
        </is>
      </c>
      <c r="C1877" s="7" t="inlineStr">
        <is>
          <t>A - Agen</t>
        </is>
      </c>
      <c r="D1877" s="1" t="inlineStr">
        <is>
          <t>OP00003</t>
        </is>
      </c>
      <c r="E1877" s="8" t="n">
        <v>45388.77013888889</v>
      </c>
      <c r="F1877" s="7" t="inlineStr">
        <is>
          <t>AGEN</t>
        </is>
      </c>
      <c r="G1877" s="18" t="inlineStr">
        <is>
          <t>OP12035</t>
        </is>
      </c>
      <c r="H1877" s="19">
        <f>UPPER(Table3[[#This Row],[Agen id]]&amp;"-"&amp;VLOOKUP(Table3[[#This Row],[Agen id]],A:B,2,0)&amp;"("&amp;Table3[[#This Row],[Short]]&amp;")")</f>
        <v/>
      </c>
      <c r="J1877" s="7">
        <f>VLOOKUP(Table3[[#This Row],[Agen id]],Agen!A:C,3,0)</f>
        <v/>
      </c>
      <c r="K1877" s="37">
        <f>TRIM(LEFT(Table3[[#This Row],[Group]],2))</f>
        <v/>
      </c>
      <c r="L1877" s="3" t="inlineStr">
        <is>
          <t>NON SALES</t>
        </is>
      </c>
    </row>
    <row r="1878">
      <c r="A1878" s="5" t="inlineStr">
        <is>
          <t>OP12041</t>
        </is>
      </c>
      <c r="B1878" s="6" t="inlineStr">
        <is>
          <t>Nanda</t>
        </is>
      </c>
      <c r="C1878" s="7" t="inlineStr">
        <is>
          <t>A - Agen</t>
        </is>
      </c>
      <c r="D1878" s="1" t="inlineStr">
        <is>
          <t>OP00002</t>
        </is>
      </c>
      <c r="E1878" s="8" t="n">
        <v>45389.16805555556</v>
      </c>
      <c r="F1878" s="7" t="inlineStr">
        <is>
          <t>AGEN</t>
        </is>
      </c>
      <c r="G1878" s="18" t="inlineStr">
        <is>
          <t>OP12041</t>
        </is>
      </c>
      <c r="H1878" s="19">
        <f>UPPER(Table3[[#This Row],[Agen id]]&amp;"-"&amp;VLOOKUP(Table3[[#This Row],[Agen id]],A:B,2,0)&amp;"("&amp;Table3[[#This Row],[Short]]&amp;")")</f>
        <v/>
      </c>
      <c r="J1878" s="7">
        <f>VLOOKUP(Table3[[#This Row],[Agen id]],Agen!A:C,3,0)</f>
        <v/>
      </c>
      <c r="K1878" s="37">
        <f>TRIM(LEFT(Table3[[#This Row],[Group]],2))</f>
        <v/>
      </c>
      <c r="L1878" s="3" t="inlineStr">
        <is>
          <t>NON SALES</t>
        </is>
      </c>
    </row>
    <row r="1879">
      <c r="A1879" s="5" t="inlineStr">
        <is>
          <t>OP12048</t>
        </is>
      </c>
      <c r="B1879" s="6" t="inlineStr">
        <is>
          <t>Keyla Cell</t>
        </is>
      </c>
      <c r="C1879" s="7" t="inlineStr">
        <is>
          <t>AV - Agen Verified</t>
        </is>
      </c>
      <c r="D1879" s="1" t="inlineStr">
        <is>
          <t>OP00002</t>
        </is>
      </c>
      <c r="E1879" s="8" t="n">
        <v>45389.53125</v>
      </c>
      <c r="F1879" s="7" t="inlineStr">
        <is>
          <t>AGEN</t>
        </is>
      </c>
      <c r="G1879" s="18" t="inlineStr">
        <is>
          <t>OP12048</t>
        </is>
      </c>
      <c r="H1879" s="19">
        <f>UPPER(Table3[[#This Row],[Agen id]]&amp;"-"&amp;VLOOKUP(Table3[[#This Row],[Agen id]],A:B,2,0)&amp;"("&amp;Table3[[#This Row],[Short]]&amp;")")</f>
        <v/>
      </c>
      <c r="J1879" s="7">
        <f>VLOOKUP(Table3[[#This Row],[Agen id]],Agen!A:C,3,0)</f>
        <v/>
      </c>
      <c r="K1879" s="37">
        <f>TRIM(LEFT(Table3[[#This Row],[Group]],2))</f>
        <v/>
      </c>
      <c r="L1879" s="3" t="inlineStr">
        <is>
          <t>NON SALES</t>
        </is>
      </c>
    </row>
    <row r="1880">
      <c r="A1880" s="5" t="inlineStr">
        <is>
          <t>OP12049</t>
        </is>
      </c>
      <c r="B1880" s="6" t="inlineStr">
        <is>
          <t>Ade</t>
        </is>
      </c>
      <c r="C1880" s="7" t="inlineStr">
        <is>
          <t>AV - Agen Verified</t>
        </is>
      </c>
      <c r="D1880" s="1" t="inlineStr">
        <is>
          <t>OP00002</t>
        </is>
      </c>
      <c r="E1880" s="8" t="n">
        <v>45389.56111111111</v>
      </c>
      <c r="F1880" s="7" t="inlineStr">
        <is>
          <t>AGEN</t>
        </is>
      </c>
      <c r="G1880" s="18" t="inlineStr">
        <is>
          <t>OP12049</t>
        </is>
      </c>
      <c r="H1880" s="19">
        <f>UPPER(Table3[[#This Row],[Agen id]]&amp;"-"&amp;VLOOKUP(Table3[[#This Row],[Agen id]],A:B,2,0)&amp;"("&amp;Table3[[#This Row],[Short]]&amp;")")</f>
        <v/>
      </c>
      <c r="J1880" s="7">
        <f>VLOOKUP(Table3[[#This Row],[Agen id]],Agen!A:C,3,0)</f>
        <v/>
      </c>
      <c r="K1880" s="37">
        <f>TRIM(LEFT(Table3[[#This Row],[Group]],2))</f>
        <v/>
      </c>
      <c r="L1880" s="3" t="inlineStr">
        <is>
          <t>NON SALES</t>
        </is>
      </c>
    </row>
    <row r="1881">
      <c r="A1881" s="5" t="inlineStr">
        <is>
          <t>OP12050</t>
        </is>
      </c>
      <c r="B1881" s="6" t="inlineStr">
        <is>
          <t>Aryan8 cell</t>
        </is>
      </c>
      <c r="C1881" s="7" t="inlineStr">
        <is>
          <t>AV - Agen Verified</t>
        </is>
      </c>
      <c r="D1881" s="1" t="inlineStr">
        <is>
          <t>OP00002</t>
        </is>
      </c>
      <c r="E1881" s="8" t="n">
        <v>45389.56597222222</v>
      </c>
      <c r="F1881" s="7" t="inlineStr">
        <is>
          <t>AGEN</t>
        </is>
      </c>
      <c r="G1881" s="18" t="inlineStr">
        <is>
          <t>OP12050</t>
        </is>
      </c>
      <c r="H1881" s="19">
        <f>UPPER(Table3[[#This Row],[Agen id]]&amp;"-"&amp;VLOOKUP(Table3[[#This Row],[Agen id]],A:B,2,0)&amp;"("&amp;Table3[[#This Row],[Short]]&amp;")")</f>
        <v/>
      </c>
      <c r="J1881" s="7">
        <f>VLOOKUP(Table3[[#This Row],[Agen id]],Agen!A:C,3,0)</f>
        <v/>
      </c>
      <c r="K1881" s="37">
        <f>TRIM(LEFT(Table3[[#This Row],[Group]],2))</f>
        <v/>
      </c>
      <c r="L1881" s="3" t="inlineStr">
        <is>
          <t>NON SALES</t>
        </is>
      </c>
    </row>
    <row r="1882">
      <c r="A1882" s="5" t="inlineStr">
        <is>
          <t>OP12062</t>
        </is>
      </c>
      <c r="B1882" s="6" t="inlineStr">
        <is>
          <t>Eka Bubane</t>
        </is>
      </c>
      <c r="C1882" s="7" t="inlineStr">
        <is>
          <t>AV - Agen Verified</t>
        </is>
      </c>
      <c r="D1882" s="1" t="inlineStr">
        <is>
          <t>OP03230</t>
        </is>
      </c>
      <c r="E1882" s="8" t="n">
        <v>45390.55416666667</v>
      </c>
      <c r="F1882" s="7" t="inlineStr">
        <is>
          <t>DOWNLINE</t>
        </is>
      </c>
      <c r="G1882" s="18" t="inlineStr">
        <is>
          <t>OP03230</t>
        </is>
      </c>
      <c r="H1882" s="19">
        <f>UPPER(Table3[[#This Row],[Agen id]]&amp;"-"&amp;VLOOKUP(Table3[[#This Row],[Agen id]],A:B,2,0)&amp;"("&amp;Table3[[#This Row],[Short]]&amp;")")</f>
        <v/>
      </c>
      <c r="J1882" s="7">
        <f>VLOOKUP(Table3[[#This Row],[Agen id]],Agen!A:C,3,0)</f>
        <v/>
      </c>
      <c r="K1882" s="37">
        <f>TRIM(LEFT(Table3[[#This Row],[Group]],2))</f>
        <v/>
      </c>
      <c r="L1882" s="3" t="inlineStr">
        <is>
          <t>NON SALES</t>
        </is>
      </c>
    </row>
    <row r="1883">
      <c r="A1883" s="5" t="inlineStr">
        <is>
          <t>OP12088</t>
        </is>
      </c>
      <c r="B1883" s="6" t="inlineStr">
        <is>
          <t>NIKO SETIAWAN</t>
        </is>
      </c>
      <c r="C1883" s="7" t="inlineStr">
        <is>
          <t>AV - Agen Verified</t>
        </is>
      </c>
      <c r="D1883" s="1" t="inlineStr">
        <is>
          <t>OP00002</t>
        </is>
      </c>
      <c r="E1883" s="8" t="n">
        <v>45391.61805555555</v>
      </c>
      <c r="F1883" s="7" t="inlineStr">
        <is>
          <t>AGEN</t>
        </is>
      </c>
      <c r="G1883" s="18" t="inlineStr">
        <is>
          <t>OP12088</t>
        </is>
      </c>
      <c r="H1883" s="19">
        <f>UPPER(Table3[[#This Row],[Agen id]]&amp;"-"&amp;VLOOKUP(Table3[[#This Row],[Agen id]],A:B,2,0)&amp;"("&amp;Table3[[#This Row],[Short]]&amp;")")</f>
        <v/>
      </c>
      <c r="J1883" s="7">
        <f>VLOOKUP(Table3[[#This Row],[Agen id]],Agen!A:C,3,0)</f>
        <v/>
      </c>
      <c r="K1883" s="37">
        <f>TRIM(LEFT(Table3[[#This Row],[Group]],2))</f>
        <v/>
      </c>
      <c r="L1883" s="3" t="inlineStr">
        <is>
          <t>NON SALES</t>
        </is>
      </c>
    </row>
    <row r="1884">
      <c r="A1884" s="5" t="inlineStr">
        <is>
          <t>OP12089</t>
        </is>
      </c>
      <c r="B1884" s="6" t="inlineStr">
        <is>
          <t>YULINAIMUNI</t>
        </is>
      </c>
      <c r="C1884" s="7" t="inlineStr">
        <is>
          <t>A - Agen</t>
        </is>
      </c>
      <c r="D1884" s="1" t="inlineStr">
        <is>
          <t>OP00002</t>
        </is>
      </c>
      <c r="E1884" s="8" t="n">
        <v>45391.69722222222</v>
      </c>
      <c r="F1884" s="7" t="inlineStr">
        <is>
          <t>AGEN</t>
        </is>
      </c>
      <c r="G1884" s="18" t="inlineStr">
        <is>
          <t>OP12089</t>
        </is>
      </c>
      <c r="H1884" s="19">
        <f>UPPER(Table3[[#This Row],[Agen id]]&amp;"-"&amp;VLOOKUP(Table3[[#This Row],[Agen id]],A:B,2,0)&amp;"("&amp;Table3[[#This Row],[Short]]&amp;")")</f>
        <v/>
      </c>
      <c r="J1884" s="7">
        <f>VLOOKUP(Table3[[#This Row],[Agen id]],Agen!A:C,3,0)</f>
        <v/>
      </c>
      <c r="K1884" s="37">
        <f>TRIM(LEFT(Table3[[#This Row],[Group]],2))</f>
        <v/>
      </c>
      <c r="L1884" s="3" t="inlineStr">
        <is>
          <t>NON SALES</t>
        </is>
      </c>
    </row>
    <row r="1885">
      <c r="A1885" s="5" t="inlineStr">
        <is>
          <t>OP12101</t>
        </is>
      </c>
      <c r="B1885" s="6" t="inlineStr">
        <is>
          <t>Restu</t>
        </is>
      </c>
      <c r="C1885" s="7" t="inlineStr">
        <is>
          <t>AB1 - Agen Kab Bogor</t>
        </is>
      </c>
      <c r="D1885" s="1" t="inlineStr">
        <is>
          <t>OP00002</t>
        </is>
      </c>
      <c r="E1885" s="8" t="n">
        <v>45392.46736111111</v>
      </c>
      <c r="F1885" s="7" t="inlineStr">
        <is>
          <t>AGEN</t>
        </is>
      </c>
      <c r="G1885" s="18" t="inlineStr">
        <is>
          <t>OP12101</t>
        </is>
      </c>
      <c r="H1885" s="19">
        <f>UPPER(Table3[[#This Row],[Agen id]]&amp;"-"&amp;VLOOKUP(Table3[[#This Row],[Agen id]],A:B,2,0)&amp;"("&amp;Table3[[#This Row],[Short]]&amp;")")</f>
        <v/>
      </c>
      <c r="J1885" s="7">
        <f>VLOOKUP(Table3[[#This Row],[Agen id]],Agen!A:C,3,0)</f>
        <v/>
      </c>
      <c r="K1885" s="37">
        <f>TRIM(LEFT(Table3[[#This Row],[Group]],2))</f>
        <v/>
      </c>
      <c r="L1885" s="3" t="inlineStr">
        <is>
          <t>NON SALES</t>
        </is>
      </c>
    </row>
    <row r="1886">
      <c r="A1886" s="5" t="inlineStr">
        <is>
          <t>OP12106</t>
        </is>
      </c>
      <c r="B1886" s="6" t="inlineStr">
        <is>
          <t>Siolis Cell</t>
        </is>
      </c>
      <c r="C1886" s="7" t="inlineStr">
        <is>
          <t>AV - Agen Verified</t>
        </is>
      </c>
      <c r="D1886" s="1" t="inlineStr">
        <is>
          <t>OP00002</t>
        </is>
      </c>
      <c r="E1886" s="8" t="n">
        <v>45392.69930555556</v>
      </c>
      <c r="F1886" s="7" t="inlineStr">
        <is>
          <t>AGEN</t>
        </is>
      </c>
      <c r="G1886" s="18" t="inlineStr">
        <is>
          <t>OP12106</t>
        </is>
      </c>
      <c r="H1886" s="19">
        <f>UPPER(Table3[[#This Row],[Agen id]]&amp;"-"&amp;VLOOKUP(Table3[[#This Row],[Agen id]],A:B,2,0)&amp;"("&amp;Table3[[#This Row],[Short]]&amp;")")</f>
        <v/>
      </c>
      <c r="J1886" s="7">
        <f>VLOOKUP(Table3[[#This Row],[Agen id]],Agen!A:C,3,0)</f>
        <v/>
      </c>
      <c r="K1886" s="37">
        <f>TRIM(LEFT(Table3[[#This Row],[Group]],2))</f>
        <v/>
      </c>
      <c r="L1886" s="3" t="inlineStr">
        <is>
          <t>NON SALES</t>
        </is>
      </c>
    </row>
    <row r="1887">
      <c r="A1887" s="5" t="inlineStr">
        <is>
          <t>OP12112</t>
        </is>
      </c>
      <c r="B1887" s="6" t="inlineStr">
        <is>
          <t>Adi septiansah</t>
        </is>
      </c>
      <c r="C1887" s="7" t="inlineStr">
        <is>
          <t>A - Agen</t>
        </is>
      </c>
      <c r="D1887" s="1" t="inlineStr">
        <is>
          <t>OP00002</t>
        </is>
      </c>
      <c r="E1887" s="8" t="n">
        <v>45392.85347222222</v>
      </c>
      <c r="F1887" s="7" t="inlineStr">
        <is>
          <t>AGEN</t>
        </is>
      </c>
      <c r="G1887" s="18" t="inlineStr">
        <is>
          <t>OP12112</t>
        </is>
      </c>
      <c r="H1887" s="19">
        <f>UPPER(Table3[[#This Row],[Agen id]]&amp;"-"&amp;VLOOKUP(Table3[[#This Row],[Agen id]],A:B,2,0)&amp;"("&amp;Table3[[#This Row],[Short]]&amp;")")</f>
        <v/>
      </c>
      <c r="J1887" s="7">
        <f>VLOOKUP(Table3[[#This Row],[Agen id]],Agen!A:C,3,0)</f>
        <v/>
      </c>
      <c r="K1887" s="37">
        <f>TRIM(LEFT(Table3[[#This Row],[Group]],2))</f>
        <v/>
      </c>
      <c r="L1887" s="3" t="inlineStr">
        <is>
          <t>NON SALES</t>
        </is>
      </c>
    </row>
    <row r="1888">
      <c r="A1888" s="5" t="inlineStr">
        <is>
          <t>OP12147</t>
        </is>
      </c>
      <c r="B1888" s="6" t="inlineStr">
        <is>
          <t>NIKEN DAMAYANTI</t>
        </is>
      </c>
      <c r="C1888" s="7" t="inlineStr">
        <is>
          <t>A - Agen</t>
        </is>
      </c>
      <c r="D1888" s="1" t="inlineStr">
        <is>
          <t>OP00002</t>
        </is>
      </c>
      <c r="E1888" s="8" t="n">
        <v>45394.55</v>
      </c>
      <c r="F1888" s="7" t="inlineStr">
        <is>
          <t>AGEN</t>
        </is>
      </c>
      <c r="G1888" s="18" t="inlineStr">
        <is>
          <t>OP12147</t>
        </is>
      </c>
      <c r="H1888" s="19">
        <f>UPPER(Table3[[#This Row],[Agen id]]&amp;"-"&amp;VLOOKUP(Table3[[#This Row],[Agen id]],A:B,2,0)&amp;"("&amp;Table3[[#This Row],[Short]]&amp;")")</f>
        <v/>
      </c>
      <c r="J1888" s="7">
        <f>VLOOKUP(Table3[[#This Row],[Agen id]],Agen!A:C,3,0)</f>
        <v/>
      </c>
      <c r="K1888" s="37">
        <f>TRIM(LEFT(Table3[[#This Row],[Group]],2))</f>
        <v/>
      </c>
      <c r="L1888" s="3" t="inlineStr">
        <is>
          <t>NON SALES</t>
        </is>
      </c>
    </row>
    <row r="1889">
      <c r="A1889" s="5" t="inlineStr">
        <is>
          <t>OP12205</t>
        </is>
      </c>
      <c r="B1889" s="6" t="inlineStr">
        <is>
          <t>Haikal</t>
        </is>
      </c>
      <c r="C1889" s="7" t="inlineStr">
        <is>
          <t>AV - Agen Verified</t>
        </is>
      </c>
      <c r="D1889" s="1" t="inlineStr">
        <is>
          <t>OP03010</t>
        </is>
      </c>
      <c r="E1889" s="8" t="n">
        <v>45396.96527777778</v>
      </c>
      <c r="F1889" s="7" t="inlineStr">
        <is>
          <t>DOWNLINE</t>
        </is>
      </c>
      <c r="G1889" s="18" t="inlineStr">
        <is>
          <t>OP03010</t>
        </is>
      </c>
      <c r="H1889" s="19">
        <f>UPPER(Table3[[#This Row],[Agen id]]&amp;"-"&amp;VLOOKUP(Table3[[#This Row],[Agen id]],A:B,2,0)&amp;"("&amp;Table3[[#This Row],[Short]]&amp;")")</f>
        <v/>
      </c>
      <c r="J1889" s="7">
        <f>VLOOKUP(Table3[[#This Row],[Agen id]],Agen!A:C,3,0)</f>
        <v/>
      </c>
      <c r="K1889" s="37">
        <f>TRIM(LEFT(Table3[[#This Row],[Group]],2))</f>
        <v/>
      </c>
      <c r="L1889" s="3" t="inlineStr">
        <is>
          <t>NON SALES</t>
        </is>
      </c>
    </row>
    <row r="1890">
      <c r="A1890" s="5" t="inlineStr">
        <is>
          <t>OP12218</t>
        </is>
      </c>
      <c r="B1890" s="6" t="inlineStr">
        <is>
          <t>DedenCell</t>
        </is>
      </c>
      <c r="C1890" s="7" t="inlineStr">
        <is>
          <t>A - Agen</t>
        </is>
      </c>
      <c r="D1890" s="1" t="inlineStr">
        <is>
          <t>OP00003</t>
        </is>
      </c>
      <c r="E1890" s="8" t="n">
        <v>45397.48958333334</v>
      </c>
      <c r="F1890" s="7" t="inlineStr">
        <is>
          <t>AGEN</t>
        </is>
      </c>
      <c r="G1890" s="18" t="inlineStr">
        <is>
          <t>OP12218</t>
        </is>
      </c>
      <c r="H1890" s="19">
        <f>UPPER(Table3[[#This Row],[Agen id]]&amp;"-"&amp;VLOOKUP(Table3[[#This Row],[Agen id]],A:B,2,0)&amp;"("&amp;Table3[[#This Row],[Short]]&amp;")")</f>
        <v/>
      </c>
      <c r="J1890" s="7">
        <f>VLOOKUP(Table3[[#This Row],[Agen id]],Agen!A:C,3,0)</f>
        <v/>
      </c>
      <c r="K1890" s="37">
        <f>TRIM(LEFT(Table3[[#This Row],[Group]],2))</f>
        <v/>
      </c>
      <c r="L1890" s="3" t="inlineStr">
        <is>
          <t>NON SALES</t>
        </is>
      </c>
    </row>
    <row r="1891">
      <c r="A1891" s="5" t="inlineStr">
        <is>
          <t>OP12220</t>
        </is>
      </c>
      <c r="B1891" s="6" t="inlineStr">
        <is>
          <t>RAHMAH SELULER</t>
        </is>
      </c>
      <c r="C1891" s="7" t="inlineStr">
        <is>
          <t>A - Agen</t>
        </is>
      </c>
      <c r="D1891" s="1" t="inlineStr">
        <is>
          <t>OP08075</t>
        </is>
      </c>
      <c r="E1891" s="8" t="n">
        <v>45397.61180555556</v>
      </c>
      <c r="F1891" s="7" t="inlineStr">
        <is>
          <t>DOWNLINE</t>
        </is>
      </c>
      <c r="G1891" s="18" t="inlineStr">
        <is>
          <t>OP08075</t>
        </is>
      </c>
      <c r="H1891" s="19">
        <f>UPPER(Table3[[#This Row],[Agen id]]&amp;"-"&amp;VLOOKUP(Table3[[#This Row],[Agen id]],A:B,2,0)&amp;"("&amp;Table3[[#This Row],[Short]]&amp;")")</f>
        <v/>
      </c>
      <c r="J1891" s="7">
        <f>VLOOKUP(Table3[[#This Row],[Agen id]],Agen!A:C,3,0)</f>
        <v/>
      </c>
      <c r="K1891" s="37">
        <f>TRIM(LEFT(Table3[[#This Row],[Group]],2))</f>
        <v/>
      </c>
      <c r="L1891" s="3" t="inlineStr">
        <is>
          <t>NON SALES</t>
        </is>
      </c>
    </row>
    <row r="1892">
      <c r="A1892" s="5" t="inlineStr">
        <is>
          <t>OP12236</t>
        </is>
      </c>
      <c r="B1892" s="6" t="inlineStr">
        <is>
          <t>nyawiji cellular</t>
        </is>
      </c>
      <c r="C1892" s="7" t="inlineStr">
        <is>
          <t>AV - Agen Verified</t>
        </is>
      </c>
      <c r="D1892" s="1" t="inlineStr">
        <is>
          <t>OP00002</t>
        </is>
      </c>
      <c r="E1892" s="8" t="n">
        <v>45398.03888888889</v>
      </c>
      <c r="F1892" s="7" t="inlineStr">
        <is>
          <t>AGEN</t>
        </is>
      </c>
      <c r="G1892" s="18" t="inlineStr">
        <is>
          <t>OP12236</t>
        </is>
      </c>
      <c r="H1892" s="19">
        <f>UPPER(Table3[[#This Row],[Agen id]]&amp;"-"&amp;VLOOKUP(Table3[[#This Row],[Agen id]],A:B,2,0)&amp;"("&amp;Table3[[#This Row],[Short]]&amp;")")</f>
        <v/>
      </c>
      <c r="J1892" s="7">
        <f>VLOOKUP(Table3[[#This Row],[Agen id]],Agen!A:C,3,0)</f>
        <v/>
      </c>
      <c r="K1892" s="37">
        <f>TRIM(LEFT(Table3[[#This Row],[Group]],2))</f>
        <v/>
      </c>
      <c r="L1892" s="3" t="inlineStr">
        <is>
          <t>NON SALES</t>
        </is>
      </c>
    </row>
    <row r="1893">
      <c r="A1893" s="5" t="inlineStr">
        <is>
          <t>OP12259</t>
        </is>
      </c>
      <c r="B1893" s="6" t="inlineStr">
        <is>
          <t>Suni Manik</t>
        </is>
      </c>
      <c r="C1893" s="7" t="inlineStr">
        <is>
          <t>AV - Agen Verified</t>
        </is>
      </c>
      <c r="D1893" s="1" t="inlineStr">
        <is>
          <t>OP00002</t>
        </is>
      </c>
      <c r="E1893" s="8" t="n">
        <v>45398.90625</v>
      </c>
      <c r="F1893" s="7" t="inlineStr">
        <is>
          <t>AGEN</t>
        </is>
      </c>
      <c r="G1893" s="18" t="inlineStr">
        <is>
          <t>OP12259</t>
        </is>
      </c>
      <c r="H1893" s="19">
        <f>UPPER(Table3[[#This Row],[Agen id]]&amp;"-"&amp;VLOOKUP(Table3[[#This Row],[Agen id]],A:B,2,0)&amp;"("&amp;Table3[[#This Row],[Short]]&amp;")")</f>
        <v/>
      </c>
      <c r="J1893" s="7">
        <f>VLOOKUP(Table3[[#This Row],[Agen id]],Agen!A:C,3,0)</f>
        <v/>
      </c>
      <c r="K1893" s="37">
        <f>TRIM(LEFT(Table3[[#This Row],[Group]],2))</f>
        <v/>
      </c>
      <c r="L1893" s="3" t="inlineStr">
        <is>
          <t>NON SALES</t>
        </is>
      </c>
    </row>
    <row r="1894">
      <c r="A1894" s="5" t="inlineStr">
        <is>
          <t>OP12270</t>
        </is>
      </c>
      <c r="B1894" s="6" t="inlineStr">
        <is>
          <t>Amelia</t>
        </is>
      </c>
      <c r="C1894" s="7" t="inlineStr">
        <is>
          <t>A - Agen</t>
        </is>
      </c>
      <c r="D1894" s="1" t="inlineStr">
        <is>
          <t>OP00003</t>
        </is>
      </c>
      <c r="E1894" s="8" t="n">
        <v>45399.54375</v>
      </c>
      <c r="F1894" s="7" t="inlineStr">
        <is>
          <t>AGEN</t>
        </is>
      </c>
      <c r="G1894" s="18" t="inlineStr">
        <is>
          <t>OP12270</t>
        </is>
      </c>
      <c r="H1894" s="19">
        <f>UPPER(Table3[[#This Row],[Agen id]]&amp;"-"&amp;VLOOKUP(Table3[[#This Row],[Agen id]],A:B,2,0)&amp;"("&amp;Table3[[#This Row],[Short]]&amp;")")</f>
        <v/>
      </c>
      <c r="J1894" s="7">
        <f>VLOOKUP(Table3[[#This Row],[Agen id]],Agen!A:C,3,0)</f>
        <v/>
      </c>
      <c r="K1894" s="37">
        <f>TRIM(LEFT(Table3[[#This Row],[Group]],2))</f>
        <v/>
      </c>
      <c r="L1894" s="3" t="inlineStr">
        <is>
          <t>NON SALES</t>
        </is>
      </c>
    </row>
    <row r="1895">
      <c r="A1895" s="5" t="inlineStr">
        <is>
          <t>OP12283</t>
        </is>
      </c>
      <c r="B1895" s="6" t="inlineStr">
        <is>
          <t>adhy cell</t>
        </is>
      </c>
      <c r="C1895" s="7" t="inlineStr">
        <is>
          <t>AV - Agen Verified</t>
        </is>
      </c>
      <c r="D1895" s="1" t="inlineStr">
        <is>
          <t>OP03215</t>
        </is>
      </c>
      <c r="E1895" s="8" t="n">
        <v>45399.96666666667</v>
      </c>
      <c r="F1895" s="7" t="inlineStr">
        <is>
          <t>DOWNLINE</t>
        </is>
      </c>
      <c r="G1895" s="18" t="inlineStr">
        <is>
          <t>OP03179</t>
        </is>
      </c>
      <c r="H1895" s="19">
        <f>UPPER(Table3[[#This Row],[Agen id]]&amp;"-"&amp;VLOOKUP(Table3[[#This Row],[Agen id]],A:B,2,0)&amp;"("&amp;Table3[[#This Row],[Short]]&amp;")")</f>
        <v/>
      </c>
      <c r="J1895" s="7">
        <f>VLOOKUP(Table3[[#This Row],[Agen id]],Agen!A:C,3,0)</f>
        <v/>
      </c>
      <c r="K1895" s="37">
        <f>TRIM(LEFT(Table3[[#This Row],[Group]],2))</f>
        <v/>
      </c>
      <c r="L1895" s="3" t="inlineStr">
        <is>
          <t>NON SALES</t>
        </is>
      </c>
    </row>
    <row r="1896">
      <c r="A1896" s="5" t="inlineStr">
        <is>
          <t>OP12293</t>
        </is>
      </c>
      <c r="B1896" s="6" t="inlineStr">
        <is>
          <t>Dadan</t>
        </is>
      </c>
      <c r="C1896" s="7" t="inlineStr">
        <is>
          <t>A - Agen</t>
        </is>
      </c>
      <c r="D1896" s="1" t="inlineStr">
        <is>
          <t>OP00002</t>
        </is>
      </c>
      <c r="E1896" s="8" t="n">
        <v>45400.48680555556</v>
      </c>
      <c r="F1896" s="7" t="inlineStr">
        <is>
          <t>AGEN</t>
        </is>
      </c>
      <c r="G1896" s="18" t="inlineStr">
        <is>
          <t>OP12293</t>
        </is>
      </c>
      <c r="H1896" s="19">
        <f>UPPER(Table3[[#This Row],[Agen id]]&amp;"-"&amp;VLOOKUP(Table3[[#This Row],[Agen id]],A:B,2,0)&amp;"("&amp;Table3[[#This Row],[Short]]&amp;")")</f>
        <v/>
      </c>
      <c r="J1896" s="7">
        <f>VLOOKUP(Table3[[#This Row],[Agen id]],Agen!A:C,3,0)</f>
        <v/>
      </c>
      <c r="K1896" s="37">
        <f>TRIM(LEFT(Table3[[#This Row],[Group]],2))</f>
        <v/>
      </c>
      <c r="L1896" s="3" t="inlineStr">
        <is>
          <t>NON SALES</t>
        </is>
      </c>
    </row>
    <row r="1897">
      <c r="A1897" s="5" t="inlineStr">
        <is>
          <t>OP12299</t>
        </is>
      </c>
      <c r="B1897" s="6" t="inlineStr">
        <is>
          <t>Maria Karolina lollo</t>
        </is>
      </c>
      <c r="C1897" s="7" t="inlineStr">
        <is>
          <t>AV - Agen Verified</t>
        </is>
      </c>
      <c r="D1897" s="1" t="inlineStr">
        <is>
          <t>OP02233</t>
        </is>
      </c>
      <c r="E1897" s="8" t="n">
        <v>45400.76319444444</v>
      </c>
      <c r="F1897" s="7" t="inlineStr">
        <is>
          <t>DOWNLINE</t>
        </is>
      </c>
      <c r="G1897" s="18" t="inlineStr">
        <is>
          <t>OP02233</t>
        </is>
      </c>
      <c r="H1897" s="19">
        <f>UPPER(Table3[[#This Row],[Agen id]]&amp;"-"&amp;VLOOKUP(Table3[[#This Row],[Agen id]],A:B,2,0)&amp;"("&amp;Table3[[#This Row],[Short]]&amp;")")</f>
        <v/>
      </c>
      <c r="J1897" s="7">
        <f>VLOOKUP(Table3[[#This Row],[Agen id]],Agen!A:C,3,0)</f>
        <v/>
      </c>
      <c r="K1897" s="37">
        <f>TRIM(LEFT(Table3[[#This Row],[Group]],2))</f>
        <v/>
      </c>
      <c r="L1897" s="3" t="inlineStr">
        <is>
          <t>NON SALES</t>
        </is>
      </c>
    </row>
    <row r="1898">
      <c r="A1898" s="5" t="inlineStr">
        <is>
          <t>OP12318</t>
        </is>
      </c>
      <c r="B1898" s="6" t="inlineStr">
        <is>
          <t>Ahmad jejen</t>
        </is>
      </c>
      <c r="C1898" s="7" t="inlineStr">
        <is>
          <t>A - Agen</t>
        </is>
      </c>
      <c r="D1898" s="1" t="inlineStr">
        <is>
          <t>OP00002</t>
        </is>
      </c>
      <c r="E1898" s="8" t="n">
        <v>45401.92083333333</v>
      </c>
      <c r="F1898" s="7" t="inlineStr">
        <is>
          <t>AGEN</t>
        </is>
      </c>
      <c r="G1898" s="18" t="inlineStr">
        <is>
          <t>OP12318</t>
        </is>
      </c>
      <c r="H1898" s="19">
        <f>UPPER(Table3[[#This Row],[Agen id]]&amp;"-"&amp;VLOOKUP(Table3[[#This Row],[Agen id]],A:B,2,0)&amp;"("&amp;Table3[[#This Row],[Short]]&amp;")")</f>
        <v/>
      </c>
      <c r="J1898" s="7">
        <f>VLOOKUP(Table3[[#This Row],[Agen id]],Agen!A:C,3,0)</f>
        <v/>
      </c>
      <c r="K1898" s="37">
        <f>TRIM(LEFT(Table3[[#This Row],[Group]],2))</f>
        <v/>
      </c>
      <c r="L1898" s="3" t="inlineStr">
        <is>
          <t>NON SALES</t>
        </is>
      </c>
    </row>
    <row r="1899">
      <c r="A1899" s="5" t="inlineStr">
        <is>
          <t>OP12329</t>
        </is>
      </c>
      <c r="B1899" s="6" t="inlineStr">
        <is>
          <t>Zayma cell</t>
        </is>
      </c>
      <c r="C1899" s="7" t="inlineStr">
        <is>
          <t>AV - Agen Verified</t>
        </is>
      </c>
      <c r="D1899" s="1" t="inlineStr">
        <is>
          <t>OP00002</t>
        </is>
      </c>
      <c r="E1899" s="8" t="n">
        <v>45402.64375</v>
      </c>
      <c r="F1899" s="7" t="inlineStr">
        <is>
          <t>AGEN</t>
        </is>
      </c>
      <c r="G1899" s="18" t="inlineStr">
        <is>
          <t>OP12329</t>
        </is>
      </c>
      <c r="H1899" s="19">
        <f>UPPER(Table3[[#This Row],[Agen id]]&amp;"-"&amp;VLOOKUP(Table3[[#This Row],[Agen id]],A:B,2,0)&amp;"("&amp;Table3[[#This Row],[Short]]&amp;")")</f>
        <v/>
      </c>
      <c r="J1899" s="7">
        <f>VLOOKUP(Table3[[#This Row],[Agen id]],Agen!A:C,3,0)</f>
        <v/>
      </c>
      <c r="K1899" s="37">
        <f>TRIM(LEFT(Table3[[#This Row],[Group]],2))</f>
        <v/>
      </c>
      <c r="L1899" s="3" t="inlineStr">
        <is>
          <t>NON SALES</t>
        </is>
      </c>
    </row>
    <row r="1900">
      <c r="A1900" s="5" t="inlineStr">
        <is>
          <t>OP12346</t>
        </is>
      </c>
      <c r="B1900" s="6" t="inlineStr">
        <is>
          <t>Bandi</t>
        </is>
      </c>
      <c r="C1900" s="7" t="inlineStr">
        <is>
          <t>A - Agen</t>
        </is>
      </c>
      <c r="D1900" s="1" t="inlineStr">
        <is>
          <t>OP00002</t>
        </is>
      </c>
      <c r="E1900" s="8" t="n">
        <v>45403.44305555556</v>
      </c>
      <c r="F1900" s="7" t="inlineStr">
        <is>
          <t>AGEN</t>
        </is>
      </c>
      <c r="G1900" s="18" t="inlineStr">
        <is>
          <t>OP12346</t>
        </is>
      </c>
      <c r="H1900" s="19">
        <f>UPPER(Table3[[#This Row],[Agen id]]&amp;"-"&amp;VLOOKUP(Table3[[#This Row],[Agen id]],A:B,2,0)&amp;"("&amp;Table3[[#This Row],[Short]]&amp;")")</f>
        <v/>
      </c>
      <c r="J1900" s="7">
        <f>VLOOKUP(Table3[[#This Row],[Agen id]],Agen!A:C,3,0)</f>
        <v/>
      </c>
      <c r="K1900" s="37">
        <f>TRIM(LEFT(Table3[[#This Row],[Group]],2))</f>
        <v/>
      </c>
      <c r="L1900" s="3" t="inlineStr">
        <is>
          <t>NON SALES</t>
        </is>
      </c>
    </row>
    <row r="1901">
      <c r="A1901" s="5" t="inlineStr">
        <is>
          <t>OP12374</t>
        </is>
      </c>
      <c r="B1901" s="6" t="inlineStr">
        <is>
          <t>RIKA PONSEL</t>
        </is>
      </c>
      <c r="C1901" s="7" t="inlineStr">
        <is>
          <t>A - Agen</t>
        </is>
      </c>
      <c r="D1901" s="1" t="inlineStr">
        <is>
          <t>OP00091</t>
        </is>
      </c>
      <c r="E1901" s="8" t="n">
        <v>45404.3875</v>
      </c>
      <c r="F1901" s="7" t="inlineStr">
        <is>
          <t>AGEN</t>
        </is>
      </c>
      <c r="G1901" s="18" t="inlineStr">
        <is>
          <t>OP00091</t>
        </is>
      </c>
      <c r="H1901" s="19">
        <f>UPPER(Table3[[#This Row],[Agen id]]&amp;"-"&amp;VLOOKUP(Table3[[#This Row],[Agen id]],A:B,2,0)&amp;"("&amp;Table3[[#This Row],[Short]]&amp;")")</f>
        <v/>
      </c>
      <c r="J1901" s="7">
        <f>VLOOKUP(Table3[[#This Row],[Agen id]],Agen!A:C,3,0)</f>
        <v/>
      </c>
      <c r="K1901" s="37">
        <f>TRIM(LEFT(Table3[[#This Row],[Group]],2))</f>
        <v/>
      </c>
      <c r="L1901" s="3" t="inlineStr">
        <is>
          <t>NON SALES</t>
        </is>
      </c>
    </row>
    <row r="1902">
      <c r="A1902" s="5" t="inlineStr">
        <is>
          <t>OP12377</t>
        </is>
      </c>
      <c r="B1902" s="6" t="inlineStr">
        <is>
          <t>Titasanatiara</t>
        </is>
      </c>
      <c r="C1902" s="7" t="inlineStr">
        <is>
          <t>A - Agen</t>
        </is>
      </c>
      <c r="D1902" s="1" t="inlineStr">
        <is>
          <t>OP00002</t>
        </is>
      </c>
      <c r="E1902" s="8" t="n">
        <v>45404.43194444444</v>
      </c>
      <c r="F1902" s="7" t="inlineStr">
        <is>
          <t>AGEN</t>
        </is>
      </c>
      <c r="G1902" s="18" t="inlineStr">
        <is>
          <t>OP12377</t>
        </is>
      </c>
      <c r="H1902" s="19">
        <f>UPPER(Table3[[#This Row],[Agen id]]&amp;"-"&amp;VLOOKUP(Table3[[#This Row],[Agen id]],A:B,2,0)&amp;"("&amp;Table3[[#This Row],[Short]]&amp;")")</f>
        <v/>
      </c>
      <c r="J1902" s="7">
        <f>VLOOKUP(Table3[[#This Row],[Agen id]],Agen!A:C,3,0)</f>
        <v/>
      </c>
      <c r="K1902" s="37">
        <f>TRIM(LEFT(Table3[[#This Row],[Group]],2))</f>
        <v/>
      </c>
      <c r="L1902" s="3" t="inlineStr">
        <is>
          <t>NON SALES</t>
        </is>
      </c>
    </row>
    <row r="1903">
      <c r="A1903" s="5" t="inlineStr">
        <is>
          <t>OP12381</t>
        </is>
      </c>
      <c r="B1903" s="6" t="inlineStr">
        <is>
          <t>Rahma</t>
        </is>
      </c>
      <c r="C1903" s="7" t="inlineStr">
        <is>
          <t>A - Agen</t>
        </is>
      </c>
      <c r="D1903" s="1" t="inlineStr">
        <is>
          <t>OP00002</t>
        </is>
      </c>
      <c r="E1903" s="8" t="n">
        <v>45404.60972222222</v>
      </c>
      <c r="F1903" s="7" t="inlineStr">
        <is>
          <t>AGEN</t>
        </is>
      </c>
      <c r="G1903" s="18" t="inlineStr">
        <is>
          <t>OP12381</t>
        </is>
      </c>
      <c r="H1903" s="19">
        <f>UPPER(Table3[[#This Row],[Agen id]]&amp;"-"&amp;VLOOKUP(Table3[[#This Row],[Agen id]],A:B,2,0)&amp;"("&amp;Table3[[#This Row],[Short]]&amp;")")</f>
        <v/>
      </c>
      <c r="J1903" s="7">
        <f>VLOOKUP(Table3[[#This Row],[Agen id]],Agen!A:C,3,0)</f>
        <v/>
      </c>
      <c r="K1903" s="37">
        <f>TRIM(LEFT(Table3[[#This Row],[Group]],2))</f>
        <v/>
      </c>
      <c r="L1903" s="3" t="inlineStr">
        <is>
          <t>NON SALES</t>
        </is>
      </c>
    </row>
    <row r="1904">
      <c r="A1904" s="5" t="inlineStr">
        <is>
          <t>OP12387</t>
        </is>
      </c>
      <c r="B1904" s="6" t="inlineStr">
        <is>
          <t>Ramdan cell</t>
        </is>
      </c>
      <c r="C1904" s="7" t="inlineStr">
        <is>
          <t>AT1 - Agen Tangerang</t>
        </is>
      </c>
      <c r="D1904" s="1" t="inlineStr">
        <is>
          <t>OP07683</t>
        </is>
      </c>
      <c r="E1904" s="8" t="n">
        <v>45404.95069444444</v>
      </c>
      <c r="F1904" s="7" t="inlineStr">
        <is>
          <t>AGEN</t>
        </is>
      </c>
      <c r="G1904" s="18" t="inlineStr">
        <is>
          <t>OP12387</t>
        </is>
      </c>
      <c r="H1904" s="19">
        <f>UPPER(Table3[[#This Row],[Agen id]]&amp;"-"&amp;VLOOKUP(Table3[[#This Row],[Agen id]],A:B,2,0)&amp;"("&amp;Table3[[#This Row],[Short]]&amp;")")</f>
        <v/>
      </c>
      <c r="J1904" s="7">
        <f>VLOOKUP(Table3[[#This Row],[Agen id]],Agen!A:C,3,0)</f>
        <v/>
      </c>
      <c r="K1904" s="37">
        <f>TRIM(LEFT(Table3[[#This Row],[Group]],2))</f>
        <v/>
      </c>
      <c r="L1904" s="3" t="inlineStr">
        <is>
          <t>NON SALES</t>
        </is>
      </c>
    </row>
    <row r="1905">
      <c r="A1905" s="5" t="inlineStr">
        <is>
          <t>OP12422</t>
        </is>
      </c>
      <c r="B1905" s="6" t="inlineStr">
        <is>
          <t>Tiga saudara Cell</t>
        </is>
      </c>
      <c r="C1905" s="7" t="inlineStr">
        <is>
          <t>AV - Agen Verified</t>
        </is>
      </c>
      <c r="D1905" s="1" t="inlineStr">
        <is>
          <t>OP00002</t>
        </is>
      </c>
      <c r="E1905" s="8" t="n">
        <v>45406.54583333333</v>
      </c>
      <c r="F1905" s="7" t="inlineStr">
        <is>
          <t>AGEN</t>
        </is>
      </c>
      <c r="G1905" s="18" t="inlineStr">
        <is>
          <t>OP12422</t>
        </is>
      </c>
      <c r="H1905" s="19">
        <f>UPPER(Table3[[#This Row],[Agen id]]&amp;"-"&amp;VLOOKUP(Table3[[#This Row],[Agen id]],A:B,2,0)&amp;"("&amp;Table3[[#This Row],[Short]]&amp;")")</f>
        <v/>
      </c>
      <c r="J1905" s="7">
        <f>VLOOKUP(Table3[[#This Row],[Agen id]],Agen!A:C,3,0)</f>
        <v/>
      </c>
      <c r="K1905" s="37">
        <f>TRIM(LEFT(Table3[[#This Row],[Group]],2))</f>
        <v/>
      </c>
      <c r="L1905" s="3" t="inlineStr">
        <is>
          <t>NON SALES</t>
        </is>
      </c>
    </row>
    <row r="1906">
      <c r="A1906" s="5" t="inlineStr">
        <is>
          <t>OP12433</t>
        </is>
      </c>
      <c r="B1906" s="6" t="inlineStr">
        <is>
          <t>dewikunti</t>
        </is>
      </c>
      <c r="C1906" s="7" t="inlineStr">
        <is>
          <t>A - Agen</t>
        </is>
      </c>
      <c r="D1906" s="1" t="inlineStr">
        <is>
          <t>OP00002</t>
        </is>
      </c>
      <c r="E1906" s="8" t="n">
        <v>45407.36736111111</v>
      </c>
      <c r="F1906" s="7" t="inlineStr">
        <is>
          <t>AGEN</t>
        </is>
      </c>
      <c r="G1906" s="18" t="inlineStr">
        <is>
          <t>OP12433</t>
        </is>
      </c>
      <c r="H1906" s="19">
        <f>UPPER(Table3[[#This Row],[Agen id]]&amp;"-"&amp;VLOOKUP(Table3[[#This Row],[Agen id]],A:B,2,0)&amp;"("&amp;Table3[[#This Row],[Short]]&amp;")")</f>
        <v/>
      </c>
      <c r="J1906" s="7">
        <f>VLOOKUP(Table3[[#This Row],[Agen id]],Agen!A:C,3,0)</f>
        <v/>
      </c>
      <c r="K1906" s="37">
        <f>TRIM(LEFT(Table3[[#This Row],[Group]],2))</f>
        <v/>
      </c>
      <c r="L1906" s="3" t="inlineStr">
        <is>
          <t>NON SALES</t>
        </is>
      </c>
    </row>
    <row r="1907">
      <c r="A1907" s="5" t="inlineStr">
        <is>
          <t>OP12467</t>
        </is>
      </c>
      <c r="B1907" s="6" t="inlineStr">
        <is>
          <t>Ulil</t>
        </is>
      </c>
      <c r="C1907" s="7" t="inlineStr">
        <is>
          <t>A - Agen</t>
        </is>
      </c>
      <c r="D1907" s="1" t="inlineStr">
        <is>
          <t>OP00002</t>
        </is>
      </c>
      <c r="E1907" s="8" t="n">
        <v>45409.39305555556</v>
      </c>
      <c r="F1907" s="7" t="inlineStr">
        <is>
          <t>AGEN</t>
        </is>
      </c>
      <c r="G1907" s="18" t="inlineStr">
        <is>
          <t>OP12467</t>
        </is>
      </c>
      <c r="H1907" s="19">
        <f>UPPER(Table3[[#This Row],[Agen id]]&amp;"-"&amp;VLOOKUP(Table3[[#This Row],[Agen id]],A:B,2,0)&amp;"("&amp;Table3[[#This Row],[Short]]&amp;")")</f>
        <v/>
      </c>
      <c r="J1907" s="7">
        <f>VLOOKUP(Table3[[#This Row],[Agen id]],Agen!A:C,3,0)</f>
        <v/>
      </c>
      <c r="K1907" s="37">
        <f>TRIM(LEFT(Table3[[#This Row],[Group]],2))</f>
        <v/>
      </c>
      <c r="L1907" s="3" t="inlineStr">
        <is>
          <t>NON SALES</t>
        </is>
      </c>
    </row>
    <row r="1908">
      <c r="A1908" s="5" t="inlineStr">
        <is>
          <t>OP12470</t>
        </is>
      </c>
      <c r="B1908" s="6" t="inlineStr">
        <is>
          <t>LYM PAYMENT</t>
        </is>
      </c>
      <c r="C1908" s="7" t="inlineStr">
        <is>
          <t>AT1 - Agen Tangerang</t>
        </is>
      </c>
      <c r="D1908" s="1" t="inlineStr">
        <is>
          <t>OP00949</t>
        </is>
      </c>
      <c r="E1908" s="8" t="n">
        <v>45409.47986111111</v>
      </c>
      <c r="F1908" s="7" t="inlineStr">
        <is>
          <t>DOWNLINE</t>
        </is>
      </c>
      <c r="G1908" s="18" t="inlineStr">
        <is>
          <t>OP00949</t>
        </is>
      </c>
      <c r="H1908" s="19">
        <f>UPPER(Table3[[#This Row],[Agen id]]&amp;"-"&amp;VLOOKUP(Table3[[#This Row],[Agen id]],A:B,2,0)&amp;"("&amp;Table3[[#This Row],[Short]]&amp;")")</f>
        <v/>
      </c>
      <c r="J1908" s="7">
        <f>VLOOKUP(Table3[[#This Row],[Agen id]],Agen!A:C,3,0)</f>
        <v/>
      </c>
      <c r="K1908" s="37">
        <f>TRIM(LEFT(Table3[[#This Row],[Group]],2))</f>
        <v/>
      </c>
      <c r="L1908" s="3" t="inlineStr">
        <is>
          <t>NON SALES</t>
        </is>
      </c>
    </row>
    <row r="1909">
      <c r="A1909" s="5" t="inlineStr">
        <is>
          <t>OP12472</t>
        </is>
      </c>
      <c r="B1909" s="6" t="inlineStr">
        <is>
          <t>Alfian cell</t>
        </is>
      </c>
      <c r="C1909" s="7" t="inlineStr">
        <is>
          <t>AV - Agen Verified</t>
        </is>
      </c>
      <c r="D1909" s="1" t="inlineStr">
        <is>
          <t>OP08054</t>
        </is>
      </c>
      <c r="E1909" s="8" t="n">
        <v>45409.57361111111</v>
      </c>
      <c r="F1909" s="7" t="inlineStr">
        <is>
          <t>DOWNLINE</t>
        </is>
      </c>
      <c r="G1909" s="18" t="inlineStr">
        <is>
          <t>OP00049</t>
        </is>
      </c>
      <c r="H1909" s="19">
        <f>UPPER(Table3[[#This Row],[Agen id]]&amp;"-"&amp;VLOOKUP(Table3[[#This Row],[Agen id]],A:B,2,0)&amp;"("&amp;Table3[[#This Row],[Short]]&amp;")")</f>
        <v/>
      </c>
      <c r="J1909" s="7">
        <f>VLOOKUP(Table3[[#This Row],[Agen id]],Agen!A:C,3,0)</f>
        <v/>
      </c>
      <c r="K1909" s="37">
        <f>TRIM(LEFT(Table3[[#This Row],[Group]],2))</f>
        <v/>
      </c>
      <c r="L1909" s="3" t="inlineStr">
        <is>
          <t>NON SALES</t>
        </is>
      </c>
    </row>
    <row r="1910">
      <c r="A1910" s="5" t="inlineStr">
        <is>
          <t>OP12474</t>
        </is>
      </c>
      <c r="B1910" s="6" t="inlineStr">
        <is>
          <t>Ansar</t>
        </is>
      </c>
      <c r="C1910" s="7" t="inlineStr">
        <is>
          <t>A - Agen</t>
        </is>
      </c>
      <c r="D1910" s="1" t="inlineStr">
        <is>
          <t>OP00615</t>
        </is>
      </c>
      <c r="E1910" s="8" t="n">
        <v>45409.75902777778</v>
      </c>
      <c r="F1910" s="7" t="inlineStr">
        <is>
          <t>DOWNLINE</t>
        </is>
      </c>
      <c r="G1910" s="18" t="inlineStr">
        <is>
          <t>OP00049</t>
        </is>
      </c>
      <c r="H1910" s="19">
        <f>UPPER(Table3[[#This Row],[Agen id]]&amp;"-"&amp;VLOOKUP(Table3[[#This Row],[Agen id]],A:B,2,0)&amp;"("&amp;Table3[[#This Row],[Short]]&amp;")")</f>
        <v/>
      </c>
      <c r="J1910" s="7">
        <f>VLOOKUP(Table3[[#This Row],[Agen id]],Agen!A:C,3,0)</f>
        <v/>
      </c>
      <c r="K1910" s="37">
        <f>TRIM(LEFT(Table3[[#This Row],[Group]],2))</f>
        <v/>
      </c>
      <c r="L1910" s="3" t="inlineStr">
        <is>
          <t>NON SALES</t>
        </is>
      </c>
    </row>
    <row r="1911">
      <c r="A1911" s="5" t="inlineStr">
        <is>
          <t>OP12484</t>
        </is>
      </c>
      <c r="B1911" s="6" t="inlineStr">
        <is>
          <t>Enza Mardy Leo</t>
        </is>
      </c>
      <c r="C1911" s="7" t="inlineStr">
        <is>
          <t>A - Agen</t>
        </is>
      </c>
      <c r="D1911" s="1" t="inlineStr">
        <is>
          <t>OP00002</t>
        </is>
      </c>
      <c r="E1911" s="8" t="n">
        <v>45410.34166666667</v>
      </c>
      <c r="F1911" s="7" t="inlineStr">
        <is>
          <t>AGEN</t>
        </is>
      </c>
      <c r="G1911" s="18" t="inlineStr">
        <is>
          <t>OP12484</t>
        </is>
      </c>
      <c r="H1911" s="19">
        <f>UPPER(Table3[[#This Row],[Agen id]]&amp;"-"&amp;VLOOKUP(Table3[[#This Row],[Agen id]],A:B,2,0)&amp;"("&amp;Table3[[#This Row],[Short]]&amp;")")</f>
        <v/>
      </c>
      <c r="J1911" s="7">
        <f>VLOOKUP(Table3[[#This Row],[Agen id]],Agen!A:C,3,0)</f>
        <v/>
      </c>
      <c r="K1911" s="37">
        <f>TRIM(LEFT(Table3[[#This Row],[Group]],2))</f>
        <v/>
      </c>
      <c r="L1911" s="3" t="inlineStr">
        <is>
          <t>NON SALES</t>
        </is>
      </c>
    </row>
    <row r="1912">
      <c r="A1912" s="5" t="inlineStr">
        <is>
          <t>OP12486</t>
        </is>
      </c>
      <c r="B1912" s="6" t="inlineStr">
        <is>
          <t>Cecep dedi japarudin</t>
        </is>
      </c>
      <c r="C1912" s="7" t="inlineStr">
        <is>
          <t>AV - Agen Verified</t>
        </is>
      </c>
      <c r="D1912" s="1" t="inlineStr">
        <is>
          <t>OP00002</t>
        </is>
      </c>
      <c r="E1912" s="8" t="n">
        <v>45410.35486111111</v>
      </c>
      <c r="F1912" s="7" t="inlineStr">
        <is>
          <t>AGEN</t>
        </is>
      </c>
      <c r="G1912" s="18" t="inlineStr">
        <is>
          <t>OP12486</t>
        </is>
      </c>
      <c r="H1912" s="19">
        <f>UPPER(Table3[[#This Row],[Agen id]]&amp;"-"&amp;VLOOKUP(Table3[[#This Row],[Agen id]],A:B,2,0)&amp;"("&amp;Table3[[#This Row],[Short]]&amp;")")</f>
        <v/>
      </c>
      <c r="J1912" s="7">
        <f>VLOOKUP(Table3[[#This Row],[Agen id]],Agen!A:C,3,0)</f>
        <v/>
      </c>
      <c r="K1912" s="37">
        <f>TRIM(LEFT(Table3[[#This Row],[Group]],2))</f>
        <v/>
      </c>
      <c r="L1912" s="3" t="inlineStr">
        <is>
          <t>NON SALES</t>
        </is>
      </c>
    </row>
    <row r="1913">
      <c r="A1913" s="5" t="inlineStr">
        <is>
          <t>OP12506</t>
        </is>
      </c>
      <c r="B1913" s="6" t="inlineStr">
        <is>
          <t>Alinka cell 2</t>
        </is>
      </c>
      <c r="C1913" s="7" t="inlineStr">
        <is>
          <t>AT1 - Agen Tangerang</t>
        </is>
      </c>
      <c r="D1913" s="1" t="inlineStr">
        <is>
          <t>OP07683</t>
        </is>
      </c>
      <c r="E1913" s="8" t="n">
        <v>45411.92152777778</v>
      </c>
      <c r="F1913" s="7" t="inlineStr">
        <is>
          <t>AGEN</t>
        </is>
      </c>
      <c r="G1913" s="18" t="inlineStr">
        <is>
          <t>OP12506</t>
        </is>
      </c>
      <c r="H1913" s="19">
        <f>UPPER(Table3[[#This Row],[Agen id]]&amp;"-"&amp;VLOOKUP(Table3[[#This Row],[Agen id]],A:B,2,0)&amp;"("&amp;Table3[[#This Row],[Short]]&amp;")")</f>
        <v/>
      </c>
      <c r="J1913" s="7">
        <f>VLOOKUP(Table3[[#This Row],[Agen id]],Agen!A:C,3,0)</f>
        <v/>
      </c>
      <c r="K1913" s="37">
        <f>TRIM(LEFT(Table3[[#This Row],[Group]],2))</f>
        <v/>
      </c>
      <c r="L1913" s="3" t="inlineStr">
        <is>
          <t>NON SALES</t>
        </is>
      </c>
    </row>
    <row r="1914">
      <c r="A1914" s="5" t="inlineStr">
        <is>
          <t>OP12510</t>
        </is>
      </c>
      <c r="B1914" s="6" t="inlineStr">
        <is>
          <t>Toko robet</t>
        </is>
      </c>
      <c r="C1914" s="7" t="inlineStr">
        <is>
          <t>AT1 - Agen Tangerang</t>
        </is>
      </c>
      <c r="D1914" s="1" t="inlineStr">
        <is>
          <t>OP07683</t>
        </is>
      </c>
      <c r="E1914" s="8" t="n">
        <v>45413.78402777778</v>
      </c>
      <c r="F1914" s="7" t="inlineStr">
        <is>
          <t>AGEN</t>
        </is>
      </c>
      <c r="G1914" s="18" t="inlineStr">
        <is>
          <t>OP12510</t>
        </is>
      </c>
      <c r="H1914" s="19">
        <f>UPPER(Table3[[#This Row],[Agen id]]&amp;"-"&amp;VLOOKUP(Table3[[#This Row],[Agen id]],A:B,2,0)&amp;"("&amp;Table3[[#This Row],[Short]]&amp;")")</f>
        <v/>
      </c>
      <c r="J1914" s="7">
        <f>VLOOKUP(Table3[[#This Row],[Agen id]],Agen!A:C,3,0)</f>
        <v/>
      </c>
      <c r="K1914" s="37">
        <f>TRIM(LEFT(Table3[[#This Row],[Group]],2))</f>
        <v/>
      </c>
      <c r="L1914" s="3" t="inlineStr">
        <is>
          <t>NON SALES</t>
        </is>
      </c>
    </row>
    <row r="1915">
      <c r="A1915" s="5" t="inlineStr">
        <is>
          <t>OP12514</t>
        </is>
      </c>
      <c r="B1915" s="6" t="inlineStr">
        <is>
          <t>Lindawati</t>
        </is>
      </c>
      <c r="C1915" s="7" t="inlineStr">
        <is>
          <t>AV - Agen Verified</t>
        </is>
      </c>
      <c r="D1915" s="1" t="inlineStr">
        <is>
          <t>OP00002</t>
        </is>
      </c>
      <c r="E1915" s="8" t="n">
        <v>45415.63125</v>
      </c>
      <c r="F1915" s="7" t="inlineStr">
        <is>
          <t>AGEN</t>
        </is>
      </c>
      <c r="G1915" s="18" t="inlineStr">
        <is>
          <t>OP12514</t>
        </is>
      </c>
      <c r="H1915" s="19">
        <f>UPPER(Table3[[#This Row],[Agen id]]&amp;"-"&amp;VLOOKUP(Table3[[#This Row],[Agen id]],A:B,2,0)&amp;"("&amp;Table3[[#This Row],[Short]]&amp;")")</f>
        <v/>
      </c>
      <c r="J1915" s="7">
        <f>VLOOKUP(Table3[[#This Row],[Agen id]],Agen!A:C,3,0)</f>
        <v/>
      </c>
      <c r="K1915" s="37">
        <f>TRIM(LEFT(Table3[[#This Row],[Group]],2))</f>
        <v/>
      </c>
      <c r="L1915" s="3" t="inlineStr">
        <is>
          <t>NON SALES</t>
        </is>
      </c>
    </row>
    <row r="1916">
      <c r="A1916" s="5" t="inlineStr">
        <is>
          <t>OP12522</t>
        </is>
      </c>
      <c r="B1916" s="6" t="inlineStr">
        <is>
          <t>Cicilia tuniama</t>
        </is>
      </c>
      <c r="C1916" s="7" t="inlineStr">
        <is>
          <t>AV - Agen Verified</t>
        </is>
      </c>
      <c r="D1916" s="1" t="inlineStr">
        <is>
          <t>OP00002</t>
        </is>
      </c>
      <c r="E1916" s="8" t="n">
        <v>45416.57222222222</v>
      </c>
      <c r="F1916" s="7" t="inlineStr">
        <is>
          <t>AGEN</t>
        </is>
      </c>
      <c r="G1916" s="18" t="inlineStr">
        <is>
          <t>OP12522</t>
        </is>
      </c>
      <c r="H1916" s="19">
        <f>UPPER(Table3[[#This Row],[Agen id]]&amp;"-"&amp;VLOOKUP(Table3[[#This Row],[Agen id]],A:B,2,0)&amp;"("&amp;Table3[[#This Row],[Short]]&amp;")")</f>
        <v/>
      </c>
      <c r="J1916" s="7">
        <f>VLOOKUP(Table3[[#This Row],[Agen id]],Agen!A:C,3,0)</f>
        <v/>
      </c>
      <c r="K1916" s="37">
        <f>TRIM(LEFT(Table3[[#This Row],[Group]],2))</f>
        <v/>
      </c>
      <c r="L1916" s="3" t="inlineStr">
        <is>
          <t>NON SALES</t>
        </is>
      </c>
    </row>
    <row r="1917">
      <c r="A1917" s="5" t="inlineStr">
        <is>
          <t>OP12527</t>
        </is>
      </c>
      <c r="B1917" s="6" t="inlineStr">
        <is>
          <t>fawwaz cell</t>
        </is>
      </c>
      <c r="C1917" s="7" t="inlineStr">
        <is>
          <t>A - Agen</t>
        </is>
      </c>
      <c r="D1917" s="1" t="inlineStr">
        <is>
          <t>OP08075</t>
        </is>
      </c>
      <c r="E1917" s="8" t="n">
        <v>45416.64861111111</v>
      </c>
      <c r="F1917" s="7" t="inlineStr">
        <is>
          <t>DOWNLINE</t>
        </is>
      </c>
      <c r="G1917" s="18" t="inlineStr">
        <is>
          <t>OP08075</t>
        </is>
      </c>
      <c r="H1917" s="19">
        <f>UPPER(Table3[[#This Row],[Agen id]]&amp;"-"&amp;VLOOKUP(Table3[[#This Row],[Agen id]],A:B,2,0)&amp;"("&amp;Table3[[#This Row],[Short]]&amp;")")</f>
        <v/>
      </c>
      <c r="J1917" s="7">
        <f>VLOOKUP(Table3[[#This Row],[Agen id]],Agen!A:C,3,0)</f>
        <v/>
      </c>
      <c r="K1917" s="37">
        <f>TRIM(LEFT(Table3[[#This Row],[Group]],2))</f>
        <v/>
      </c>
      <c r="L1917" s="3" t="inlineStr">
        <is>
          <t>NON SALES</t>
        </is>
      </c>
    </row>
    <row r="1918">
      <c r="A1918" s="5" t="inlineStr">
        <is>
          <t>OP12542</t>
        </is>
      </c>
      <c r="B1918" s="6" t="inlineStr">
        <is>
          <t>Ansar</t>
        </is>
      </c>
      <c r="C1918" s="7" t="inlineStr">
        <is>
          <t>A - Agen</t>
        </is>
      </c>
      <c r="D1918" s="1" t="inlineStr">
        <is>
          <t>OP00049</t>
        </is>
      </c>
      <c r="E1918" s="8" t="n">
        <v>45417.24930555555</v>
      </c>
      <c r="F1918" s="7" t="inlineStr">
        <is>
          <t>DOWNLINE</t>
        </is>
      </c>
      <c r="G1918" s="18" t="inlineStr">
        <is>
          <t>OP00049</t>
        </is>
      </c>
      <c r="H1918" s="19">
        <f>UPPER(Table3[[#This Row],[Agen id]]&amp;"-"&amp;VLOOKUP(Table3[[#This Row],[Agen id]],A:B,2,0)&amp;"("&amp;Table3[[#This Row],[Short]]&amp;")")</f>
        <v/>
      </c>
      <c r="J1918" s="7">
        <f>VLOOKUP(Table3[[#This Row],[Agen id]],Agen!A:C,3,0)</f>
        <v/>
      </c>
      <c r="K1918" s="37">
        <f>TRIM(LEFT(Table3[[#This Row],[Group]],2))</f>
        <v/>
      </c>
      <c r="L1918" s="3" t="inlineStr">
        <is>
          <t>NON SALES</t>
        </is>
      </c>
    </row>
    <row r="1919">
      <c r="A1919" s="5" t="inlineStr">
        <is>
          <t>OP12545</t>
        </is>
      </c>
      <c r="B1919" s="6" t="inlineStr">
        <is>
          <t>Azmi cell</t>
        </is>
      </c>
      <c r="C1919" s="7" t="inlineStr">
        <is>
          <t>A - Agen</t>
        </is>
      </c>
      <c r="D1919" s="1" t="inlineStr">
        <is>
          <t>OP00002</t>
        </is>
      </c>
      <c r="E1919" s="8" t="n">
        <v>45417.47291666667</v>
      </c>
      <c r="F1919" s="7" t="inlineStr">
        <is>
          <t>AGEN</t>
        </is>
      </c>
      <c r="G1919" s="18" t="inlineStr">
        <is>
          <t>OP12545</t>
        </is>
      </c>
      <c r="H1919" s="19">
        <f>UPPER(Table3[[#This Row],[Agen id]]&amp;"-"&amp;VLOOKUP(Table3[[#This Row],[Agen id]],A:B,2,0)&amp;"("&amp;Table3[[#This Row],[Short]]&amp;")")</f>
        <v/>
      </c>
      <c r="J1919" s="7">
        <f>VLOOKUP(Table3[[#This Row],[Agen id]],Agen!A:C,3,0)</f>
        <v/>
      </c>
      <c r="K1919" s="37">
        <f>TRIM(LEFT(Table3[[#This Row],[Group]],2))</f>
        <v/>
      </c>
      <c r="L1919" s="3" t="inlineStr">
        <is>
          <t>NON SALES</t>
        </is>
      </c>
    </row>
    <row r="1920">
      <c r="A1920" s="5" t="inlineStr">
        <is>
          <t>OP12554</t>
        </is>
      </c>
      <c r="B1920" s="6" t="inlineStr">
        <is>
          <t>RIRINAJWA CELL</t>
        </is>
      </c>
      <c r="C1920" s="7" t="inlineStr">
        <is>
          <t>AV - Agen Verified</t>
        </is>
      </c>
      <c r="D1920" s="1" t="inlineStr">
        <is>
          <t>OP10102</t>
        </is>
      </c>
      <c r="E1920" s="8" t="n">
        <v>45417.72708333333</v>
      </c>
      <c r="F1920" s="7" t="inlineStr">
        <is>
          <t>DOWNLINE</t>
        </is>
      </c>
      <c r="G1920" s="18" t="inlineStr">
        <is>
          <t>OP10102</t>
        </is>
      </c>
      <c r="H1920" s="19">
        <f>UPPER(Table3[[#This Row],[Agen id]]&amp;"-"&amp;VLOOKUP(Table3[[#This Row],[Agen id]],A:B,2,0)&amp;"("&amp;Table3[[#This Row],[Short]]&amp;")")</f>
        <v/>
      </c>
      <c r="J1920" s="7">
        <f>VLOOKUP(Table3[[#This Row],[Agen id]],Agen!A:C,3,0)</f>
        <v/>
      </c>
      <c r="K1920" s="37">
        <f>TRIM(LEFT(Table3[[#This Row],[Group]],2))</f>
        <v/>
      </c>
      <c r="L1920" s="3" t="inlineStr">
        <is>
          <t>NON SALES</t>
        </is>
      </c>
    </row>
    <row r="1921">
      <c r="A1921" s="5" t="inlineStr">
        <is>
          <t>OP12562</t>
        </is>
      </c>
      <c r="B1921" s="6" t="inlineStr">
        <is>
          <t>Sri</t>
        </is>
      </c>
      <c r="C1921" s="7" t="inlineStr">
        <is>
          <t>A - Agen</t>
        </is>
      </c>
      <c r="D1921" s="1" t="inlineStr">
        <is>
          <t>OP00002</t>
        </is>
      </c>
      <c r="E1921" s="8" t="n">
        <v>45418.31319444445</v>
      </c>
      <c r="F1921" s="7" t="inlineStr">
        <is>
          <t>AGEN</t>
        </is>
      </c>
      <c r="G1921" s="18" t="inlineStr">
        <is>
          <t>OP12562</t>
        </is>
      </c>
      <c r="H1921" s="19">
        <f>UPPER(Table3[[#This Row],[Agen id]]&amp;"-"&amp;VLOOKUP(Table3[[#This Row],[Agen id]],A:B,2,0)&amp;"("&amp;Table3[[#This Row],[Short]]&amp;")")</f>
        <v/>
      </c>
      <c r="J1921" s="7">
        <f>VLOOKUP(Table3[[#This Row],[Agen id]],Agen!A:C,3,0)</f>
        <v/>
      </c>
      <c r="K1921" s="37">
        <f>TRIM(LEFT(Table3[[#This Row],[Group]],2))</f>
        <v/>
      </c>
      <c r="L1921" s="3" t="inlineStr">
        <is>
          <t>NON SALES</t>
        </is>
      </c>
    </row>
    <row r="1922">
      <c r="A1922" s="5" t="inlineStr">
        <is>
          <t>OP12584</t>
        </is>
      </c>
      <c r="B1922" s="6" t="inlineStr">
        <is>
          <t>Ida sihombing</t>
        </is>
      </c>
      <c r="C1922" s="7" t="inlineStr">
        <is>
          <t>A - Agen</t>
        </is>
      </c>
      <c r="D1922" s="1" t="inlineStr">
        <is>
          <t>OP00002</t>
        </is>
      </c>
      <c r="E1922" s="8" t="n">
        <v>45419.51944444444</v>
      </c>
      <c r="F1922" s="7" t="inlineStr">
        <is>
          <t>AGEN</t>
        </is>
      </c>
      <c r="G1922" s="18" t="inlineStr">
        <is>
          <t>OP12584</t>
        </is>
      </c>
      <c r="H1922" s="19">
        <f>UPPER(Table3[[#This Row],[Agen id]]&amp;"-"&amp;VLOOKUP(Table3[[#This Row],[Agen id]],A:B,2,0)&amp;"("&amp;Table3[[#This Row],[Short]]&amp;")")</f>
        <v/>
      </c>
      <c r="J1922" s="7">
        <f>VLOOKUP(Table3[[#This Row],[Agen id]],Agen!A:C,3,0)</f>
        <v/>
      </c>
      <c r="K1922" s="37">
        <f>TRIM(LEFT(Table3[[#This Row],[Group]],2))</f>
        <v/>
      </c>
      <c r="L1922" s="3" t="inlineStr">
        <is>
          <t>NON SALES</t>
        </is>
      </c>
    </row>
    <row r="1923">
      <c r="A1923" s="5" t="inlineStr">
        <is>
          <t>OP12602</t>
        </is>
      </c>
      <c r="B1923" s="6" t="inlineStr">
        <is>
          <t>syaharuddin</t>
        </is>
      </c>
      <c r="C1923" s="7" t="inlineStr">
        <is>
          <t>A - Agen</t>
        </is>
      </c>
      <c r="D1923" s="1" t="inlineStr">
        <is>
          <t>OP00003</t>
        </is>
      </c>
      <c r="E1923" s="8" t="n">
        <v>45420.58888888889</v>
      </c>
      <c r="F1923" s="7" t="inlineStr">
        <is>
          <t>AGEN</t>
        </is>
      </c>
      <c r="G1923" s="18" t="inlineStr">
        <is>
          <t>OP12602</t>
        </is>
      </c>
      <c r="H1923" s="19">
        <f>UPPER(Table3[[#This Row],[Agen id]]&amp;"-"&amp;VLOOKUP(Table3[[#This Row],[Agen id]],A:B,2,0)&amp;"("&amp;Table3[[#This Row],[Short]]&amp;")")</f>
        <v/>
      </c>
      <c r="J1923" s="7">
        <f>VLOOKUP(Table3[[#This Row],[Agen id]],Agen!A:C,3,0)</f>
        <v/>
      </c>
      <c r="K1923" s="37">
        <f>TRIM(LEFT(Table3[[#This Row],[Group]],2))</f>
        <v/>
      </c>
      <c r="L1923" s="3" t="inlineStr">
        <is>
          <t>NON SALES</t>
        </is>
      </c>
    </row>
    <row r="1924">
      <c r="A1924" s="5" t="inlineStr">
        <is>
          <t>OP12610</t>
        </is>
      </c>
      <c r="B1924" s="6" t="inlineStr">
        <is>
          <t>marina</t>
        </is>
      </c>
      <c r="C1924" s="7" t="inlineStr">
        <is>
          <t>AV - Agen Verified</t>
        </is>
      </c>
      <c r="D1924" s="1" t="inlineStr">
        <is>
          <t>OP11432</t>
        </is>
      </c>
      <c r="E1924" s="8" t="n">
        <v>45420.96597222222</v>
      </c>
      <c r="F1924" s="7" t="inlineStr">
        <is>
          <t>DOWNLINE</t>
        </is>
      </c>
      <c r="G1924" s="18" t="inlineStr">
        <is>
          <t>OP11432</t>
        </is>
      </c>
      <c r="H1924" s="19">
        <f>UPPER(Table3[[#This Row],[Agen id]]&amp;"-"&amp;VLOOKUP(Table3[[#This Row],[Agen id]],A:B,2,0)&amp;"("&amp;Table3[[#This Row],[Short]]&amp;")")</f>
        <v/>
      </c>
      <c r="J1924" s="7">
        <f>VLOOKUP(Table3[[#This Row],[Agen id]],Agen!A:C,3,0)</f>
        <v/>
      </c>
      <c r="K1924" s="37">
        <f>TRIM(LEFT(Table3[[#This Row],[Group]],2))</f>
        <v/>
      </c>
      <c r="L1924" s="3" t="inlineStr">
        <is>
          <t>NON SALES</t>
        </is>
      </c>
    </row>
    <row r="1925">
      <c r="A1925" s="5" t="inlineStr">
        <is>
          <t>OP12627</t>
        </is>
      </c>
      <c r="B1925" s="6" t="inlineStr">
        <is>
          <t>Sammil Cell</t>
        </is>
      </c>
      <c r="C1925" s="7" t="inlineStr">
        <is>
          <t>AV - Agen Verified</t>
        </is>
      </c>
      <c r="D1925" s="1" t="inlineStr">
        <is>
          <t>OP04523</t>
        </is>
      </c>
      <c r="E1925" s="8" t="n">
        <v>45422.62430555555</v>
      </c>
      <c r="F1925" s="7" t="inlineStr">
        <is>
          <t>DOWNLINE</t>
        </is>
      </c>
      <c r="G1925" s="18" t="inlineStr">
        <is>
          <t>OP04523</t>
        </is>
      </c>
      <c r="H1925" s="19">
        <f>UPPER(Table3[[#This Row],[Agen id]]&amp;"-"&amp;VLOOKUP(Table3[[#This Row],[Agen id]],A:B,2,0)&amp;"("&amp;Table3[[#This Row],[Short]]&amp;")")</f>
        <v/>
      </c>
      <c r="J1925" s="7">
        <f>VLOOKUP(Table3[[#This Row],[Agen id]],Agen!A:C,3,0)</f>
        <v/>
      </c>
      <c r="K1925" s="37">
        <f>TRIM(LEFT(Table3[[#This Row],[Group]],2))</f>
        <v/>
      </c>
      <c r="L1925" s="3" t="inlineStr">
        <is>
          <t>NON SALES</t>
        </is>
      </c>
    </row>
    <row r="1926">
      <c r="A1926" s="5" t="inlineStr">
        <is>
          <t>OP12628</t>
        </is>
      </c>
      <c r="B1926" s="6" t="inlineStr">
        <is>
          <t>Bella</t>
        </is>
      </c>
      <c r="C1926" s="7" t="inlineStr">
        <is>
          <t>A - Agen</t>
        </is>
      </c>
      <c r="D1926" s="1" t="inlineStr">
        <is>
          <t>OP00002</t>
        </is>
      </c>
      <c r="E1926" s="8" t="n">
        <v>45422.62986111111</v>
      </c>
      <c r="F1926" s="7" t="inlineStr">
        <is>
          <t>AGEN</t>
        </is>
      </c>
      <c r="G1926" s="18" t="inlineStr">
        <is>
          <t>OP12628</t>
        </is>
      </c>
      <c r="H1926" s="19">
        <f>UPPER(Table3[[#This Row],[Agen id]]&amp;"-"&amp;VLOOKUP(Table3[[#This Row],[Agen id]],A:B,2,0)&amp;"("&amp;Table3[[#This Row],[Short]]&amp;")")</f>
        <v/>
      </c>
      <c r="J1926" s="7">
        <f>VLOOKUP(Table3[[#This Row],[Agen id]],Agen!A:C,3,0)</f>
        <v/>
      </c>
      <c r="K1926" s="37">
        <f>TRIM(LEFT(Table3[[#This Row],[Group]],2))</f>
        <v/>
      </c>
      <c r="L1926" s="3" t="inlineStr">
        <is>
          <t>NON SALES</t>
        </is>
      </c>
    </row>
    <row r="1927">
      <c r="A1927" s="5" t="inlineStr">
        <is>
          <t>OP12629</t>
        </is>
      </c>
      <c r="B1927" s="6" t="inlineStr">
        <is>
          <t>Arif tri afnas susandi</t>
        </is>
      </c>
      <c r="C1927" s="7" t="inlineStr">
        <is>
          <t>AV - Agen Verified</t>
        </is>
      </c>
      <c r="D1927" s="1" t="inlineStr">
        <is>
          <t>OP00002</t>
        </is>
      </c>
      <c r="E1927" s="8" t="n">
        <v>45422.70763888889</v>
      </c>
      <c r="F1927" s="7" t="inlineStr">
        <is>
          <t>AGEN</t>
        </is>
      </c>
      <c r="G1927" s="18" t="inlineStr">
        <is>
          <t>OP12629</t>
        </is>
      </c>
      <c r="H1927" s="19">
        <f>UPPER(Table3[[#This Row],[Agen id]]&amp;"-"&amp;VLOOKUP(Table3[[#This Row],[Agen id]],A:B,2,0)&amp;"("&amp;Table3[[#This Row],[Short]]&amp;")")</f>
        <v/>
      </c>
      <c r="J1927" s="7">
        <f>VLOOKUP(Table3[[#This Row],[Agen id]],Agen!A:C,3,0)</f>
        <v/>
      </c>
      <c r="K1927" s="37">
        <f>TRIM(LEFT(Table3[[#This Row],[Group]],2))</f>
        <v/>
      </c>
      <c r="L1927" s="3" t="inlineStr">
        <is>
          <t>NON SALES</t>
        </is>
      </c>
    </row>
    <row r="1928">
      <c r="A1928" s="5" t="inlineStr">
        <is>
          <t>OP12633</t>
        </is>
      </c>
      <c r="B1928" s="6" t="inlineStr">
        <is>
          <t>nabilla cell</t>
        </is>
      </c>
      <c r="C1928" s="7" t="inlineStr">
        <is>
          <t>AV - Agen Verified</t>
        </is>
      </c>
      <c r="D1928" s="1" t="inlineStr">
        <is>
          <t>OP03216</t>
        </is>
      </c>
      <c r="E1928" s="8" t="n">
        <v>45422.76180555556</v>
      </c>
      <c r="F1928" s="7" t="inlineStr">
        <is>
          <t>DOWNLINE</t>
        </is>
      </c>
      <c r="G1928" s="18" t="inlineStr">
        <is>
          <t>OP00049</t>
        </is>
      </c>
      <c r="H1928" s="19">
        <f>UPPER(Table3[[#This Row],[Agen id]]&amp;"-"&amp;VLOOKUP(Table3[[#This Row],[Agen id]],A:B,2,0)&amp;"("&amp;Table3[[#This Row],[Short]]&amp;")")</f>
        <v/>
      </c>
      <c r="J1928" s="7">
        <f>VLOOKUP(Table3[[#This Row],[Agen id]],Agen!A:C,3,0)</f>
        <v/>
      </c>
      <c r="K1928" s="37">
        <f>TRIM(LEFT(Table3[[#This Row],[Group]],2))</f>
        <v/>
      </c>
      <c r="L1928" s="3" t="inlineStr">
        <is>
          <t>NON SALES</t>
        </is>
      </c>
    </row>
    <row r="1929">
      <c r="A1929" s="5" t="inlineStr">
        <is>
          <t>OP12641</t>
        </is>
      </c>
      <c r="B1929" s="6" t="inlineStr">
        <is>
          <t>A bule cell</t>
        </is>
      </c>
      <c r="C1929" s="7" t="inlineStr">
        <is>
          <t>A - Agen</t>
        </is>
      </c>
      <c r="D1929" s="1" t="inlineStr">
        <is>
          <t>OP00002</t>
        </is>
      </c>
      <c r="E1929" s="8" t="n">
        <v>45423.06736111111</v>
      </c>
      <c r="F1929" s="7" t="inlineStr">
        <is>
          <t>AGEN</t>
        </is>
      </c>
      <c r="G1929" s="18" t="inlineStr">
        <is>
          <t>OP12641</t>
        </is>
      </c>
      <c r="H1929" s="19">
        <f>UPPER(Table3[[#This Row],[Agen id]]&amp;"-"&amp;VLOOKUP(Table3[[#This Row],[Agen id]],A:B,2,0)&amp;"("&amp;Table3[[#This Row],[Short]]&amp;")")</f>
        <v/>
      </c>
      <c r="J1929" s="7">
        <f>VLOOKUP(Table3[[#This Row],[Agen id]],Agen!A:C,3,0)</f>
        <v/>
      </c>
      <c r="K1929" s="37">
        <f>TRIM(LEFT(Table3[[#This Row],[Group]],2))</f>
        <v/>
      </c>
      <c r="L1929" s="3" t="inlineStr">
        <is>
          <t>NON SALES</t>
        </is>
      </c>
    </row>
    <row r="1930">
      <c r="A1930" s="5" t="inlineStr">
        <is>
          <t>OP12680</t>
        </is>
      </c>
      <c r="B1930" s="6" t="inlineStr">
        <is>
          <t>Dede wati</t>
        </is>
      </c>
      <c r="C1930" s="7" t="inlineStr">
        <is>
          <t>AV - Agen Verified</t>
        </is>
      </c>
      <c r="D1930" s="1" t="inlineStr">
        <is>
          <t>OP12486</t>
        </is>
      </c>
      <c r="E1930" s="8" t="n">
        <v>45425.88125</v>
      </c>
      <c r="F1930" s="7" t="inlineStr">
        <is>
          <t>DOWNLINE</t>
        </is>
      </c>
      <c r="G1930" s="18" t="inlineStr">
        <is>
          <t>OP12486</t>
        </is>
      </c>
      <c r="H1930" s="19">
        <f>UPPER(Table3[[#This Row],[Agen id]]&amp;"-"&amp;VLOOKUP(Table3[[#This Row],[Agen id]],A:B,2,0)&amp;"("&amp;Table3[[#This Row],[Short]]&amp;")")</f>
        <v/>
      </c>
      <c r="J1930" s="7">
        <f>VLOOKUP(Table3[[#This Row],[Agen id]],Agen!A:C,3,0)</f>
        <v/>
      </c>
      <c r="K1930" s="37">
        <f>TRIM(LEFT(Table3[[#This Row],[Group]],2))</f>
        <v/>
      </c>
      <c r="L1930" s="3" t="inlineStr">
        <is>
          <t>NON SALES</t>
        </is>
      </c>
    </row>
    <row r="1931">
      <c r="A1931" s="5" t="inlineStr">
        <is>
          <t>OP12683</t>
        </is>
      </c>
      <c r="B1931" s="6" t="inlineStr">
        <is>
          <t>Sriyatun</t>
        </is>
      </c>
      <c r="C1931" s="7" t="inlineStr">
        <is>
          <t>AV - Agen Verified</t>
        </is>
      </c>
      <c r="D1931" s="1" t="inlineStr">
        <is>
          <t>OP00002</t>
        </is>
      </c>
      <c r="E1931" s="8" t="n">
        <v>45426.74444444444</v>
      </c>
      <c r="F1931" s="7" t="inlineStr">
        <is>
          <t>AGEN</t>
        </is>
      </c>
      <c r="G1931" s="18" t="inlineStr">
        <is>
          <t>OP12683</t>
        </is>
      </c>
      <c r="H1931" s="19">
        <f>UPPER(Table3[[#This Row],[Agen id]]&amp;"-"&amp;VLOOKUP(Table3[[#This Row],[Agen id]],A:B,2,0)&amp;"("&amp;Table3[[#This Row],[Short]]&amp;")")</f>
        <v/>
      </c>
      <c r="J1931" s="7">
        <f>VLOOKUP(Table3[[#This Row],[Agen id]],Agen!A:C,3,0)</f>
        <v/>
      </c>
      <c r="K1931" s="37">
        <f>TRIM(LEFT(Table3[[#This Row],[Group]],2))</f>
        <v/>
      </c>
      <c r="L1931" s="3" t="inlineStr">
        <is>
          <t>NON SALES</t>
        </is>
      </c>
    </row>
    <row r="1932">
      <c r="A1932" s="5" t="inlineStr">
        <is>
          <t>OP12685</t>
        </is>
      </c>
      <c r="B1932" s="6" t="inlineStr">
        <is>
          <t>Nanda</t>
        </is>
      </c>
      <c r="C1932" s="7" t="inlineStr">
        <is>
          <t>A - Agen</t>
        </is>
      </c>
      <c r="D1932" s="1" t="inlineStr">
        <is>
          <t>OP08123</t>
        </is>
      </c>
      <c r="E1932" s="8" t="n">
        <v>45426.82291666666</v>
      </c>
      <c r="F1932" s="7" t="inlineStr">
        <is>
          <t>DOWNLINE</t>
        </is>
      </c>
      <c r="G1932" s="18" t="inlineStr">
        <is>
          <t>OP08123</t>
        </is>
      </c>
      <c r="H1932" s="19">
        <f>UPPER(Table3[[#This Row],[Agen id]]&amp;"-"&amp;VLOOKUP(Table3[[#This Row],[Agen id]],A:B,2,0)&amp;"("&amp;Table3[[#This Row],[Short]]&amp;")")</f>
        <v/>
      </c>
      <c r="J1932" s="7">
        <f>VLOOKUP(Table3[[#This Row],[Agen id]],Agen!A:C,3,0)</f>
        <v/>
      </c>
      <c r="K1932" s="37">
        <f>TRIM(LEFT(Table3[[#This Row],[Group]],2))</f>
        <v/>
      </c>
      <c r="L1932" s="3" t="inlineStr">
        <is>
          <t>NON SALES</t>
        </is>
      </c>
    </row>
    <row r="1933">
      <c r="A1933" s="5" t="inlineStr">
        <is>
          <t>OP12689</t>
        </is>
      </c>
      <c r="B1933" s="6" t="inlineStr">
        <is>
          <t>Tarisyah wulandari</t>
        </is>
      </c>
      <c r="C1933" s="7" t="inlineStr">
        <is>
          <t>A - Agen</t>
        </is>
      </c>
      <c r="D1933" s="1" t="inlineStr">
        <is>
          <t>OP00002</t>
        </is>
      </c>
      <c r="E1933" s="8" t="n">
        <v>45427.40555555555</v>
      </c>
      <c r="F1933" s="7" t="inlineStr">
        <is>
          <t>AGEN</t>
        </is>
      </c>
      <c r="G1933" s="18" t="inlineStr">
        <is>
          <t>OP12689</t>
        </is>
      </c>
      <c r="H1933" s="19">
        <f>UPPER(Table3[[#This Row],[Agen id]]&amp;"-"&amp;VLOOKUP(Table3[[#This Row],[Agen id]],A:B,2,0)&amp;"("&amp;Table3[[#This Row],[Short]]&amp;")")</f>
        <v/>
      </c>
      <c r="J1933" s="7">
        <f>VLOOKUP(Table3[[#This Row],[Agen id]],Agen!A:C,3,0)</f>
        <v/>
      </c>
      <c r="K1933" s="37">
        <f>TRIM(LEFT(Table3[[#This Row],[Group]],2))</f>
        <v/>
      </c>
      <c r="L1933" s="3" t="inlineStr">
        <is>
          <t>NON SALES</t>
        </is>
      </c>
    </row>
    <row r="1934">
      <c r="A1934" s="5" t="inlineStr">
        <is>
          <t>OP12701</t>
        </is>
      </c>
      <c r="B1934" s="6" t="inlineStr">
        <is>
          <t>Dinacel</t>
        </is>
      </c>
      <c r="C1934" s="7" t="inlineStr">
        <is>
          <t>A - Agen</t>
        </is>
      </c>
      <c r="D1934" s="1" t="inlineStr">
        <is>
          <t>OP04219</t>
        </is>
      </c>
      <c r="E1934" s="8" t="n">
        <v>45427.95902777778</v>
      </c>
      <c r="F1934" s="7" t="inlineStr">
        <is>
          <t>DOWNLINE</t>
        </is>
      </c>
      <c r="G1934" s="18" t="inlineStr">
        <is>
          <t>OP04219</t>
        </is>
      </c>
      <c r="H1934" s="19">
        <f>UPPER(Table3[[#This Row],[Agen id]]&amp;"-"&amp;VLOOKUP(Table3[[#This Row],[Agen id]],A:B,2,0)&amp;"("&amp;Table3[[#This Row],[Short]]&amp;")")</f>
        <v/>
      </c>
      <c r="J1934" s="7">
        <f>VLOOKUP(Table3[[#This Row],[Agen id]],Agen!A:C,3,0)</f>
        <v/>
      </c>
      <c r="K1934" s="37">
        <f>TRIM(LEFT(Table3[[#This Row],[Group]],2))</f>
        <v/>
      </c>
      <c r="L1934" s="3" t="inlineStr">
        <is>
          <t>NON SALES</t>
        </is>
      </c>
    </row>
    <row r="1935">
      <c r="A1935" s="5" t="inlineStr">
        <is>
          <t>OP12712</t>
        </is>
      </c>
      <c r="B1935" s="6" t="inlineStr">
        <is>
          <t>Sri Ningsih</t>
        </is>
      </c>
      <c r="C1935" s="7" t="inlineStr">
        <is>
          <t>AB1 - Agen Kab Bogor</t>
        </is>
      </c>
      <c r="D1935" s="1" t="inlineStr">
        <is>
          <t>OP07955</t>
        </is>
      </c>
      <c r="E1935" s="8" t="n">
        <v>45428.71875</v>
      </c>
      <c r="F1935" s="7" t="inlineStr">
        <is>
          <t>DOWNLINE</t>
        </is>
      </c>
      <c r="G1935" s="18" t="inlineStr">
        <is>
          <t>OP07955</t>
        </is>
      </c>
      <c r="H1935" s="19">
        <f>UPPER(Table3[[#This Row],[Agen id]]&amp;"-"&amp;VLOOKUP(Table3[[#This Row],[Agen id]],A:B,2,0)&amp;"("&amp;Table3[[#This Row],[Short]]&amp;")")</f>
        <v/>
      </c>
      <c r="J1935" s="7">
        <f>VLOOKUP(Table3[[#This Row],[Agen id]],Agen!A:C,3,0)</f>
        <v/>
      </c>
      <c r="K1935" s="37">
        <f>TRIM(LEFT(Table3[[#This Row],[Group]],2))</f>
        <v/>
      </c>
      <c r="L1935" s="3" t="inlineStr">
        <is>
          <t>NON SALES</t>
        </is>
      </c>
    </row>
    <row r="1936">
      <c r="A1936" s="5" t="inlineStr">
        <is>
          <t>OP12713</t>
        </is>
      </c>
      <c r="B1936" s="6" t="inlineStr">
        <is>
          <t>Rellyana</t>
        </is>
      </c>
      <c r="C1936" s="7" t="inlineStr">
        <is>
          <t>A - Agen</t>
        </is>
      </c>
      <c r="D1936" s="1" t="inlineStr">
        <is>
          <t>OP00002</t>
        </is>
      </c>
      <c r="E1936" s="8" t="n">
        <v>45428.96388888889</v>
      </c>
      <c r="F1936" s="7" t="inlineStr">
        <is>
          <t>AGEN</t>
        </is>
      </c>
      <c r="G1936" s="18" t="inlineStr">
        <is>
          <t>OP12713</t>
        </is>
      </c>
      <c r="H1936" s="19">
        <f>UPPER(Table3[[#This Row],[Agen id]]&amp;"-"&amp;VLOOKUP(Table3[[#This Row],[Agen id]],A:B,2,0)&amp;"("&amp;Table3[[#This Row],[Short]]&amp;")")</f>
        <v/>
      </c>
      <c r="J1936" s="7">
        <f>VLOOKUP(Table3[[#This Row],[Agen id]],Agen!A:C,3,0)</f>
        <v/>
      </c>
      <c r="K1936" s="37">
        <f>TRIM(LEFT(Table3[[#This Row],[Group]],2))</f>
        <v/>
      </c>
      <c r="L1936" s="3" t="inlineStr">
        <is>
          <t>NON SALES</t>
        </is>
      </c>
    </row>
    <row r="1937">
      <c r="A1937" s="5" t="inlineStr">
        <is>
          <t>OP12716</t>
        </is>
      </c>
      <c r="B1937" s="6" t="inlineStr">
        <is>
          <t>DENNY</t>
        </is>
      </c>
      <c r="C1937" s="7" t="inlineStr">
        <is>
          <t>A - Agen</t>
        </is>
      </c>
      <c r="D1937" s="1" t="inlineStr">
        <is>
          <t>OP00036</t>
        </is>
      </c>
      <c r="E1937" s="8" t="n">
        <v>45429.36041666667</v>
      </c>
      <c r="F1937" s="7" t="inlineStr">
        <is>
          <t>DOWNLINE</t>
        </is>
      </c>
      <c r="G1937" s="18" t="inlineStr">
        <is>
          <t>OP00036</t>
        </is>
      </c>
      <c r="H1937" s="19">
        <f>UPPER(Table3[[#This Row],[Agen id]]&amp;"-"&amp;VLOOKUP(Table3[[#This Row],[Agen id]],A:B,2,0)&amp;"("&amp;Table3[[#This Row],[Short]]&amp;")")</f>
        <v/>
      </c>
      <c r="J1937" s="7">
        <f>VLOOKUP(Table3[[#This Row],[Agen id]],Agen!A:C,3,0)</f>
        <v/>
      </c>
      <c r="K1937" s="37">
        <f>TRIM(LEFT(Table3[[#This Row],[Group]],2))</f>
        <v/>
      </c>
      <c r="L1937" s="3" t="inlineStr">
        <is>
          <t>NON SALES</t>
        </is>
      </c>
    </row>
    <row r="1938">
      <c r="A1938" s="5" t="inlineStr">
        <is>
          <t>OP12727</t>
        </is>
      </c>
      <c r="B1938" s="6" t="inlineStr">
        <is>
          <t>Manda</t>
        </is>
      </c>
      <c r="C1938" s="7" t="inlineStr">
        <is>
          <t>AV - Agen Verified</t>
        </is>
      </c>
      <c r="D1938" s="1" t="inlineStr">
        <is>
          <t>OP12701</t>
        </is>
      </c>
      <c r="E1938" s="8" t="n">
        <v>45429.76597222222</v>
      </c>
      <c r="F1938" s="7" t="inlineStr">
        <is>
          <t>DOWNLINE</t>
        </is>
      </c>
      <c r="G1938" s="18" t="inlineStr">
        <is>
          <t>OP04219</t>
        </is>
      </c>
      <c r="H1938" s="19">
        <f>UPPER(Table3[[#This Row],[Agen id]]&amp;"-"&amp;VLOOKUP(Table3[[#This Row],[Agen id]],A:B,2,0)&amp;"("&amp;Table3[[#This Row],[Short]]&amp;")")</f>
        <v/>
      </c>
      <c r="J1938" s="7">
        <f>VLOOKUP(Table3[[#This Row],[Agen id]],Agen!A:C,3,0)</f>
        <v/>
      </c>
      <c r="K1938" s="37">
        <f>TRIM(LEFT(Table3[[#This Row],[Group]],2))</f>
        <v/>
      </c>
      <c r="L1938" s="3" t="inlineStr">
        <is>
          <t>NON SALES</t>
        </is>
      </c>
    </row>
    <row r="1939">
      <c r="A1939" s="5" t="inlineStr">
        <is>
          <t>OP12730</t>
        </is>
      </c>
      <c r="B1939" s="6" t="inlineStr">
        <is>
          <t>andika</t>
        </is>
      </c>
      <c r="C1939" s="7" t="inlineStr">
        <is>
          <t>AV - Agen Verified</t>
        </is>
      </c>
      <c r="D1939" s="1" t="inlineStr">
        <is>
          <t>OP04506</t>
        </is>
      </c>
      <c r="E1939" s="8" t="n">
        <v>45429.87083333333</v>
      </c>
      <c r="F1939" s="7" t="inlineStr">
        <is>
          <t>DOWNLINE</t>
        </is>
      </c>
      <c r="G1939" s="18" t="inlineStr">
        <is>
          <t>OP04506</t>
        </is>
      </c>
      <c r="H1939" s="19">
        <f>UPPER(Table3[[#This Row],[Agen id]]&amp;"-"&amp;VLOOKUP(Table3[[#This Row],[Agen id]],A:B,2,0)&amp;"("&amp;Table3[[#This Row],[Short]]&amp;")")</f>
        <v/>
      </c>
      <c r="J1939" s="7">
        <f>VLOOKUP(Table3[[#This Row],[Agen id]],Agen!A:C,3,0)</f>
        <v/>
      </c>
      <c r="K1939" s="37">
        <f>TRIM(LEFT(Table3[[#This Row],[Group]],2))</f>
        <v/>
      </c>
      <c r="L1939" s="3" t="inlineStr">
        <is>
          <t>NON SALES</t>
        </is>
      </c>
    </row>
    <row r="1940">
      <c r="A1940" s="5" t="inlineStr">
        <is>
          <t>OP12755</t>
        </is>
      </c>
      <c r="B1940" s="6" t="inlineStr">
        <is>
          <t>Hartati</t>
        </is>
      </c>
      <c r="C1940" s="7" t="inlineStr">
        <is>
          <t>A - Agen</t>
        </is>
      </c>
      <c r="D1940" s="1" t="inlineStr">
        <is>
          <t>OP00002</t>
        </is>
      </c>
      <c r="E1940" s="8" t="n">
        <v>45431.36805555555</v>
      </c>
      <c r="F1940" s="7" t="inlineStr">
        <is>
          <t>AGEN</t>
        </is>
      </c>
      <c r="G1940" s="18" t="inlineStr">
        <is>
          <t>OP12755</t>
        </is>
      </c>
      <c r="H1940" s="19">
        <f>UPPER(Table3[[#This Row],[Agen id]]&amp;"-"&amp;VLOOKUP(Table3[[#This Row],[Agen id]],A:B,2,0)&amp;"("&amp;Table3[[#This Row],[Short]]&amp;")")</f>
        <v/>
      </c>
      <c r="J1940" s="7">
        <f>VLOOKUP(Table3[[#This Row],[Agen id]],Agen!A:C,3,0)</f>
        <v/>
      </c>
      <c r="K1940" s="37">
        <f>TRIM(LEFT(Table3[[#This Row],[Group]],2))</f>
        <v/>
      </c>
      <c r="L1940" s="3" t="inlineStr">
        <is>
          <t>NON SALES</t>
        </is>
      </c>
    </row>
    <row r="1941">
      <c r="A1941" s="5" t="inlineStr">
        <is>
          <t>OP12771</t>
        </is>
      </c>
      <c r="B1941" s="6" t="inlineStr">
        <is>
          <t>Rhyacell</t>
        </is>
      </c>
      <c r="C1941" s="7" t="inlineStr">
        <is>
          <t>A - Agen</t>
        </is>
      </c>
      <c r="D1941" s="1" t="inlineStr">
        <is>
          <t>OP00002</t>
        </is>
      </c>
      <c r="E1941" s="8" t="n">
        <v>45432.72569444445</v>
      </c>
      <c r="F1941" s="7" t="inlineStr">
        <is>
          <t>AGEN</t>
        </is>
      </c>
      <c r="G1941" s="18" t="inlineStr">
        <is>
          <t>OP12771</t>
        </is>
      </c>
      <c r="H1941" s="19">
        <f>UPPER(Table3[[#This Row],[Agen id]]&amp;"-"&amp;VLOOKUP(Table3[[#This Row],[Agen id]],A:B,2,0)&amp;"("&amp;Table3[[#This Row],[Short]]&amp;")")</f>
        <v/>
      </c>
      <c r="J1941" s="7">
        <f>VLOOKUP(Table3[[#This Row],[Agen id]],Agen!A:C,3,0)</f>
        <v/>
      </c>
      <c r="K1941" s="37">
        <f>TRIM(LEFT(Table3[[#This Row],[Group]],2))</f>
        <v/>
      </c>
      <c r="L1941" s="3" t="inlineStr">
        <is>
          <t>NON SALES</t>
        </is>
      </c>
    </row>
    <row r="1942">
      <c r="A1942" s="5" t="inlineStr">
        <is>
          <t>OP12782</t>
        </is>
      </c>
      <c r="B1942" s="6" t="inlineStr">
        <is>
          <t>Ignatia</t>
        </is>
      </c>
      <c r="C1942" s="7" t="inlineStr">
        <is>
          <t>AV - Agen Verified</t>
        </is>
      </c>
      <c r="D1942" s="1" t="inlineStr">
        <is>
          <t>OP11299</t>
        </is>
      </c>
      <c r="E1942" s="8" t="n">
        <v>45433.88958333333</v>
      </c>
      <c r="F1942" s="7" t="inlineStr">
        <is>
          <t>DOWNLINE</t>
        </is>
      </c>
      <c r="G1942" s="18" t="inlineStr">
        <is>
          <t>OP11299</t>
        </is>
      </c>
      <c r="H1942" s="19">
        <f>UPPER(Table3[[#This Row],[Agen id]]&amp;"-"&amp;VLOOKUP(Table3[[#This Row],[Agen id]],A:B,2,0)&amp;"("&amp;Table3[[#This Row],[Short]]&amp;")")</f>
        <v/>
      </c>
      <c r="J1942" s="7">
        <f>VLOOKUP(Table3[[#This Row],[Agen id]],Agen!A:C,3,0)</f>
        <v/>
      </c>
      <c r="K1942" s="37">
        <f>TRIM(LEFT(Table3[[#This Row],[Group]],2))</f>
        <v/>
      </c>
      <c r="L1942" s="3" t="inlineStr">
        <is>
          <t>NON SALES</t>
        </is>
      </c>
    </row>
    <row r="1943">
      <c r="A1943" s="5" t="inlineStr">
        <is>
          <t>OP12794</t>
        </is>
      </c>
      <c r="B1943" s="6" t="inlineStr">
        <is>
          <t>IVAY CELL</t>
        </is>
      </c>
      <c r="C1943" s="7" t="inlineStr">
        <is>
          <t>AV - Agen Verified</t>
        </is>
      </c>
      <c r="D1943" s="1" t="inlineStr">
        <is>
          <t>OP08206</t>
        </is>
      </c>
      <c r="E1943" s="8" t="n">
        <v>45434.81319444445</v>
      </c>
      <c r="F1943" s="7" t="inlineStr">
        <is>
          <t>DOWNLINE</t>
        </is>
      </c>
      <c r="G1943" s="18" t="inlineStr">
        <is>
          <t>OP08206</t>
        </is>
      </c>
      <c r="H1943" s="19">
        <f>UPPER(Table3[[#This Row],[Agen id]]&amp;"-"&amp;VLOOKUP(Table3[[#This Row],[Agen id]],A:B,2,0)&amp;"("&amp;Table3[[#This Row],[Short]]&amp;")")</f>
        <v/>
      </c>
      <c r="J1943" s="7">
        <f>VLOOKUP(Table3[[#This Row],[Agen id]],Agen!A:C,3,0)</f>
        <v/>
      </c>
      <c r="K1943" s="37">
        <f>TRIM(LEFT(Table3[[#This Row],[Group]],2))</f>
        <v/>
      </c>
      <c r="L1943" s="3" t="inlineStr">
        <is>
          <t>NON SALES</t>
        </is>
      </c>
    </row>
    <row r="1944">
      <c r="A1944" s="5" t="inlineStr">
        <is>
          <t>OP12805</t>
        </is>
      </c>
      <c r="B1944" s="6" t="inlineStr">
        <is>
          <t>Mimindizha</t>
        </is>
      </c>
      <c r="C1944" s="7" t="inlineStr">
        <is>
          <t>A - Agen</t>
        </is>
      </c>
      <c r="D1944" s="1" t="inlineStr">
        <is>
          <t>OP00002</t>
        </is>
      </c>
      <c r="E1944" s="8" t="n">
        <v>45435.63888888889</v>
      </c>
      <c r="F1944" s="7" t="inlineStr">
        <is>
          <t>AGEN</t>
        </is>
      </c>
      <c r="G1944" s="18" t="inlineStr">
        <is>
          <t>OP12805</t>
        </is>
      </c>
      <c r="H1944" s="19">
        <f>UPPER(Table3[[#This Row],[Agen id]]&amp;"-"&amp;VLOOKUP(Table3[[#This Row],[Agen id]],A:B,2,0)&amp;"("&amp;Table3[[#This Row],[Short]]&amp;")")</f>
        <v/>
      </c>
      <c r="J1944" s="7">
        <f>VLOOKUP(Table3[[#This Row],[Agen id]],Agen!A:C,3,0)</f>
        <v/>
      </c>
      <c r="K1944" s="37">
        <f>TRIM(LEFT(Table3[[#This Row],[Group]],2))</f>
        <v/>
      </c>
      <c r="L1944" s="3" t="inlineStr">
        <is>
          <t>NON SALES</t>
        </is>
      </c>
    </row>
    <row r="1945">
      <c r="A1945" s="5" t="inlineStr">
        <is>
          <t>OP12811</t>
        </is>
      </c>
      <c r="B1945" s="6" t="inlineStr">
        <is>
          <t>ririn</t>
        </is>
      </c>
      <c r="C1945" s="7" t="inlineStr">
        <is>
          <t>A - Agen</t>
        </is>
      </c>
      <c r="D1945" s="1" t="inlineStr">
        <is>
          <t>OP00002</t>
        </is>
      </c>
      <c r="E1945" s="8" t="n">
        <v>45435.81597222222</v>
      </c>
      <c r="F1945" s="7" t="inlineStr">
        <is>
          <t>AGEN</t>
        </is>
      </c>
      <c r="G1945" s="18" t="inlineStr">
        <is>
          <t>OP12811</t>
        </is>
      </c>
      <c r="H1945" s="19">
        <f>UPPER(Table3[[#This Row],[Agen id]]&amp;"-"&amp;VLOOKUP(Table3[[#This Row],[Agen id]],A:B,2,0)&amp;"("&amp;Table3[[#This Row],[Short]]&amp;")")</f>
        <v/>
      </c>
      <c r="J1945" s="7">
        <f>VLOOKUP(Table3[[#This Row],[Agen id]],Agen!A:C,3,0)</f>
        <v/>
      </c>
      <c r="K1945" s="37">
        <f>TRIM(LEFT(Table3[[#This Row],[Group]],2))</f>
        <v/>
      </c>
      <c r="L1945" s="3" t="inlineStr">
        <is>
          <t>NON SALES</t>
        </is>
      </c>
    </row>
    <row r="1946">
      <c r="A1946" s="5" t="inlineStr">
        <is>
          <t>OP12821</t>
        </is>
      </c>
      <c r="B1946" s="6" t="inlineStr">
        <is>
          <t>Nofriansyach Kasengke</t>
        </is>
      </c>
      <c r="C1946" s="7" t="inlineStr">
        <is>
          <t>A - Agen</t>
        </is>
      </c>
      <c r="D1946" s="1" t="inlineStr">
        <is>
          <t>OP00002</t>
        </is>
      </c>
      <c r="E1946" s="8" t="n">
        <v>45436.52291666667</v>
      </c>
      <c r="F1946" s="7" t="inlineStr">
        <is>
          <t>AGEN</t>
        </is>
      </c>
      <c r="G1946" s="18" t="inlineStr">
        <is>
          <t>OP12821</t>
        </is>
      </c>
      <c r="H1946" s="19">
        <f>UPPER(Table3[[#This Row],[Agen id]]&amp;"-"&amp;VLOOKUP(Table3[[#This Row],[Agen id]],A:B,2,0)&amp;"("&amp;Table3[[#This Row],[Short]]&amp;")")</f>
        <v/>
      </c>
      <c r="J1946" s="7">
        <f>VLOOKUP(Table3[[#This Row],[Agen id]],Agen!A:C,3,0)</f>
        <v/>
      </c>
      <c r="K1946" s="37">
        <f>TRIM(LEFT(Table3[[#This Row],[Group]],2))</f>
        <v/>
      </c>
      <c r="L1946" s="3" t="inlineStr">
        <is>
          <t>NON SALES</t>
        </is>
      </c>
    </row>
    <row r="1947">
      <c r="A1947" s="5" t="inlineStr">
        <is>
          <t>OP12829</t>
        </is>
      </c>
      <c r="B1947" s="6" t="inlineStr">
        <is>
          <t>FzCell</t>
        </is>
      </c>
      <c r="C1947" s="7" t="inlineStr">
        <is>
          <t>AV - Agen Verified</t>
        </is>
      </c>
      <c r="D1947" s="1" t="inlineStr">
        <is>
          <t>OP00761</t>
        </is>
      </c>
      <c r="E1947" s="8" t="n">
        <v>45437.43125</v>
      </c>
      <c r="F1947" s="7" t="inlineStr">
        <is>
          <t>DOWNLINE</t>
        </is>
      </c>
      <c r="G1947" s="18" t="inlineStr">
        <is>
          <t>OP00761</t>
        </is>
      </c>
      <c r="H1947" s="19">
        <f>UPPER(Table3[[#This Row],[Agen id]]&amp;"-"&amp;VLOOKUP(Table3[[#This Row],[Agen id]],A:B,2,0)&amp;"("&amp;Table3[[#This Row],[Short]]&amp;")")</f>
        <v/>
      </c>
      <c r="J1947" s="7">
        <f>VLOOKUP(Table3[[#This Row],[Agen id]],Agen!A:C,3,0)</f>
        <v/>
      </c>
      <c r="K1947" s="37">
        <f>TRIM(LEFT(Table3[[#This Row],[Group]],2))</f>
        <v/>
      </c>
      <c r="L1947" s="3" t="inlineStr">
        <is>
          <t>NON SALES</t>
        </is>
      </c>
    </row>
    <row r="1948">
      <c r="A1948" s="5" t="inlineStr">
        <is>
          <t>OP12833</t>
        </is>
      </c>
      <c r="B1948" s="6" t="inlineStr">
        <is>
          <t>illa</t>
        </is>
      </c>
      <c r="C1948" s="7" t="inlineStr">
        <is>
          <t>A - Agen</t>
        </is>
      </c>
      <c r="D1948" s="1" t="inlineStr">
        <is>
          <t>OP00051</t>
        </is>
      </c>
      <c r="E1948" s="8" t="n">
        <v>45437.54583333333</v>
      </c>
      <c r="F1948" s="7" t="inlineStr">
        <is>
          <t>DOWNLINE</t>
        </is>
      </c>
      <c r="G1948" s="18" t="inlineStr">
        <is>
          <t>OP00051</t>
        </is>
      </c>
      <c r="H1948" s="19">
        <f>UPPER(Table3[[#This Row],[Agen id]]&amp;"-"&amp;VLOOKUP(Table3[[#This Row],[Agen id]],A:B,2,0)&amp;"("&amp;Table3[[#This Row],[Short]]&amp;")")</f>
        <v/>
      </c>
      <c r="J1948" s="7">
        <f>VLOOKUP(Table3[[#This Row],[Agen id]],Agen!A:C,3,0)</f>
        <v/>
      </c>
      <c r="K1948" s="37">
        <f>TRIM(LEFT(Table3[[#This Row],[Group]],2))</f>
        <v/>
      </c>
      <c r="L1948" s="3" t="inlineStr">
        <is>
          <t>NON SALES</t>
        </is>
      </c>
    </row>
    <row r="1949">
      <c r="A1949" s="5" t="inlineStr">
        <is>
          <t>OP12835</t>
        </is>
      </c>
      <c r="B1949" s="6" t="inlineStr">
        <is>
          <t>ARSY CELL</t>
        </is>
      </c>
      <c r="C1949" s="7" t="inlineStr">
        <is>
          <t>AV - Agen Verified</t>
        </is>
      </c>
      <c r="D1949" s="1" t="inlineStr">
        <is>
          <t>OP01054</t>
        </is>
      </c>
      <c r="E1949" s="8" t="n">
        <v>45437.61458333334</v>
      </c>
      <c r="F1949" s="7" t="inlineStr">
        <is>
          <t>DOWNLINE</t>
        </is>
      </c>
      <c r="G1949" s="18" t="inlineStr">
        <is>
          <t>OP01054</t>
        </is>
      </c>
      <c r="H1949" s="19">
        <f>UPPER(Table3[[#This Row],[Agen id]]&amp;"-"&amp;VLOOKUP(Table3[[#This Row],[Agen id]],A:B,2,0)&amp;"("&amp;Table3[[#This Row],[Short]]&amp;")")</f>
        <v/>
      </c>
      <c r="J1949" s="7">
        <f>VLOOKUP(Table3[[#This Row],[Agen id]],Agen!A:C,3,0)</f>
        <v/>
      </c>
      <c r="K1949" s="37">
        <f>TRIM(LEFT(Table3[[#This Row],[Group]],2))</f>
        <v/>
      </c>
      <c r="L1949" s="3" t="inlineStr">
        <is>
          <t>NON SALES</t>
        </is>
      </c>
    </row>
    <row r="1950">
      <c r="A1950" s="5" t="inlineStr">
        <is>
          <t>OP12838</t>
        </is>
      </c>
      <c r="B1950" s="6" t="inlineStr">
        <is>
          <t>TOKO LIA</t>
        </is>
      </c>
      <c r="C1950" s="7" t="inlineStr">
        <is>
          <t>AV - Agen Verified</t>
        </is>
      </c>
      <c r="D1950" s="1" t="inlineStr">
        <is>
          <t>OP00002</t>
        </is>
      </c>
      <c r="E1950" s="8" t="n">
        <v>45437.84513888889</v>
      </c>
      <c r="F1950" s="7" t="inlineStr">
        <is>
          <t>AGEN</t>
        </is>
      </c>
      <c r="G1950" s="18" t="inlineStr">
        <is>
          <t>OP12838</t>
        </is>
      </c>
      <c r="H1950" s="19">
        <f>UPPER(Table3[[#This Row],[Agen id]]&amp;"-"&amp;VLOOKUP(Table3[[#This Row],[Agen id]],A:B,2,0)&amp;"("&amp;Table3[[#This Row],[Short]]&amp;")")</f>
        <v/>
      </c>
      <c r="J1950" s="7">
        <f>VLOOKUP(Table3[[#This Row],[Agen id]],Agen!A:C,3,0)</f>
        <v/>
      </c>
      <c r="K1950" s="37">
        <f>TRIM(LEFT(Table3[[#This Row],[Group]],2))</f>
        <v/>
      </c>
      <c r="L1950" s="3" t="inlineStr">
        <is>
          <t>NON SALES</t>
        </is>
      </c>
    </row>
    <row r="1951">
      <c r="A1951" s="5" t="inlineStr">
        <is>
          <t>OP12854</t>
        </is>
      </c>
      <c r="B1951" s="6" t="inlineStr">
        <is>
          <t>Berkah Anugerah Jaya Makmur</t>
        </is>
      </c>
      <c r="C1951" s="7" t="inlineStr">
        <is>
          <t>AV - Agen Verified</t>
        </is>
      </c>
      <c r="D1951" s="1" t="inlineStr">
        <is>
          <t>OP00002</t>
        </is>
      </c>
      <c r="E1951" s="8" t="n">
        <v>45439.425</v>
      </c>
      <c r="F1951" s="7" t="inlineStr">
        <is>
          <t>AGEN</t>
        </is>
      </c>
      <c r="G1951" s="18" t="inlineStr">
        <is>
          <t>OP12854</t>
        </is>
      </c>
      <c r="H1951" s="19">
        <f>UPPER(Table3[[#This Row],[Agen id]]&amp;"-"&amp;VLOOKUP(Table3[[#This Row],[Agen id]],A:B,2,0)&amp;"("&amp;Table3[[#This Row],[Short]]&amp;")")</f>
        <v/>
      </c>
      <c r="J1951" s="7">
        <f>VLOOKUP(Table3[[#This Row],[Agen id]],Agen!A:C,3,0)</f>
        <v/>
      </c>
      <c r="K1951" s="37">
        <f>TRIM(LEFT(Table3[[#This Row],[Group]],2))</f>
        <v/>
      </c>
      <c r="L1951" s="3" t="inlineStr">
        <is>
          <t>NON SALES</t>
        </is>
      </c>
    </row>
    <row r="1952">
      <c r="A1952" s="5" t="inlineStr">
        <is>
          <t>OP12863</t>
        </is>
      </c>
      <c r="B1952" s="6" t="inlineStr">
        <is>
          <t>AYU CELL</t>
        </is>
      </c>
      <c r="C1952" s="7" t="inlineStr">
        <is>
          <t>AV - Agen Verified</t>
        </is>
      </c>
      <c r="D1952" s="1" t="inlineStr">
        <is>
          <t>OP00002</t>
        </is>
      </c>
      <c r="E1952" s="8" t="n">
        <v>45440.33333333334</v>
      </c>
      <c r="F1952" s="7" t="inlineStr">
        <is>
          <t>AGEN</t>
        </is>
      </c>
      <c r="G1952" s="18" t="inlineStr">
        <is>
          <t>OP12863</t>
        </is>
      </c>
      <c r="H1952" s="19">
        <f>UPPER(Table3[[#This Row],[Agen id]]&amp;"-"&amp;VLOOKUP(Table3[[#This Row],[Agen id]],A:B,2,0)&amp;"("&amp;Table3[[#This Row],[Short]]&amp;")")</f>
        <v/>
      </c>
      <c r="J1952" s="7">
        <f>VLOOKUP(Table3[[#This Row],[Agen id]],Agen!A:C,3,0)</f>
        <v/>
      </c>
      <c r="K1952" s="37">
        <f>TRIM(LEFT(Table3[[#This Row],[Group]],2))</f>
        <v/>
      </c>
      <c r="L1952" s="3" t="inlineStr">
        <is>
          <t>NON SALES</t>
        </is>
      </c>
    </row>
    <row r="1953">
      <c r="A1953" s="5" t="inlineStr">
        <is>
          <t>OP12873</t>
        </is>
      </c>
      <c r="B1953" s="6" t="inlineStr">
        <is>
          <t>Belva Cell</t>
        </is>
      </c>
      <c r="C1953" s="7" t="inlineStr">
        <is>
          <t>AV - Agen Verified</t>
        </is>
      </c>
      <c r="D1953" s="1" t="inlineStr">
        <is>
          <t>OP00002</t>
        </is>
      </c>
      <c r="E1953" s="8" t="n">
        <v>45440.77083333334</v>
      </c>
      <c r="F1953" s="7" t="inlineStr">
        <is>
          <t>AGEN</t>
        </is>
      </c>
      <c r="G1953" s="18" t="inlineStr">
        <is>
          <t>OP12873</t>
        </is>
      </c>
      <c r="H1953" s="19">
        <f>UPPER(Table3[[#This Row],[Agen id]]&amp;"-"&amp;VLOOKUP(Table3[[#This Row],[Agen id]],A:B,2,0)&amp;"("&amp;Table3[[#This Row],[Short]]&amp;")")</f>
        <v/>
      </c>
      <c r="J1953" s="7">
        <f>VLOOKUP(Table3[[#This Row],[Agen id]],Agen!A:C,3,0)</f>
        <v/>
      </c>
      <c r="K1953" s="37">
        <f>TRIM(LEFT(Table3[[#This Row],[Group]],2))</f>
        <v/>
      </c>
      <c r="L1953" s="3" t="inlineStr">
        <is>
          <t>NON SALES</t>
        </is>
      </c>
    </row>
    <row r="1954">
      <c r="A1954" s="5" t="inlineStr">
        <is>
          <t>OP12882</t>
        </is>
      </c>
      <c r="B1954" s="6" t="inlineStr">
        <is>
          <t>Joko</t>
        </is>
      </c>
      <c r="C1954" s="7" t="inlineStr">
        <is>
          <t>AV - Agen Verified</t>
        </is>
      </c>
      <c r="D1954" s="1" t="inlineStr">
        <is>
          <t>OP01054</t>
        </is>
      </c>
      <c r="E1954" s="8" t="n">
        <v>45442.35416666666</v>
      </c>
      <c r="F1954" s="7" t="inlineStr">
        <is>
          <t>DOWNLINE</t>
        </is>
      </c>
      <c r="G1954" s="18" t="inlineStr">
        <is>
          <t>OP01054</t>
        </is>
      </c>
      <c r="H1954" s="19">
        <f>UPPER(Table3[[#This Row],[Agen id]]&amp;"-"&amp;VLOOKUP(Table3[[#This Row],[Agen id]],A:B,2,0)&amp;"("&amp;Table3[[#This Row],[Short]]&amp;")")</f>
        <v/>
      </c>
      <c r="J1954" s="7">
        <f>VLOOKUP(Table3[[#This Row],[Agen id]],Agen!A:C,3,0)</f>
        <v/>
      </c>
      <c r="K1954" s="37">
        <f>TRIM(LEFT(Table3[[#This Row],[Group]],2))</f>
        <v/>
      </c>
      <c r="L1954" s="3" t="inlineStr">
        <is>
          <t>NON SALES</t>
        </is>
      </c>
    </row>
    <row r="1955">
      <c r="A1955" s="5" t="inlineStr">
        <is>
          <t>OP12889</t>
        </is>
      </c>
      <c r="B1955" s="6" t="inlineStr">
        <is>
          <t>Fatimah cell</t>
        </is>
      </c>
      <c r="C1955" s="7" t="inlineStr">
        <is>
          <t>A - Agen</t>
        </is>
      </c>
      <c r="D1955" s="1" t="inlineStr">
        <is>
          <t>OP03179</t>
        </is>
      </c>
      <c r="E1955" s="8" t="n">
        <v>45442.69305555556</v>
      </c>
      <c r="F1955" s="7" t="inlineStr">
        <is>
          <t>DOWNLINE</t>
        </is>
      </c>
      <c r="G1955" s="18" t="inlineStr">
        <is>
          <t>OP03179</t>
        </is>
      </c>
      <c r="H1955" s="19">
        <f>UPPER(Table3[[#This Row],[Agen id]]&amp;"-"&amp;VLOOKUP(Table3[[#This Row],[Agen id]],A:B,2,0)&amp;"("&amp;Table3[[#This Row],[Short]]&amp;")")</f>
        <v/>
      </c>
      <c r="J1955" s="7">
        <f>VLOOKUP(Table3[[#This Row],[Agen id]],Agen!A:C,3,0)</f>
        <v/>
      </c>
      <c r="K1955" s="37">
        <f>TRIM(LEFT(Table3[[#This Row],[Group]],2))</f>
        <v/>
      </c>
      <c r="L1955" s="3" t="inlineStr">
        <is>
          <t>NON SALES</t>
        </is>
      </c>
    </row>
    <row r="1956">
      <c r="A1956" s="5" t="inlineStr">
        <is>
          <t>OP12891</t>
        </is>
      </c>
      <c r="B1956" s="6" t="inlineStr">
        <is>
          <t>AUREL cell</t>
        </is>
      </c>
      <c r="C1956" s="7" t="inlineStr">
        <is>
          <t>AT1 - Agen Tangerang</t>
        </is>
      </c>
      <c r="D1956" s="1" t="inlineStr">
        <is>
          <t>OP07683</t>
        </is>
      </c>
      <c r="E1956" s="8" t="n">
        <v>45442.92222222222</v>
      </c>
      <c r="F1956" s="7" t="inlineStr">
        <is>
          <t>AGEN</t>
        </is>
      </c>
      <c r="G1956" s="18" t="inlineStr">
        <is>
          <t>OP12891</t>
        </is>
      </c>
      <c r="H1956" s="19">
        <f>UPPER(Table3[[#This Row],[Agen id]]&amp;"-"&amp;VLOOKUP(Table3[[#This Row],[Agen id]],A:B,2,0)&amp;"("&amp;Table3[[#This Row],[Short]]&amp;")")</f>
        <v/>
      </c>
      <c r="J1956" s="7">
        <f>VLOOKUP(Table3[[#This Row],[Agen id]],Agen!A:C,3,0)</f>
        <v/>
      </c>
      <c r="K1956" s="37">
        <f>TRIM(LEFT(Table3[[#This Row],[Group]],2))</f>
        <v/>
      </c>
      <c r="L1956" s="3" t="inlineStr">
        <is>
          <t>NON SALES</t>
        </is>
      </c>
    </row>
    <row r="1957">
      <c r="A1957" s="5" t="inlineStr">
        <is>
          <t>OP12894</t>
        </is>
      </c>
      <c r="B1957" s="6" t="inlineStr">
        <is>
          <t>Rivando</t>
        </is>
      </c>
      <c r="C1957" s="7" t="inlineStr">
        <is>
          <t>A - Agen</t>
        </is>
      </c>
      <c r="D1957" s="1" t="inlineStr">
        <is>
          <t>OP12005</t>
        </is>
      </c>
      <c r="E1957" s="8" t="n">
        <v>45443.59791666667</v>
      </c>
      <c r="F1957" s="7" t="inlineStr">
        <is>
          <t>DOWNLINE</t>
        </is>
      </c>
      <c r="G1957" s="18" t="inlineStr">
        <is>
          <t>OP00049</t>
        </is>
      </c>
      <c r="H1957" s="19">
        <f>UPPER(Table3[[#This Row],[Agen id]]&amp;"-"&amp;VLOOKUP(Table3[[#This Row],[Agen id]],A:B,2,0)&amp;"("&amp;Table3[[#This Row],[Short]]&amp;")")</f>
        <v/>
      </c>
      <c r="J1957" s="7">
        <f>VLOOKUP(Table3[[#This Row],[Agen id]],Agen!A:C,3,0)</f>
        <v/>
      </c>
      <c r="K1957" s="37">
        <f>TRIM(LEFT(Table3[[#This Row],[Group]],2))</f>
        <v/>
      </c>
      <c r="L1957" s="3" t="inlineStr">
        <is>
          <t>NON SALES</t>
        </is>
      </c>
    </row>
    <row r="1958">
      <c r="A1958" s="5" t="inlineStr">
        <is>
          <t>OP12898</t>
        </is>
      </c>
      <c r="B1958" s="6" t="inlineStr">
        <is>
          <t>Riuh cell</t>
        </is>
      </c>
      <c r="C1958" s="7" t="inlineStr">
        <is>
          <t>AV - Agen Verified</t>
        </is>
      </c>
      <c r="D1958" s="1" t="inlineStr">
        <is>
          <t>OP03216</t>
        </is>
      </c>
      <c r="E1958" s="8" t="n">
        <v>45445.35625</v>
      </c>
      <c r="F1958" s="7" t="inlineStr">
        <is>
          <t>DOWNLINE</t>
        </is>
      </c>
      <c r="G1958" s="18" t="inlineStr">
        <is>
          <t>OP00049</t>
        </is>
      </c>
      <c r="H1958" s="19">
        <f>UPPER(Table3[[#This Row],[Agen id]]&amp;"-"&amp;VLOOKUP(Table3[[#This Row],[Agen id]],A:B,2,0)&amp;"("&amp;Table3[[#This Row],[Short]]&amp;")")</f>
        <v/>
      </c>
      <c r="J1958" s="7">
        <f>VLOOKUP(Table3[[#This Row],[Agen id]],Agen!A:C,3,0)</f>
        <v/>
      </c>
      <c r="K1958" s="37">
        <f>TRIM(LEFT(Table3[[#This Row],[Group]],2))</f>
        <v/>
      </c>
      <c r="L1958" s="3" t="inlineStr">
        <is>
          <t>NON SALES</t>
        </is>
      </c>
    </row>
    <row r="1959">
      <c r="A1959" s="5" t="inlineStr">
        <is>
          <t>OP12902</t>
        </is>
      </c>
      <c r="B1959" s="6" t="inlineStr">
        <is>
          <t>Gusti call</t>
        </is>
      </c>
      <c r="C1959" s="7" t="inlineStr">
        <is>
          <t>AV - Agen Verified</t>
        </is>
      </c>
      <c r="D1959" s="1" t="inlineStr">
        <is>
          <t>OP03010</t>
        </is>
      </c>
      <c r="E1959" s="8" t="n">
        <v>45446.49513888889</v>
      </c>
      <c r="F1959" s="7" t="inlineStr">
        <is>
          <t>DOWNLINE</t>
        </is>
      </c>
      <c r="G1959" s="18" t="inlineStr">
        <is>
          <t>OP03010</t>
        </is>
      </c>
      <c r="H1959" s="19">
        <f>UPPER(Table3[[#This Row],[Agen id]]&amp;"-"&amp;VLOOKUP(Table3[[#This Row],[Agen id]],A:B,2,0)&amp;"("&amp;Table3[[#This Row],[Short]]&amp;")")</f>
        <v/>
      </c>
      <c r="J1959" s="7">
        <f>VLOOKUP(Table3[[#This Row],[Agen id]],Agen!A:C,3,0)</f>
        <v/>
      </c>
      <c r="K1959" s="37">
        <f>TRIM(LEFT(Table3[[#This Row],[Group]],2))</f>
        <v/>
      </c>
      <c r="L1959" s="3" t="inlineStr">
        <is>
          <t>NON SALES</t>
        </is>
      </c>
    </row>
    <row r="1960">
      <c r="A1960" s="5" t="inlineStr">
        <is>
          <t>OP12915</t>
        </is>
      </c>
      <c r="B1960" s="6" t="inlineStr">
        <is>
          <t>TOKO M RICKY</t>
        </is>
      </c>
      <c r="C1960" s="7" t="inlineStr">
        <is>
          <t>AT1 - Agen Tangerang</t>
        </is>
      </c>
      <c r="D1960" s="1" t="inlineStr">
        <is>
          <t>OP07683</t>
        </is>
      </c>
      <c r="E1960" s="8" t="n">
        <v>45447.94236111111</v>
      </c>
      <c r="F1960" s="7" t="inlineStr">
        <is>
          <t>AGEN</t>
        </is>
      </c>
      <c r="G1960" s="18" t="inlineStr">
        <is>
          <t>OP12915</t>
        </is>
      </c>
      <c r="H1960" s="19">
        <f>UPPER(Table3[[#This Row],[Agen id]]&amp;"-"&amp;VLOOKUP(Table3[[#This Row],[Agen id]],A:B,2,0)&amp;"("&amp;Table3[[#This Row],[Short]]&amp;")")</f>
        <v/>
      </c>
      <c r="J1960" s="7">
        <f>VLOOKUP(Table3[[#This Row],[Agen id]],Agen!A:C,3,0)</f>
        <v/>
      </c>
      <c r="K1960" s="37">
        <f>TRIM(LEFT(Table3[[#This Row],[Group]],2))</f>
        <v/>
      </c>
      <c r="L1960" s="3" t="inlineStr">
        <is>
          <t>NON SALES</t>
        </is>
      </c>
    </row>
    <row r="1961">
      <c r="A1961" s="5" t="inlineStr">
        <is>
          <t>OP12922</t>
        </is>
      </c>
      <c r="B1961" s="6" t="inlineStr">
        <is>
          <t>Teh Atih</t>
        </is>
      </c>
      <c r="C1961" s="7" t="inlineStr">
        <is>
          <t>AT1 - Agen Tangerang</t>
        </is>
      </c>
      <c r="D1961" s="1" t="inlineStr">
        <is>
          <t>OP07683</t>
        </is>
      </c>
      <c r="E1961" s="8" t="n">
        <v>45448.37430555555</v>
      </c>
      <c r="F1961" s="7" t="inlineStr">
        <is>
          <t>AGEN</t>
        </is>
      </c>
      <c r="G1961" s="18" t="inlineStr">
        <is>
          <t>OP12922</t>
        </is>
      </c>
      <c r="H1961" s="19">
        <f>UPPER(Table3[[#This Row],[Agen id]]&amp;"-"&amp;VLOOKUP(Table3[[#This Row],[Agen id]],A:B,2,0)&amp;"("&amp;Table3[[#This Row],[Short]]&amp;")")</f>
        <v/>
      </c>
      <c r="J1961" s="7">
        <f>VLOOKUP(Table3[[#This Row],[Agen id]],Agen!A:C,3,0)</f>
        <v/>
      </c>
      <c r="K1961" s="37">
        <f>TRIM(LEFT(Table3[[#This Row],[Group]],2))</f>
        <v/>
      </c>
      <c r="L1961" s="3" t="inlineStr">
        <is>
          <t>NON SALES</t>
        </is>
      </c>
    </row>
    <row r="1962">
      <c r="A1962" s="5" t="inlineStr">
        <is>
          <t>OP12941</t>
        </is>
      </c>
      <c r="B1962" s="6" t="inlineStr">
        <is>
          <t>Nova</t>
        </is>
      </c>
      <c r="C1962" s="7" t="inlineStr">
        <is>
          <t>AV - Agen Verified</t>
        </is>
      </c>
      <c r="D1962" s="1" t="inlineStr">
        <is>
          <t>OP00002</t>
        </is>
      </c>
      <c r="E1962" s="8" t="n">
        <v>45449.42986111111</v>
      </c>
      <c r="F1962" s="7" t="inlineStr">
        <is>
          <t>AGEN</t>
        </is>
      </c>
      <c r="G1962" s="18" t="inlineStr">
        <is>
          <t>OP12941</t>
        </is>
      </c>
      <c r="H1962" s="19">
        <f>UPPER(Table3[[#This Row],[Agen id]]&amp;"-"&amp;VLOOKUP(Table3[[#This Row],[Agen id]],A:B,2,0)&amp;"("&amp;Table3[[#This Row],[Short]]&amp;")")</f>
        <v/>
      </c>
      <c r="J1962" s="7">
        <f>VLOOKUP(Table3[[#This Row],[Agen id]],Agen!A:C,3,0)</f>
        <v/>
      </c>
      <c r="K1962" s="37">
        <f>TRIM(LEFT(Table3[[#This Row],[Group]],2))</f>
        <v/>
      </c>
      <c r="L1962" s="3" t="inlineStr">
        <is>
          <t>NON SALES</t>
        </is>
      </c>
    </row>
    <row r="1963">
      <c r="A1963" s="5" t="inlineStr">
        <is>
          <t>OP12969</t>
        </is>
      </c>
      <c r="B1963" s="6" t="inlineStr">
        <is>
          <t>Rezeki cell</t>
        </is>
      </c>
      <c r="C1963" s="7" t="inlineStr">
        <is>
          <t>A - Agen</t>
        </is>
      </c>
      <c r="D1963" s="1" t="inlineStr">
        <is>
          <t>OP00002</t>
        </is>
      </c>
      <c r="E1963" s="8" t="n">
        <v>45451.50694444445</v>
      </c>
      <c r="F1963" s="7" t="inlineStr">
        <is>
          <t>AGEN</t>
        </is>
      </c>
      <c r="G1963" s="18" t="inlineStr">
        <is>
          <t>OP12969</t>
        </is>
      </c>
      <c r="H1963" s="19">
        <f>UPPER(Table3[[#This Row],[Agen id]]&amp;"-"&amp;VLOOKUP(Table3[[#This Row],[Agen id]],A:B,2,0)&amp;"("&amp;Table3[[#This Row],[Short]]&amp;")")</f>
        <v/>
      </c>
      <c r="J1963" s="7">
        <f>VLOOKUP(Table3[[#This Row],[Agen id]],Agen!A:C,3,0)</f>
        <v/>
      </c>
      <c r="K1963" s="37">
        <f>TRIM(LEFT(Table3[[#This Row],[Group]],2))</f>
        <v/>
      </c>
      <c r="L1963" s="3" t="inlineStr">
        <is>
          <t>NON SALES</t>
        </is>
      </c>
    </row>
    <row r="1964">
      <c r="A1964" s="5" t="inlineStr">
        <is>
          <t>OP12981</t>
        </is>
      </c>
      <c r="B1964" s="6" t="inlineStr">
        <is>
          <t>DENNY SAPUTRA</t>
        </is>
      </c>
      <c r="C1964" s="7" t="inlineStr">
        <is>
          <t>A - Agen</t>
        </is>
      </c>
      <c r="D1964" s="1" t="inlineStr">
        <is>
          <t>OP00002</t>
        </is>
      </c>
      <c r="E1964" s="8" t="n">
        <v>45451.75486111111</v>
      </c>
      <c r="F1964" s="7" t="inlineStr">
        <is>
          <t>AGEN</t>
        </is>
      </c>
      <c r="G1964" s="18" t="inlineStr">
        <is>
          <t>OP12981</t>
        </is>
      </c>
      <c r="H1964" s="19">
        <f>UPPER(Table3[[#This Row],[Agen id]]&amp;"-"&amp;VLOOKUP(Table3[[#This Row],[Agen id]],A:B,2,0)&amp;"("&amp;Table3[[#This Row],[Short]]&amp;")")</f>
        <v/>
      </c>
      <c r="J1964" s="7">
        <f>VLOOKUP(Table3[[#This Row],[Agen id]],Agen!A:C,3,0)</f>
        <v/>
      </c>
      <c r="K1964" s="37">
        <f>TRIM(LEFT(Table3[[#This Row],[Group]],2))</f>
        <v/>
      </c>
      <c r="L1964" s="3" t="inlineStr">
        <is>
          <t>NON SALES</t>
        </is>
      </c>
    </row>
    <row r="1965">
      <c r="A1965" s="5" t="inlineStr">
        <is>
          <t>OP12991</t>
        </is>
      </c>
      <c r="B1965" s="6" t="inlineStr">
        <is>
          <t>elsi Maria nuban</t>
        </is>
      </c>
      <c r="C1965" s="7" t="inlineStr">
        <is>
          <t>AV - Agen Verified</t>
        </is>
      </c>
      <c r="D1965" s="1" t="inlineStr">
        <is>
          <t>OP03630</t>
        </is>
      </c>
      <c r="E1965" s="8" t="n">
        <v>45452.55694444444</v>
      </c>
      <c r="F1965" s="7" t="inlineStr">
        <is>
          <t>DOWNLINE</t>
        </is>
      </c>
      <c r="G1965" s="18" t="inlineStr">
        <is>
          <t>OP03630</t>
        </is>
      </c>
      <c r="H1965" s="19">
        <f>UPPER(Table3[[#This Row],[Agen id]]&amp;"-"&amp;VLOOKUP(Table3[[#This Row],[Agen id]],A:B,2,0)&amp;"("&amp;Table3[[#This Row],[Short]]&amp;")")</f>
        <v/>
      </c>
      <c r="J1965" s="7">
        <f>VLOOKUP(Table3[[#This Row],[Agen id]],Agen!A:C,3,0)</f>
        <v/>
      </c>
      <c r="K1965" s="37">
        <f>TRIM(LEFT(Table3[[#This Row],[Group]],2))</f>
        <v/>
      </c>
      <c r="L1965" s="3" t="inlineStr">
        <is>
          <t>NON SALES</t>
        </is>
      </c>
    </row>
    <row r="1966">
      <c r="A1966" s="5" t="inlineStr">
        <is>
          <t>OP12995</t>
        </is>
      </c>
      <c r="B1966" s="6" t="inlineStr">
        <is>
          <t>Salviyah</t>
        </is>
      </c>
      <c r="C1966" s="7" t="inlineStr">
        <is>
          <t>AV - Agen Verified</t>
        </is>
      </c>
      <c r="D1966" s="1" t="inlineStr">
        <is>
          <t>OP00002</t>
        </is>
      </c>
      <c r="E1966" s="8" t="n">
        <v>45452.59861111111</v>
      </c>
      <c r="F1966" s="7" t="inlineStr">
        <is>
          <t>AGEN</t>
        </is>
      </c>
      <c r="G1966" s="18" t="inlineStr">
        <is>
          <t>OP12995</t>
        </is>
      </c>
      <c r="H1966" s="19">
        <f>UPPER(Table3[[#This Row],[Agen id]]&amp;"-"&amp;VLOOKUP(Table3[[#This Row],[Agen id]],A:B,2,0)&amp;"("&amp;Table3[[#This Row],[Short]]&amp;")")</f>
        <v/>
      </c>
      <c r="J1966" s="7">
        <f>VLOOKUP(Table3[[#This Row],[Agen id]],Agen!A:C,3,0)</f>
        <v/>
      </c>
      <c r="K1966" s="37">
        <f>TRIM(LEFT(Table3[[#This Row],[Group]],2))</f>
        <v/>
      </c>
      <c r="L1966" s="3" t="inlineStr">
        <is>
          <t>NON SALES</t>
        </is>
      </c>
    </row>
    <row r="1967">
      <c r="A1967" s="5" t="inlineStr">
        <is>
          <t>OP13005</t>
        </is>
      </c>
      <c r="B1967" s="6" t="inlineStr">
        <is>
          <t>Agnessapteno</t>
        </is>
      </c>
      <c r="C1967" s="7" t="inlineStr">
        <is>
          <t>AV - Agen Verified</t>
        </is>
      </c>
      <c r="D1967" s="1" t="inlineStr">
        <is>
          <t>OP00002</t>
        </is>
      </c>
      <c r="E1967" s="8" t="n">
        <v>45453.42708333334</v>
      </c>
      <c r="F1967" s="7" t="inlineStr">
        <is>
          <t>AGEN</t>
        </is>
      </c>
      <c r="G1967" s="18" t="inlineStr">
        <is>
          <t>OP13005</t>
        </is>
      </c>
      <c r="H1967" s="19">
        <f>UPPER(Table3[[#This Row],[Agen id]]&amp;"-"&amp;VLOOKUP(Table3[[#This Row],[Agen id]],A:B,2,0)&amp;"("&amp;Table3[[#This Row],[Short]]&amp;")")</f>
        <v/>
      </c>
      <c r="J1967" s="7">
        <f>VLOOKUP(Table3[[#This Row],[Agen id]],Agen!A:C,3,0)</f>
        <v/>
      </c>
      <c r="K1967" s="37">
        <f>TRIM(LEFT(Table3[[#This Row],[Group]],2))</f>
        <v/>
      </c>
      <c r="L1967" s="3" t="inlineStr">
        <is>
          <t>NON SALES</t>
        </is>
      </c>
    </row>
    <row r="1968">
      <c r="A1968" s="5" t="inlineStr">
        <is>
          <t>OP13019</t>
        </is>
      </c>
      <c r="B1968" s="6" t="inlineStr">
        <is>
          <t>Evita salome</t>
        </is>
      </c>
      <c r="C1968" s="7" t="inlineStr">
        <is>
          <t>A - Agen</t>
        </is>
      </c>
      <c r="D1968" s="1" t="inlineStr">
        <is>
          <t>OP00002</t>
        </is>
      </c>
      <c r="E1968" s="8" t="n">
        <v>45453.80347222222</v>
      </c>
      <c r="F1968" s="7" t="inlineStr">
        <is>
          <t>AGEN</t>
        </is>
      </c>
      <c r="G1968" s="18" t="inlineStr">
        <is>
          <t>OP13019</t>
        </is>
      </c>
      <c r="H1968" s="19">
        <f>UPPER(Table3[[#This Row],[Agen id]]&amp;"-"&amp;VLOOKUP(Table3[[#This Row],[Agen id]],A:B,2,0)&amp;"("&amp;Table3[[#This Row],[Short]]&amp;")")</f>
        <v/>
      </c>
      <c r="J1968" s="7">
        <f>VLOOKUP(Table3[[#This Row],[Agen id]],Agen!A:C,3,0)</f>
        <v/>
      </c>
      <c r="K1968" s="37">
        <f>TRIM(LEFT(Table3[[#This Row],[Group]],2))</f>
        <v/>
      </c>
      <c r="L1968" s="3" t="inlineStr">
        <is>
          <t>NON SALES</t>
        </is>
      </c>
    </row>
    <row r="1969">
      <c r="A1969" s="5" t="inlineStr">
        <is>
          <t>OP13024</t>
        </is>
      </c>
      <c r="B1969" s="6" t="inlineStr">
        <is>
          <t>Toko wawan</t>
        </is>
      </c>
      <c r="C1969" s="7" t="inlineStr">
        <is>
          <t>AT1 - Agen Tangerang</t>
        </is>
      </c>
      <c r="D1969" s="1" t="inlineStr">
        <is>
          <t>OP07683</t>
        </is>
      </c>
      <c r="E1969" s="8" t="n">
        <v>45453.90277777778</v>
      </c>
      <c r="F1969" s="7" t="inlineStr">
        <is>
          <t>AGEN</t>
        </is>
      </c>
      <c r="G1969" s="18" t="inlineStr">
        <is>
          <t>OP13024</t>
        </is>
      </c>
      <c r="H1969" s="19">
        <f>UPPER(Table3[[#This Row],[Agen id]]&amp;"-"&amp;VLOOKUP(Table3[[#This Row],[Agen id]],A:B,2,0)&amp;"("&amp;Table3[[#This Row],[Short]]&amp;")")</f>
        <v/>
      </c>
      <c r="J1969" s="7">
        <f>VLOOKUP(Table3[[#This Row],[Agen id]],Agen!A:C,3,0)</f>
        <v/>
      </c>
      <c r="K1969" s="37">
        <f>TRIM(LEFT(Table3[[#This Row],[Group]],2))</f>
        <v/>
      </c>
      <c r="L1969" s="3" t="inlineStr">
        <is>
          <t>NON SALES</t>
        </is>
      </c>
    </row>
    <row r="1970">
      <c r="A1970" s="5" t="inlineStr">
        <is>
          <t>OP13035</t>
        </is>
      </c>
      <c r="B1970" s="6" t="inlineStr">
        <is>
          <t>Rahma</t>
        </is>
      </c>
      <c r="C1970" s="7" t="inlineStr">
        <is>
          <t>A - Agen</t>
        </is>
      </c>
      <c r="D1970" s="1" t="inlineStr">
        <is>
          <t>OP00002</t>
        </is>
      </c>
      <c r="E1970" s="8" t="n">
        <v>45455.10694444444</v>
      </c>
      <c r="F1970" s="7" t="inlineStr">
        <is>
          <t>AGEN</t>
        </is>
      </c>
      <c r="G1970" s="18" t="inlineStr">
        <is>
          <t>OP13035</t>
        </is>
      </c>
      <c r="H1970" s="19">
        <f>UPPER(Table3[[#This Row],[Agen id]]&amp;"-"&amp;VLOOKUP(Table3[[#This Row],[Agen id]],A:B,2,0)&amp;"("&amp;Table3[[#This Row],[Short]]&amp;")")</f>
        <v/>
      </c>
      <c r="J1970" s="7">
        <f>VLOOKUP(Table3[[#This Row],[Agen id]],Agen!A:C,3,0)</f>
        <v/>
      </c>
      <c r="K1970" s="37">
        <f>TRIM(LEFT(Table3[[#This Row],[Group]],2))</f>
        <v/>
      </c>
      <c r="L1970" s="3" t="inlineStr">
        <is>
          <t>NON SALES</t>
        </is>
      </c>
    </row>
    <row r="1971">
      <c r="A1971" s="5" t="inlineStr">
        <is>
          <t>OP13042</t>
        </is>
      </c>
      <c r="B1971" s="6" t="inlineStr">
        <is>
          <t>Nuraliza</t>
        </is>
      </c>
      <c r="C1971" s="7" t="inlineStr">
        <is>
          <t>AV - Agen Verified</t>
        </is>
      </c>
      <c r="D1971" s="1" t="inlineStr">
        <is>
          <t>OP09474</t>
        </is>
      </c>
      <c r="E1971" s="8" t="n">
        <v>45455.38611111111</v>
      </c>
      <c r="F1971" s="7" t="inlineStr">
        <is>
          <t>DOWNLINE</t>
        </is>
      </c>
      <c r="G1971" s="18" t="inlineStr">
        <is>
          <t>OP09474</t>
        </is>
      </c>
      <c r="H1971" s="19">
        <f>UPPER(Table3[[#This Row],[Agen id]]&amp;"-"&amp;VLOOKUP(Table3[[#This Row],[Agen id]],A:B,2,0)&amp;"("&amp;Table3[[#This Row],[Short]]&amp;")")</f>
        <v/>
      </c>
      <c r="J1971" s="7">
        <f>VLOOKUP(Table3[[#This Row],[Agen id]],Agen!A:C,3,0)</f>
        <v/>
      </c>
      <c r="K1971" s="37">
        <f>TRIM(LEFT(Table3[[#This Row],[Group]],2))</f>
        <v/>
      </c>
      <c r="L1971" s="3" t="inlineStr">
        <is>
          <t>NON SALES</t>
        </is>
      </c>
    </row>
    <row r="1972">
      <c r="A1972" s="5" t="inlineStr">
        <is>
          <t>OP13054</t>
        </is>
      </c>
      <c r="B1972" s="6" t="inlineStr">
        <is>
          <t>TOKO MALIYA</t>
        </is>
      </c>
      <c r="C1972" s="7" t="inlineStr">
        <is>
          <t>AT1 - Agen Tangerang</t>
        </is>
      </c>
      <c r="D1972" s="1" t="inlineStr">
        <is>
          <t>OP07683</t>
        </is>
      </c>
      <c r="E1972" s="8" t="n">
        <v>45455.96875</v>
      </c>
      <c r="F1972" s="7" t="inlineStr">
        <is>
          <t>AGEN</t>
        </is>
      </c>
      <c r="G1972" s="18" t="inlineStr">
        <is>
          <t>OP13054</t>
        </is>
      </c>
      <c r="H1972" s="19">
        <f>UPPER(Table3[[#This Row],[Agen id]]&amp;"-"&amp;VLOOKUP(Table3[[#This Row],[Agen id]],A:B,2,0)&amp;"("&amp;Table3[[#This Row],[Short]]&amp;")")</f>
        <v/>
      </c>
      <c r="J1972" s="7">
        <f>VLOOKUP(Table3[[#This Row],[Agen id]],Agen!A:C,3,0)</f>
        <v/>
      </c>
      <c r="K1972" s="37">
        <f>TRIM(LEFT(Table3[[#This Row],[Group]],2))</f>
        <v/>
      </c>
      <c r="L1972" s="3" t="inlineStr">
        <is>
          <t>NON SALES</t>
        </is>
      </c>
    </row>
    <row r="1973">
      <c r="A1973" s="5" t="inlineStr">
        <is>
          <t>OP13058</t>
        </is>
      </c>
      <c r="B1973" s="6" t="inlineStr">
        <is>
          <t>Disti</t>
        </is>
      </c>
      <c r="C1973" s="7" t="inlineStr">
        <is>
          <t>A - Agen</t>
        </is>
      </c>
      <c r="D1973" s="1" t="inlineStr">
        <is>
          <t>OP00996</t>
        </is>
      </c>
      <c r="E1973" s="8" t="n">
        <v>45456.51875</v>
      </c>
      <c r="F1973" s="7" t="inlineStr">
        <is>
          <t>DOWNLINE</t>
        </is>
      </c>
      <c r="G1973" s="18" t="inlineStr">
        <is>
          <t>OP00996</t>
        </is>
      </c>
      <c r="H1973" s="19">
        <f>UPPER(Table3[[#This Row],[Agen id]]&amp;"-"&amp;VLOOKUP(Table3[[#This Row],[Agen id]],A:B,2,0)&amp;"("&amp;Table3[[#This Row],[Short]]&amp;")")</f>
        <v/>
      </c>
      <c r="J1973" s="7">
        <f>VLOOKUP(Table3[[#This Row],[Agen id]],Agen!A:C,3,0)</f>
        <v/>
      </c>
      <c r="K1973" s="37">
        <f>TRIM(LEFT(Table3[[#This Row],[Group]],2))</f>
        <v/>
      </c>
      <c r="L1973" s="3" t="inlineStr">
        <is>
          <t>NON SALES</t>
        </is>
      </c>
    </row>
    <row r="1974">
      <c r="A1974" s="5" t="inlineStr">
        <is>
          <t>OP13078</t>
        </is>
      </c>
      <c r="B1974" s="6" t="inlineStr">
        <is>
          <t>Hendri</t>
        </is>
      </c>
      <c r="C1974" s="7" t="inlineStr">
        <is>
          <t>AT1 - Agen Tangerang</t>
        </is>
      </c>
      <c r="D1974" s="1" t="inlineStr">
        <is>
          <t>OP00002</t>
        </is>
      </c>
      <c r="E1974" s="8" t="n">
        <v>45457.87638888889</v>
      </c>
      <c r="F1974" s="7" t="inlineStr">
        <is>
          <t>AGEN</t>
        </is>
      </c>
      <c r="G1974" s="18" t="inlineStr">
        <is>
          <t>OP13078</t>
        </is>
      </c>
      <c r="H1974" s="19">
        <f>UPPER(Table3[[#This Row],[Agen id]]&amp;"-"&amp;VLOOKUP(Table3[[#This Row],[Agen id]],A:B,2,0)&amp;"("&amp;Table3[[#This Row],[Short]]&amp;")")</f>
        <v/>
      </c>
      <c r="J1974" s="7">
        <f>VLOOKUP(Table3[[#This Row],[Agen id]],Agen!A:C,3,0)</f>
        <v/>
      </c>
      <c r="K1974" s="37">
        <f>TRIM(LEFT(Table3[[#This Row],[Group]],2))</f>
        <v/>
      </c>
      <c r="L1974" s="3" t="inlineStr">
        <is>
          <t>NON SALES</t>
        </is>
      </c>
    </row>
    <row r="1975">
      <c r="A1975" s="5" t="inlineStr">
        <is>
          <t>OP13121</t>
        </is>
      </c>
      <c r="B1975" s="6" t="inlineStr">
        <is>
          <t>melda</t>
        </is>
      </c>
      <c r="C1975" s="7" t="inlineStr">
        <is>
          <t>AV - Agen Verified</t>
        </is>
      </c>
      <c r="D1975" s="1" t="inlineStr">
        <is>
          <t>OP11432</t>
        </is>
      </c>
      <c r="E1975" s="8" t="n">
        <v>45461.39513888889</v>
      </c>
      <c r="F1975" s="7" t="inlineStr">
        <is>
          <t>DOWNLINE</t>
        </is>
      </c>
      <c r="G1975" s="18" t="inlineStr">
        <is>
          <t>OP11432</t>
        </is>
      </c>
      <c r="H1975" s="19">
        <f>UPPER(Table3[[#This Row],[Agen id]]&amp;"-"&amp;VLOOKUP(Table3[[#This Row],[Agen id]],A:B,2,0)&amp;"("&amp;Table3[[#This Row],[Short]]&amp;")")</f>
        <v/>
      </c>
      <c r="J1975" s="7">
        <f>VLOOKUP(Table3[[#This Row],[Agen id]],Agen!A:C,3,0)</f>
        <v/>
      </c>
      <c r="K1975" s="37">
        <f>TRIM(LEFT(Table3[[#This Row],[Group]],2))</f>
        <v/>
      </c>
      <c r="L1975" s="3" t="inlineStr">
        <is>
          <t>NON SALES</t>
        </is>
      </c>
    </row>
    <row r="1976">
      <c r="A1976" s="5" t="inlineStr">
        <is>
          <t>OP13137</t>
        </is>
      </c>
      <c r="B1976" s="6" t="inlineStr">
        <is>
          <t>Kasela</t>
        </is>
      </c>
      <c r="C1976" s="7" t="inlineStr">
        <is>
          <t>A - Agen</t>
        </is>
      </c>
      <c r="D1976" s="1" t="inlineStr">
        <is>
          <t>OP00594</t>
        </is>
      </c>
      <c r="E1976" s="8" t="n">
        <v>45462.76388888889</v>
      </c>
      <c r="F1976" s="7" t="inlineStr">
        <is>
          <t>DOWNLINE</t>
        </is>
      </c>
      <c r="G1976" s="18" t="inlineStr">
        <is>
          <t>OP00014</t>
        </is>
      </c>
      <c r="H1976" s="19">
        <f>UPPER(Table3[[#This Row],[Agen id]]&amp;"-"&amp;VLOOKUP(Table3[[#This Row],[Agen id]],A:B,2,0)&amp;"("&amp;Table3[[#This Row],[Short]]&amp;")")</f>
        <v/>
      </c>
      <c r="J1976" s="7">
        <f>VLOOKUP(Table3[[#This Row],[Agen id]],Agen!A:C,3,0)</f>
        <v/>
      </c>
      <c r="K1976" s="37">
        <f>TRIM(LEFT(Table3[[#This Row],[Group]],2))</f>
        <v/>
      </c>
      <c r="L1976" s="3" t="inlineStr">
        <is>
          <t>NON SALES</t>
        </is>
      </c>
    </row>
    <row r="1977">
      <c r="A1977" s="5" t="inlineStr">
        <is>
          <t>OP13139</t>
        </is>
      </c>
      <c r="B1977" s="6" t="inlineStr">
        <is>
          <t>IQBAL</t>
        </is>
      </c>
      <c r="C1977" s="7" t="inlineStr">
        <is>
          <t>AB1 - Agen Kab Bogor</t>
        </is>
      </c>
      <c r="D1977" s="1" t="inlineStr">
        <is>
          <t>OP07955</t>
        </is>
      </c>
      <c r="E1977" s="8" t="n">
        <v>45462.87291666667</v>
      </c>
      <c r="F1977" s="7" t="inlineStr">
        <is>
          <t>DOWNLINE</t>
        </is>
      </c>
      <c r="G1977" s="18" t="inlineStr">
        <is>
          <t>OP07955</t>
        </is>
      </c>
      <c r="H1977" s="19">
        <f>UPPER(Table3[[#This Row],[Agen id]]&amp;"-"&amp;VLOOKUP(Table3[[#This Row],[Agen id]],A:B,2,0)&amp;"("&amp;Table3[[#This Row],[Short]]&amp;")")</f>
        <v/>
      </c>
      <c r="J1977" s="7">
        <f>VLOOKUP(Table3[[#This Row],[Agen id]],Agen!A:C,3,0)</f>
        <v/>
      </c>
      <c r="K1977" s="37">
        <f>TRIM(LEFT(Table3[[#This Row],[Group]],2))</f>
        <v/>
      </c>
      <c r="L1977" s="3" t="inlineStr">
        <is>
          <t>NON SALES</t>
        </is>
      </c>
    </row>
    <row r="1978">
      <c r="A1978" s="5" t="inlineStr">
        <is>
          <t>OP13149</t>
        </is>
      </c>
      <c r="B1978" s="6" t="inlineStr">
        <is>
          <t>Mulyadi</t>
        </is>
      </c>
      <c r="C1978" s="7" t="inlineStr">
        <is>
          <t>AV - Agen Verified</t>
        </is>
      </c>
      <c r="D1978" s="1" t="inlineStr">
        <is>
          <t>OP00002</t>
        </is>
      </c>
      <c r="E1978" s="8" t="n">
        <v>45463.59652777778</v>
      </c>
      <c r="F1978" s="7" t="inlineStr">
        <is>
          <t>AGEN</t>
        </is>
      </c>
      <c r="G1978" s="18" t="inlineStr">
        <is>
          <t>OP13149</t>
        </is>
      </c>
      <c r="H1978" s="19">
        <f>UPPER(Table3[[#This Row],[Agen id]]&amp;"-"&amp;VLOOKUP(Table3[[#This Row],[Agen id]],A:B,2,0)&amp;"("&amp;Table3[[#This Row],[Short]]&amp;")")</f>
        <v/>
      </c>
      <c r="J1978" s="7">
        <f>VLOOKUP(Table3[[#This Row],[Agen id]],Agen!A:C,3,0)</f>
        <v/>
      </c>
      <c r="K1978" s="37">
        <f>TRIM(LEFT(Table3[[#This Row],[Group]],2))</f>
        <v/>
      </c>
      <c r="L1978" s="3" t="inlineStr">
        <is>
          <t>NON SALES</t>
        </is>
      </c>
    </row>
    <row r="1979">
      <c r="A1979" s="5" t="inlineStr">
        <is>
          <t>OP13151</t>
        </is>
      </c>
      <c r="B1979" s="6" t="inlineStr">
        <is>
          <t>Novita sari</t>
        </is>
      </c>
      <c r="C1979" s="7" t="inlineStr">
        <is>
          <t>A - Agen</t>
        </is>
      </c>
      <c r="D1979" s="1" t="inlineStr">
        <is>
          <t>OP00051</t>
        </is>
      </c>
      <c r="E1979" s="8" t="n">
        <v>45463.61111111111</v>
      </c>
      <c r="F1979" s="7" t="inlineStr">
        <is>
          <t>DOWNLINE</t>
        </is>
      </c>
      <c r="G1979" s="18" t="inlineStr">
        <is>
          <t>OP00051</t>
        </is>
      </c>
      <c r="H1979" s="19">
        <f>UPPER(Table3[[#This Row],[Agen id]]&amp;"-"&amp;VLOOKUP(Table3[[#This Row],[Agen id]],A:B,2,0)&amp;"("&amp;Table3[[#This Row],[Short]]&amp;")")</f>
        <v/>
      </c>
      <c r="J1979" s="7">
        <f>VLOOKUP(Table3[[#This Row],[Agen id]],Agen!A:C,3,0)</f>
        <v/>
      </c>
      <c r="K1979" s="37">
        <f>TRIM(LEFT(Table3[[#This Row],[Group]],2))</f>
        <v/>
      </c>
      <c r="L1979" s="3" t="inlineStr">
        <is>
          <t>NON SALES</t>
        </is>
      </c>
    </row>
    <row r="1980">
      <c r="A1980" s="5" t="inlineStr">
        <is>
          <t>OP13156</t>
        </is>
      </c>
      <c r="B1980" s="6" t="inlineStr">
        <is>
          <t>Dodik B Siji</t>
        </is>
      </c>
      <c r="C1980" s="7" t="inlineStr">
        <is>
          <t>AV - Agen Verified</t>
        </is>
      </c>
      <c r="D1980" s="1" t="inlineStr">
        <is>
          <t>OP01054</t>
        </is>
      </c>
      <c r="E1980" s="8" t="n">
        <v>45463.84513888889</v>
      </c>
      <c r="F1980" s="7" t="inlineStr">
        <is>
          <t>DOWNLINE</t>
        </is>
      </c>
      <c r="G1980" s="18" t="inlineStr">
        <is>
          <t>OP01054</t>
        </is>
      </c>
      <c r="H1980" s="19">
        <f>UPPER(Table3[[#This Row],[Agen id]]&amp;"-"&amp;VLOOKUP(Table3[[#This Row],[Agen id]],A:B,2,0)&amp;"("&amp;Table3[[#This Row],[Short]]&amp;")")</f>
        <v/>
      </c>
      <c r="J1980" s="7">
        <f>VLOOKUP(Table3[[#This Row],[Agen id]],Agen!A:C,3,0)</f>
        <v/>
      </c>
      <c r="K1980" s="37">
        <f>TRIM(LEFT(Table3[[#This Row],[Group]],2))</f>
        <v/>
      </c>
      <c r="L1980" s="3" t="inlineStr">
        <is>
          <t>NON SALES</t>
        </is>
      </c>
    </row>
    <row r="1981">
      <c r="A1981" s="5" t="inlineStr">
        <is>
          <t>OP13157</t>
        </is>
      </c>
      <c r="B1981" s="6" t="inlineStr">
        <is>
          <t>Parcell</t>
        </is>
      </c>
      <c r="C1981" s="7" t="inlineStr">
        <is>
          <t>AT1 - Agen Tangerang</t>
        </is>
      </c>
      <c r="D1981" s="1" t="inlineStr">
        <is>
          <t>OP07683</t>
        </is>
      </c>
      <c r="E1981" s="8" t="n">
        <v>45463.87430555555</v>
      </c>
      <c r="F1981" s="7" t="inlineStr">
        <is>
          <t>AGEN</t>
        </is>
      </c>
      <c r="G1981" s="18" t="inlineStr">
        <is>
          <t>OP13157</t>
        </is>
      </c>
      <c r="H1981" s="19">
        <f>UPPER(Table3[[#This Row],[Agen id]]&amp;"-"&amp;VLOOKUP(Table3[[#This Row],[Agen id]],A:B,2,0)&amp;"("&amp;Table3[[#This Row],[Short]]&amp;")")</f>
        <v/>
      </c>
      <c r="J1981" s="7">
        <f>VLOOKUP(Table3[[#This Row],[Agen id]],Agen!A:C,3,0)</f>
        <v/>
      </c>
      <c r="K1981" s="37">
        <f>TRIM(LEFT(Table3[[#This Row],[Group]],2))</f>
        <v/>
      </c>
      <c r="L1981" s="3" t="inlineStr">
        <is>
          <t>NON SALES</t>
        </is>
      </c>
    </row>
    <row r="1982">
      <c r="A1982" s="5" t="inlineStr">
        <is>
          <t>OP13175</t>
        </is>
      </c>
      <c r="B1982" s="6" t="inlineStr">
        <is>
          <t>istana ponsel</t>
        </is>
      </c>
      <c r="C1982" s="7" t="inlineStr">
        <is>
          <t>AV - Agen Verified</t>
        </is>
      </c>
      <c r="D1982" s="1" t="inlineStr">
        <is>
          <t>OP03216</t>
        </is>
      </c>
      <c r="E1982" s="8" t="n">
        <v>45465.44861111111</v>
      </c>
      <c r="F1982" s="7" t="inlineStr">
        <is>
          <t>DOWNLINE</t>
        </is>
      </c>
      <c r="G1982" s="18" t="inlineStr">
        <is>
          <t>OP00049</t>
        </is>
      </c>
      <c r="H1982" s="19">
        <f>UPPER(Table3[[#This Row],[Agen id]]&amp;"-"&amp;VLOOKUP(Table3[[#This Row],[Agen id]],A:B,2,0)&amp;"("&amp;Table3[[#This Row],[Short]]&amp;")")</f>
        <v/>
      </c>
      <c r="J1982" s="7">
        <f>VLOOKUP(Table3[[#This Row],[Agen id]],Agen!A:C,3,0)</f>
        <v/>
      </c>
      <c r="K1982" s="37">
        <f>TRIM(LEFT(Table3[[#This Row],[Group]],2))</f>
        <v/>
      </c>
      <c r="L1982" s="3" t="inlineStr">
        <is>
          <t>NON SALES</t>
        </is>
      </c>
    </row>
    <row r="1983">
      <c r="A1983" s="5" t="inlineStr">
        <is>
          <t>OP13177</t>
        </is>
      </c>
      <c r="B1983" s="6" t="inlineStr">
        <is>
          <t>Ahmad Budiarjo</t>
        </is>
      </c>
      <c r="C1983" s="7" t="inlineStr">
        <is>
          <t>A - Agen</t>
        </is>
      </c>
      <c r="D1983" s="1" t="inlineStr">
        <is>
          <t>OP00002</t>
        </is>
      </c>
      <c r="E1983" s="8" t="n">
        <v>45465.51180555556</v>
      </c>
      <c r="F1983" s="7" t="inlineStr">
        <is>
          <t>AGEN</t>
        </is>
      </c>
      <c r="G1983" s="18" t="inlineStr">
        <is>
          <t>OP13177</t>
        </is>
      </c>
      <c r="H1983" s="19">
        <f>UPPER(Table3[[#This Row],[Agen id]]&amp;"-"&amp;VLOOKUP(Table3[[#This Row],[Agen id]],A:B,2,0)&amp;"("&amp;Table3[[#This Row],[Short]]&amp;")")</f>
        <v/>
      </c>
      <c r="J1983" s="7">
        <f>VLOOKUP(Table3[[#This Row],[Agen id]],Agen!A:C,3,0)</f>
        <v/>
      </c>
      <c r="K1983" s="37">
        <f>TRIM(LEFT(Table3[[#This Row],[Group]],2))</f>
        <v/>
      </c>
      <c r="L1983" s="3" t="inlineStr">
        <is>
          <t>NON SALES</t>
        </is>
      </c>
    </row>
    <row r="1984">
      <c r="A1984" s="5" t="inlineStr">
        <is>
          <t>OP13179</t>
        </is>
      </c>
      <c r="B1984" s="6" t="inlineStr">
        <is>
          <t>Abduh</t>
        </is>
      </c>
      <c r="C1984" s="7" t="inlineStr">
        <is>
          <t>AV - Agen Verified</t>
        </is>
      </c>
      <c r="D1984" s="1" t="inlineStr">
        <is>
          <t>OP03216</t>
        </is>
      </c>
      <c r="E1984" s="8" t="n">
        <v>45465.53125</v>
      </c>
      <c r="F1984" s="7" t="inlineStr">
        <is>
          <t>DOWNLINE</t>
        </is>
      </c>
      <c r="G1984" s="18" t="inlineStr">
        <is>
          <t>OP00049</t>
        </is>
      </c>
      <c r="H1984" s="19">
        <f>UPPER(Table3[[#This Row],[Agen id]]&amp;"-"&amp;VLOOKUP(Table3[[#This Row],[Agen id]],A:B,2,0)&amp;"("&amp;Table3[[#This Row],[Short]]&amp;")")</f>
        <v/>
      </c>
      <c r="J1984" s="7">
        <f>VLOOKUP(Table3[[#This Row],[Agen id]],Agen!A:C,3,0)</f>
        <v/>
      </c>
      <c r="K1984" s="37">
        <f>TRIM(LEFT(Table3[[#This Row],[Group]],2))</f>
        <v/>
      </c>
      <c r="L1984" s="3" t="inlineStr">
        <is>
          <t>NON SALES</t>
        </is>
      </c>
    </row>
    <row r="1985">
      <c r="A1985" s="5" t="inlineStr">
        <is>
          <t>OP13218</t>
        </is>
      </c>
      <c r="B1985" s="6" t="inlineStr">
        <is>
          <t>Ekel dan Monica</t>
        </is>
      </c>
      <c r="C1985" s="7" t="inlineStr">
        <is>
          <t>A - Agen</t>
        </is>
      </c>
      <c r="D1985" s="1" t="inlineStr">
        <is>
          <t>OP00002</t>
        </is>
      </c>
      <c r="E1985" s="8" t="n">
        <v>45467.97291666667</v>
      </c>
      <c r="F1985" s="7" t="inlineStr">
        <is>
          <t>AGEN</t>
        </is>
      </c>
      <c r="G1985" s="18" t="inlineStr">
        <is>
          <t>OP13218</t>
        </is>
      </c>
      <c r="H1985" s="19">
        <f>UPPER(Table3[[#This Row],[Agen id]]&amp;"-"&amp;VLOOKUP(Table3[[#This Row],[Agen id]],A:B,2,0)&amp;"("&amp;Table3[[#This Row],[Short]]&amp;")")</f>
        <v/>
      </c>
      <c r="J1985" s="7">
        <f>VLOOKUP(Table3[[#This Row],[Agen id]],Agen!A:C,3,0)</f>
        <v/>
      </c>
      <c r="K1985" s="37">
        <f>TRIM(LEFT(Table3[[#This Row],[Group]],2))</f>
        <v/>
      </c>
      <c r="L1985" s="3" t="inlineStr">
        <is>
          <t>NON SALES</t>
        </is>
      </c>
    </row>
    <row r="1986">
      <c r="A1986" s="5" t="inlineStr">
        <is>
          <t>OP13251</t>
        </is>
      </c>
      <c r="B1986" s="6" t="inlineStr">
        <is>
          <t>adhy cell 2</t>
        </is>
      </c>
      <c r="C1986" s="7" t="inlineStr">
        <is>
          <t>AV - Agen Verified</t>
        </is>
      </c>
      <c r="D1986" s="1" t="inlineStr">
        <is>
          <t>OP03215</t>
        </is>
      </c>
      <c r="E1986" s="8" t="n">
        <v>45469.38194444445</v>
      </c>
      <c r="F1986" s="7" t="inlineStr">
        <is>
          <t>DOWNLINE</t>
        </is>
      </c>
      <c r="G1986" s="18" t="inlineStr">
        <is>
          <t>OP03179</t>
        </is>
      </c>
      <c r="H1986" s="19">
        <f>UPPER(Table3[[#This Row],[Agen id]]&amp;"-"&amp;VLOOKUP(Table3[[#This Row],[Agen id]],A:B,2,0)&amp;"("&amp;Table3[[#This Row],[Short]]&amp;")")</f>
        <v/>
      </c>
      <c r="J1986" s="7">
        <f>VLOOKUP(Table3[[#This Row],[Agen id]],Agen!A:C,3,0)</f>
        <v/>
      </c>
      <c r="K1986" s="37">
        <f>TRIM(LEFT(Table3[[#This Row],[Group]],2))</f>
        <v/>
      </c>
      <c r="L1986" s="3" t="inlineStr">
        <is>
          <t>NON SALES</t>
        </is>
      </c>
    </row>
    <row r="1987">
      <c r="A1987" s="5" t="inlineStr">
        <is>
          <t>OP13281</t>
        </is>
      </c>
      <c r="B1987" s="6" t="inlineStr">
        <is>
          <t>Mput cell</t>
        </is>
      </c>
      <c r="C1987" s="7" t="inlineStr">
        <is>
          <t>AV - Agen Verified</t>
        </is>
      </c>
      <c r="D1987" s="1" t="inlineStr">
        <is>
          <t>OP00002</t>
        </is>
      </c>
      <c r="E1987" s="8" t="n">
        <v>45470.47986111111</v>
      </c>
      <c r="F1987" s="7" t="inlineStr">
        <is>
          <t>AGEN</t>
        </is>
      </c>
      <c r="G1987" s="18" t="inlineStr">
        <is>
          <t>OP13281</t>
        </is>
      </c>
      <c r="H1987" s="19">
        <f>UPPER(Table3[[#This Row],[Agen id]]&amp;"-"&amp;VLOOKUP(Table3[[#This Row],[Agen id]],A:B,2,0)&amp;"("&amp;Table3[[#This Row],[Short]]&amp;")")</f>
        <v/>
      </c>
      <c r="J1987" s="7">
        <f>VLOOKUP(Table3[[#This Row],[Agen id]],Agen!A:C,3,0)</f>
        <v/>
      </c>
      <c r="K1987" s="37">
        <f>TRIM(LEFT(Table3[[#This Row],[Group]],2))</f>
        <v/>
      </c>
      <c r="L1987" s="3" t="inlineStr">
        <is>
          <t>NON SALES</t>
        </is>
      </c>
    </row>
    <row r="1988">
      <c r="A1988" s="5" t="inlineStr">
        <is>
          <t>OP13305</t>
        </is>
      </c>
      <c r="B1988" s="6" t="inlineStr">
        <is>
          <t>Deni</t>
        </is>
      </c>
      <c r="C1988" s="7" t="inlineStr">
        <is>
          <t>A - Agen</t>
        </is>
      </c>
      <c r="D1988" s="1" t="inlineStr">
        <is>
          <t>OP00335</t>
        </is>
      </c>
      <c r="E1988" s="8" t="n">
        <v>45471.50694444445</v>
      </c>
      <c r="F1988" s="7" t="inlineStr">
        <is>
          <t>DOWNLINE</t>
        </is>
      </c>
      <c r="G1988" s="18" t="inlineStr">
        <is>
          <t>OP00335</t>
        </is>
      </c>
      <c r="H1988" s="19">
        <f>UPPER(Table3[[#This Row],[Agen id]]&amp;"-"&amp;VLOOKUP(Table3[[#This Row],[Agen id]],A:B,2,0)&amp;"("&amp;Table3[[#This Row],[Short]]&amp;")")</f>
        <v/>
      </c>
      <c r="J1988" s="7">
        <f>VLOOKUP(Table3[[#This Row],[Agen id]],Agen!A:C,3,0)</f>
        <v/>
      </c>
      <c r="K1988" s="37">
        <f>TRIM(LEFT(Table3[[#This Row],[Group]],2))</f>
        <v/>
      </c>
      <c r="L1988" s="3" t="inlineStr">
        <is>
          <t>NON SALES</t>
        </is>
      </c>
    </row>
    <row r="1989">
      <c r="A1989" s="5" t="inlineStr">
        <is>
          <t>OP13335</t>
        </is>
      </c>
      <c r="B1989" s="6" t="inlineStr">
        <is>
          <t>wheeryo</t>
        </is>
      </c>
      <c r="C1989" s="7" t="inlineStr">
        <is>
          <t>AV - Agen Verified</t>
        </is>
      </c>
      <c r="D1989" s="1" t="inlineStr">
        <is>
          <t>OP08200</t>
        </is>
      </c>
      <c r="E1989" s="8" t="n">
        <v>45472.725</v>
      </c>
      <c r="F1989" s="7" t="inlineStr">
        <is>
          <t>DOWNLINE</t>
        </is>
      </c>
      <c r="G1989" s="18" t="inlineStr">
        <is>
          <t>OP08200</t>
        </is>
      </c>
      <c r="H1989" s="19">
        <f>UPPER(Table3[[#This Row],[Agen id]]&amp;"-"&amp;VLOOKUP(Table3[[#This Row],[Agen id]],A:B,2,0)&amp;"("&amp;Table3[[#This Row],[Short]]&amp;")")</f>
        <v/>
      </c>
      <c r="J1989" s="7">
        <f>VLOOKUP(Table3[[#This Row],[Agen id]],Agen!A:C,3,0)</f>
        <v/>
      </c>
      <c r="K1989" s="37">
        <f>TRIM(LEFT(Table3[[#This Row],[Group]],2))</f>
        <v/>
      </c>
      <c r="L1989" s="3" t="inlineStr">
        <is>
          <t>NON SALES</t>
        </is>
      </c>
    </row>
    <row r="1990">
      <c r="A1990" s="5" t="inlineStr">
        <is>
          <t>OP13336</t>
        </is>
      </c>
      <c r="B1990" s="6" t="inlineStr">
        <is>
          <t>FIKA</t>
        </is>
      </c>
      <c r="C1990" s="7" t="inlineStr">
        <is>
          <t>A - Agen</t>
        </is>
      </c>
      <c r="D1990" s="1" t="inlineStr">
        <is>
          <t>OP00788</t>
        </is>
      </c>
      <c r="E1990" s="8" t="n">
        <v>45472.76111111111</v>
      </c>
      <c r="F1990" s="7" t="inlineStr">
        <is>
          <t>DOWNLINE</t>
        </is>
      </c>
      <c r="G1990" s="18" t="inlineStr">
        <is>
          <t>OP00431</t>
        </is>
      </c>
      <c r="H1990" s="19">
        <f>UPPER(Table3[[#This Row],[Agen id]]&amp;"-"&amp;VLOOKUP(Table3[[#This Row],[Agen id]],A:B,2,0)&amp;"("&amp;Table3[[#This Row],[Short]]&amp;")")</f>
        <v/>
      </c>
      <c r="J1990" s="7">
        <f>VLOOKUP(Table3[[#This Row],[Agen id]],Agen!A:C,3,0)</f>
        <v/>
      </c>
      <c r="K1990" s="37">
        <f>TRIM(LEFT(Table3[[#This Row],[Group]],2))</f>
        <v/>
      </c>
      <c r="L1990" s="3" t="inlineStr">
        <is>
          <t>NON SALES</t>
        </is>
      </c>
    </row>
    <row r="1991">
      <c r="A1991" s="5" t="inlineStr">
        <is>
          <t>OP13337</t>
        </is>
      </c>
      <c r="B1991" s="6" t="inlineStr">
        <is>
          <t>Asepcell</t>
        </is>
      </c>
      <c r="C1991" s="7" t="inlineStr">
        <is>
          <t>A - Agen</t>
        </is>
      </c>
      <c r="D1991" s="1" t="inlineStr">
        <is>
          <t>OP00018</t>
        </is>
      </c>
      <c r="E1991" s="8" t="n">
        <v>45472.7625</v>
      </c>
      <c r="F1991" s="7" t="inlineStr">
        <is>
          <t>DOWNLINE</t>
        </is>
      </c>
      <c r="G1991" s="18" t="inlineStr">
        <is>
          <t>OP00018</t>
        </is>
      </c>
      <c r="H1991" s="19">
        <f>UPPER(Table3[[#This Row],[Agen id]]&amp;"-"&amp;VLOOKUP(Table3[[#This Row],[Agen id]],A:B,2,0)&amp;"("&amp;Table3[[#This Row],[Short]]&amp;")")</f>
        <v/>
      </c>
      <c r="J1991" s="7">
        <f>VLOOKUP(Table3[[#This Row],[Agen id]],Agen!A:C,3,0)</f>
        <v/>
      </c>
      <c r="K1991" s="37">
        <f>TRIM(LEFT(Table3[[#This Row],[Group]],2))</f>
        <v/>
      </c>
      <c r="L1991" s="3" t="inlineStr">
        <is>
          <t>NON SALES</t>
        </is>
      </c>
    </row>
    <row r="1992">
      <c r="A1992" s="5" t="inlineStr">
        <is>
          <t>OP13341</t>
        </is>
      </c>
      <c r="B1992" s="6" t="inlineStr">
        <is>
          <t>cici</t>
        </is>
      </c>
      <c r="C1992" s="7" t="inlineStr">
        <is>
          <t>AV - Agen Verified</t>
        </is>
      </c>
      <c r="D1992" s="1" t="inlineStr">
        <is>
          <t>OP11432</t>
        </is>
      </c>
      <c r="E1992" s="8" t="n">
        <v>45473.31458333333</v>
      </c>
      <c r="F1992" s="7" t="inlineStr">
        <is>
          <t>DOWNLINE</t>
        </is>
      </c>
      <c r="G1992" s="18" t="inlineStr">
        <is>
          <t>OP11432</t>
        </is>
      </c>
      <c r="H1992" s="19">
        <f>UPPER(Table3[[#This Row],[Agen id]]&amp;"-"&amp;VLOOKUP(Table3[[#This Row],[Agen id]],A:B,2,0)&amp;"("&amp;Table3[[#This Row],[Short]]&amp;")")</f>
        <v/>
      </c>
      <c r="J1992" s="7">
        <f>VLOOKUP(Table3[[#This Row],[Agen id]],Agen!A:C,3,0)</f>
        <v/>
      </c>
      <c r="K1992" s="37">
        <f>TRIM(LEFT(Table3[[#This Row],[Group]],2))</f>
        <v/>
      </c>
      <c r="L1992" s="3" t="inlineStr">
        <is>
          <t>NON SALES</t>
        </is>
      </c>
    </row>
    <row r="1993">
      <c r="A1993" s="5" t="inlineStr">
        <is>
          <t>OP13342</t>
        </is>
      </c>
      <c r="B1993" s="6" t="inlineStr">
        <is>
          <t>RisdiGioCell</t>
        </is>
      </c>
      <c r="C1993" s="7" t="inlineStr">
        <is>
          <t>AV - Agen Verified</t>
        </is>
      </c>
      <c r="D1993" s="1" t="inlineStr">
        <is>
          <t>OP03033</t>
        </is>
      </c>
      <c r="E1993" s="8" t="n">
        <v>45473.39305555556</v>
      </c>
      <c r="F1993" s="7" t="inlineStr">
        <is>
          <t>DOWNLINE</t>
        </is>
      </c>
      <c r="G1993" s="18" t="inlineStr">
        <is>
          <t>OP00049</t>
        </is>
      </c>
      <c r="H1993" s="19">
        <f>UPPER(Table3[[#This Row],[Agen id]]&amp;"-"&amp;VLOOKUP(Table3[[#This Row],[Agen id]],A:B,2,0)&amp;"("&amp;Table3[[#This Row],[Short]]&amp;")")</f>
        <v/>
      </c>
      <c r="J1993" s="7">
        <f>VLOOKUP(Table3[[#This Row],[Agen id]],Agen!A:C,3,0)</f>
        <v/>
      </c>
      <c r="K1993" s="37">
        <f>TRIM(LEFT(Table3[[#This Row],[Group]],2))</f>
        <v/>
      </c>
      <c r="L1993" s="3" t="inlineStr">
        <is>
          <t>NON SALES</t>
        </is>
      </c>
    </row>
    <row r="1994">
      <c r="A1994" s="5" t="inlineStr">
        <is>
          <t>OP13344</t>
        </is>
      </c>
      <c r="B1994" s="6" t="inlineStr">
        <is>
          <t>KiaQilla</t>
        </is>
      </c>
      <c r="C1994" s="7" t="inlineStr">
        <is>
          <t>AV - Agen Verified</t>
        </is>
      </c>
      <c r="D1994" s="1" t="inlineStr">
        <is>
          <t>OP00002</t>
        </is>
      </c>
      <c r="E1994" s="8" t="n">
        <v>45473.53125</v>
      </c>
      <c r="F1994" s="7" t="inlineStr">
        <is>
          <t>AGEN</t>
        </is>
      </c>
      <c r="G1994" s="18" t="inlineStr">
        <is>
          <t>OP13344</t>
        </is>
      </c>
      <c r="H1994" s="19">
        <f>UPPER(Table3[[#This Row],[Agen id]]&amp;"-"&amp;VLOOKUP(Table3[[#This Row],[Agen id]],A:B,2,0)&amp;"("&amp;Table3[[#This Row],[Short]]&amp;")")</f>
        <v/>
      </c>
      <c r="J1994" s="7">
        <f>VLOOKUP(Table3[[#This Row],[Agen id]],Agen!A:C,3,0)</f>
        <v/>
      </c>
      <c r="K1994" s="37">
        <f>TRIM(LEFT(Table3[[#This Row],[Group]],2))</f>
        <v/>
      </c>
      <c r="L1994" s="3" t="inlineStr">
        <is>
          <t>NON SALES</t>
        </is>
      </c>
    </row>
    <row r="1995">
      <c r="A1995" s="5" t="inlineStr">
        <is>
          <t>OP13345</t>
        </is>
      </c>
      <c r="B1995" s="6" t="inlineStr">
        <is>
          <t>toko aulia</t>
        </is>
      </c>
      <c r="C1995" s="7" t="inlineStr">
        <is>
          <t>AV - Agen Verified</t>
        </is>
      </c>
      <c r="D1995" s="1" t="inlineStr">
        <is>
          <t>OP08054</t>
        </is>
      </c>
      <c r="E1995" s="8" t="n">
        <v>45474.33125</v>
      </c>
      <c r="F1995" s="7" t="inlineStr">
        <is>
          <t>DOWNLINE</t>
        </is>
      </c>
      <c r="G1995" s="18" t="inlineStr">
        <is>
          <t>OP00049</t>
        </is>
      </c>
      <c r="H1995" s="19">
        <f>UPPER(Table3[[#This Row],[Agen id]]&amp;"-"&amp;VLOOKUP(Table3[[#This Row],[Agen id]],A:B,2,0)&amp;"("&amp;Table3[[#This Row],[Short]]&amp;")")</f>
        <v/>
      </c>
      <c r="J1995" s="7">
        <f>VLOOKUP(Table3[[#This Row],[Agen id]],Agen!A:C,3,0)</f>
        <v/>
      </c>
      <c r="K1995" s="37">
        <f>TRIM(LEFT(Table3[[#This Row],[Group]],2))</f>
        <v/>
      </c>
      <c r="L1995" s="3" t="inlineStr">
        <is>
          <t>NON SALES</t>
        </is>
      </c>
    </row>
    <row r="1996">
      <c r="A1996" s="5" t="inlineStr">
        <is>
          <t>OP13347</t>
        </is>
      </c>
      <c r="B1996" s="6" t="inlineStr">
        <is>
          <t>Karunia cell</t>
        </is>
      </c>
      <c r="C1996" s="7" t="inlineStr">
        <is>
          <t>AB1 - Agen Kab Bogor</t>
        </is>
      </c>
      <c r="D1996" s="1" t="inlineStr">
        <is>
          <t>OP07367</t>
        </is>
      </c>
      <c r="E1996" s="8" t="n">
        <v>45475.48611111111</v>
      </c>
      <c r="F1996" s="7" t="inlineStr">
        <is>
          <t>AGEN</t>
        </is>
      </c>
      <c r="G1996" s="18" t="inlineStr">
        <is>
          <t>OP13347</t>
        </is>
      </c>
      <c r="H1996" s="19">
        <f>UPPER(Table3[[#This Row],[Agen id]]&amp;"-"&amp;VLOOKUP(Table3[[#This Row],[Agen id]],A:B,2,0)&amp;"("&amp;Table3[[#This Row],[Short]]&amp;")")</f>
        <v/>
      </c>
      <c r="J1996" s="7">
        <f>VLOOKUP(Table3[[#This Row],[Agen id]],Agen!A:C,3,0)</f>
        <v/>
      </c>
      <c r="K1996" s="37">
        <f>TRIM(LEFT(Table3[[#This Row],[Group]],2))</f>
        <v/>
      </c>
      <c r="L1996" s="3" t="inlineStr">
        <is>
          <t>NON SALES</t>
        </is>
      </c>
    </row>
    <row r="1997">
      <c r="A1997" s="5" t="inlineStr">
        <is>
          <t>OP13350</t>
        </is>
      </c>
      <c r="B1997" s="6" t="inlineStr">
        <is>
          <t>Muhammad refha erbakan</t>
        </is>
      </c>
      <c r="C1997" s="7" t="inlineStr">
        <is>
          <t>A - Agen</t>
        </is>
      </c>
      <c r="D1997" s="1" t="inlineStr">
        <is>
          <t>OP00002</t>
        </is>
      </c>
      <c r="E1997" s="8" t="n">
        <v>45475.81666666667</v>
      </c>
      <c r="F1997" s="7" t="inlineStr">
        <is>
          <t>AGEN</t>
        </is>
      </c>
      <c r="G1997" s="18" t="inlineStr">
        <is>
          <t>OP13350</t>
        </is>
      </c>
      <c r="H1997" s="19">
        <f>UPPER(Table3[[#This Row],[Agen id]]&amp;"-"&amp;VLOOKUP(Table3[[#This Row],[Agen id]],A:B,2,0)&amp;"("&amp;Table3[[#This Row],[Short]]&amp;")")</f>
        <v/>
      </c>
      <c r="J1997" s="7">
        <f>VLOOKUP(Table3[[#This Row],[Agen id]],Agen!A:C,3,0)</f>
        <v/>
      </c>
      <c r="K1997" s="37">
        <f>TRIM(LEFT(Table3[[#This Row],[Group]],2))</f>
        <v/>
      </c>
      <c r="L1997" s="3" t="inlineStr">
        <is>
          <t>NON SALES</t>
        </is>
      </c>
    </row>
    <row r="1998">
      <c r="A1998" s="5" t="inlineStr">
        <is>
          <t>OP13388</t>
        </is>
      </c>
      <c r="B1998" s="6" t="inlineStr">
        <is>
          <t>SR 4</t>
        </is>
      </c>
      <c r="C1998" s="7" t="inlineStr">
        <is>
          <t>AB1 - Agen Kab Bogor</t>
        </is>
      </c>
      <c r="D1998" s="1" t="inlineStr">
        <is>
          <t>OP07367</t>
        </is>
      </c>
      <c r="E1998" s="8" t="n">
        <v>45476.48402777778</v>
      </c>
      <c r="F1998" s="7" t="inlineStr">
        <is>
          <t>AGEN</t>
        </is>
      </c>
      <c r="G1998" s="18" t="inlineStr">
        <is>
          <t>OP13388</t>
        </is>
      </c>
      <c r="H1998" s="19">
        <f>UPPER(Table3[[#This Row],[Agen id]]&amp;"-"&amp;VLOOKUP(Table3[[#This Row],[Agen id]],A:B,2,0)&amp;"("&amp;Table3[[#This Row],[Short]]&amp;")")</f>
        <v/>
      </c>
      <c r="J1998" s="7">
        <f>VLOOKUP(Table3[[#This Row],[Agen id]],Agen!A:C,3,0)</f>
        <v/>
      </c>
      <c r="K1998" s="37">
        <f>TRIM(LEFT(Table3[[#This Row],[Group]],2))</f>
        <v/>
      </c>
      <c r="L1998" s="3" t="inlineStr">
        <is>
          <t>NON SALES</t>
        </is>
      </c>
    </row>
    <row r="1999">
      <c r="A1999" s="5" t="inlineStr">
        <is>
          <t>OP13389</t>
        </is>
      </c>
      <c r="B1999" s="6" t="inlineStr">
        <is>
          <t>TOKO EKO</t>
        </is>
      </c>
      <c r="C1999" s="7" t="inlineStr">
        <is>
          <t>AT1 - Agen Tangerang</t>
        </is>
      </c>
      <c r="D1999" s="1" t="inlineStr">
        <is>
          <t>OP07683</t>
        </is>
      </c>
      <c r="E1999" s="8" t="n">
        <v>45476.65833333333</v>
      </c>
      <c r="F1999" s="7" t="inlineStr">
        <is>
          <t>AGEN</t>
        </is>
      </c>
      <c r="G1999" s="18" t="inlineStr">
        <is>
          <t>OP13389</t>
        </is>
      </c>
      <c r="H1999" s="19">
        <f>UPPER(Table3[[#This Row],[Agen id]]&amp;"-"&amp;VLOOKUP(Table3[[#This Row],[Agen id]],A:B,2,0)&amp;"("&amp;Table3[[#This Row],[Short]]&amp;")")</f>
        <v/>
      </c>
      <c r="J1999" s="7">
        <f>VLOOKUP(Table3[[#This Row],[Agen id]],Agen!A:C,3,0)</f>
        <v/>
      </c>
      <c r="K1999" s="37">
        <f>TRIM(LEFT(Table3[[#This Row],[Group]],2))</f>
        <v/>
      </c>
      <c r="L1999" s="3" t="inlineStr">
        <is>
          <t>NON SALES</t>
        </is>
      </c>
    </row>
    <row r="2000">
      <c r="A2000" s="5" t="inlineStr">
        <is>
          <t>OP13390</t>
        </is>
      </c>
      <c r="B2000" s="6" t="inlineStr">
        <is>
          <t>TOKO ZULFA</t>
        </is>
      </c>
      <c r="C2000" s="7" t="inlineStr">
        <is>
          <t>AT1 - Agen Tangerang</t>
        </is>
      </c>
      <c r="D2000" s="1" t="inlineStr">
        <is>
          <t>OP07683</t>
        </is>
      </c>
      <c r="E2000" s="8" t="n">
        <v>45476.74166666667</v>
      </c>
      <c r="F2000" s="7" t="inlineStr">
        <is>
          <t>AGEN</t>
        </is>
      </c>
      <c r="G2000" s="18" t="inlineStr">
        <is>
          <t>OP13390</t>
        </is>
      </c>
      <c r="H2000" s="19">
        <f>UPPER(Table3[[#This Row],[Agen id]]&amp;"-"&amp;VLOOKUP(Table3[[#This Row],[Agen id]],A:B,2,0)&amp;"("&amp;Table3[[#This Row],[Short]]&amp;")")</f>
        <v/>
      </c>
      <c r="J2000" s="7">
        <f>VLOOKUP(Table3[[#This Row],[Agen id]],Agen!A:C,3,0)</f>
        <v/>
      </c>
      <c r="K2000" s="37">
        <f>TRIM(LEFT(Table3[[#This Row],[Group]],2))</f>
        <v/>
      </c>
      <c r="L2000" s="3" t="inlineStr">
        <is>
          <t>NON SALES</t>
        </is>
      </c>
    </row>
    <row r="2001">
      <c r="A2001" s="5" t="inlineStr">
        <is>
          <t>OP13398</t>
        </is>
      </c>
      <c r="B2001" s="6" t="inlineStr">
        <is>
          <t>Kurniawan</t>
        </is>
      </c>
      <c r="C2001" s="7" t="inlineStr">
        <is>
          <t>A - Agen</t>
        </is>
      </c>
      <c r="D2001" s="1" t="inlineStr">
        <is>
          <t>OP00002</t>
        </is>
      </c>
      <c r="E2001" s="8" t="n">
        <v>45477.52986111111</v>
      </c>
      <c r="F2001" s="7" t="inlineStr">
        <is>
          <t>AGEN</t>
        </is>
      </c>
      <c r="G2001" s="18" t="inlineStr">
        <is>
          <t>OP13398</t>
        </is>
      </c>
      <c r="H2001" s="19">
        <f>UPPER(Table3[[#This Row],[Agen id]]&amp;"-"&amp;VLOOKUP(Table3[[#This Row],[Agen id]],A:B,2,0)&amp;"("&amp;Table3[[#This Row],[Short]]&amp;")")</f>
        <v/>
      </c>
      <c r="J2001" s="7">
        <f>VLOOKUP(Table3[[#This Row],[Agen id]],Agen!A:C,3,0)</f>
        <v/>
      </c>
      <c r="K2001" s="37">
        <f>TRIM(LEFT(Table3[[#This Row],[Group]],2))</f>
        <v/>
      </c>
      <c r="L2001" s="3" t="inlineStr">
        <is>
          <t>NON SALES</t>
        </is>
      </c>
    </row>
    <row r="2002">
      <c r="A2002" s="5" t="inlineStr">
        <is>
          <t>OP13399</t>
        </is>
      </c>
      <c r="B2002" s="6" t="inlineStr">
        <is>
          <t>Nining elvitasari</t>
        </is>
      </c>
      <c r="C2002" s="7" t="inlineStr">
        <is>
          <t>A - Agen</t>
        </is>
      </c>
      <c r="D2002" s="1" t="inlineStr">
        <is>
          <t>OP00002</t>
        </is>
      </c>
      <c r="E2002" s="8" t="n">
        <v>45477.59861111111</v>
      </c>
      <c r="F2002" s="7" t="inlineStr">
        <is>
          <t>AGEN</t>
        </is>
      </c>
      <c r="G2002" s="18" t="inlineStr">
        <is>
          <t>OP13399</t>
        </is>
      </c>
      <c r="H2002" s="19">
        <f>UPPER(Table3[[#This Row],[Agen id]]&amp;"-"&amp;VLOOKUP(Table3[[#This Row],[Agen id]],A:B,2,0)&amp;"("&amp;Table3[[#This Row],[Short]]&amp;")")</f>
        <v/>
      </c>
      <c r="J2002" s="7">
        <f>VLOOKUP(Table3[[#This Row],[Agen id]],Agen!A:C,3,0)</f>
        <v/>
      </c>
      <c r="K2002" s="37">
        <f>TRIM(LEFT(Table3[[#This Row],[Group]],2))</f>
        <v/>
      </c>
      <c r="L2002" s="3" t="inlineStr">
        <is>
          <t>NON SALES</t>
        </is>
      </c>
    </row>
    <row r="2003">
      <c r="A2003" s="5" t="inlineStr">
        <is>
          <t>OP13453</t>
        </is>
      </c>
      <c r="B2003" s="6" t="inlineStr">
        <is>
          <t>Toko iyon</t>
        </is>
      </c>
      <c r="C2003" s="7" t="inlineStr">
        <is>
          <t>AT1 - Agen Tangerang</t>
        </is>
      </c>
      <c r="D2003" s="1" t="inlineStr">
        <is>
          <t>OP07683</t>
        </is>
      </c>
      <c r="E2003" s="8" t="n">
        <v>45480.71944444445</v>
      </c>
      <c r="F2003" s="7" t="inlineStr">
        <is>
          <t>AGEN</t>
        </is>
      </c>
      <c r="G2003" s="18" t="inlineStr">
        <is>
          <t>OP13453</t>
        </is>
      </c>
      <c r="H2003" s="19">
        <f>UPPER(Table3[[#This Row],[Agen id]]&amp;"-"&amp;VLOOKUP(Table3[[#This Row],[Agen id]],A:B,2,0)&amp;"("&amp;Table3[[#This Row],[Short]]&amp;")")</f>
        <v/>
      </c>
      <c r="J2003" s="7">
        <f>VLOOKUP(Table3[[#This Row],[Agen id]],Agen!A:C,3,0)</f>
        <v/>
      </c>
      <c r="K2003" s="37">
        <f>TRIM(LEFT(Table3[[#This Row],[Group]],2))</f>
        <v/>
      </c>
      <c r="L2003" s="3" t="inlineStr">
        <is>
          <t>NON SALES</t>
        </is>
      </c>
    </row>
    <row r="2004">
      <c r="A2004" s="5" t="inlineStr">
        <is>
          <t>OP13466</t>
        </is>
      </c>
      <c r="B2004" s="6" t="inlineStr">
        <is>
          <t>Ahmad</t>
        </is>
      </c>
      <c r="C2004" s="7" t="inlineStr">
        <is>
          <t>AV - Agen Verified</t>
        </is>
      </c>
      <c r="D2004" s="1" t="inlineStr">
        <is>
          <t>OP00002</t>
        </is>
      </c>
      <c r="E2004" s="8" t="n">
        <v>45481.44930555556</v>
      </c>
      <c r="F2004" s="7" t="inlineStr">
        <is>
          <t>AGEN</t>
        </is>
      </c>
      <c r="G2004" s="18" t="inlineStr">
        <is>
          <t>OP13466</t>
        </is>
      </c>
      <c r="H2004" s="19">
        <f>UPPER(Table3[[#This Row],[Agen id]]&amp;"-"&amp;VLOOKUP(Table3[[#This Row],[Agen id]],A:B,2,0)&amp;"("&amp;Table3[[#This Row],[Short]]&amp;")")</f>
        <v/>
      </c>
      <c r="J2004" s="7">
        <f>VLOOKUP(Table3[[#This Row],[Agen id]],Agen!A:C,3,0)</f>
        <v/>
      </c>
      <c r="K2004" s="37">
        <f>TRIM(LEFT(Table3[[#This Row],[Group]],2))</f>
        <v/>
      </c>
      <c r="L2004" s="3" t="inlineStr">
        <is>
          <t>NON SALES</t>
        </is>
      </c>
    </row>
    <row r="2005">
      <c r="A2005" s="5" t="inlineStr">
        <is>
          <t>OP13468</t>
        </is>
      </c>
      <c r="B2005" s="6" t="inlineStr">
        <is>
          <t>Nindarti</t>
        </is>
      </c>
      <c r="C2005" s="7" t="inlineStr">
        <is>
          <t>AV - Agen Verified</t>
        </is>
      </c>
      <c r="D2005" s="1" t="inlineStr">
        <is>
          <t>OP00002</t>
        </is>
      </c>
      <c r="E2005" s="8" t="n">
        <v>45481.55833333333</v>
      </c>
      <c r="F2005" s="7" t="inlineStr">
        <is>
          <t>AGEN</t>
        </is>
      </c>
      <c r="G2005" s="18" t="inlineStr">
        <is>
          <t>OP13468</t>
        </is>
      </c>
      <c r="H2005" s="19">
        <f>UPPER(Table3[[#This Row],[Agen id]]&amp;"-"&amp;VLOOKUP(Table3[[#This Row],[Agen id]],A:B,2,0)&amp;"("&amp;Table3[[#This Row],[Short]]&amp;")")</f>
        <v/>
      </c>
      <c r="J2005" s="7">
        <f>VLOOKUP(Table3[[#This Row],[Agen id]],Agen!A:C,3,0)</f>
        <v/>
      </c>
      <c r="K2005" s="37">
        <f>TRIM(LEFT(Table3[[#This Row],[Group]],2))</f>
        <v/>
      </c>
      <c r="L2005" s="3" t="inlineStr">
        <is>
          <t>NON SALES</t>
        </is>
      </c>
    </row>
    <row r="2006">
      <c r="A2006" s="5" t="inlineStr">
        <is>
          <t>OP13470</t>
        </is>
      </c>
      <c r="B2006" s="6" t="inlineStr">
        <is>
          <t>Lailaa</t>
        </is>
      </c>
      <c r="C2006" s="7" t="inlineStr">
        <is>
          <t>A - Agen</t>
        </is>
      </c>
      <c r="D2006" s="1" t="inlineStr">
        <is>
          <t>OP00002</t>
        </is>
      </c>
      <c r="E2006" s="8" t="n">
        <v>45481.60902777778</v>
      </c>
      <c r="F2006" s="7" t="inlineStr">
        <is>
          <t>AGEN</t>
        </is>
      </c>
      <c r="G2006" s="18" t="inlineStr">
        <is>
          <t>OP13470</t>
        </is>
      </c>
      <c r="H2006" s="19">
        <f>UPPER(Table3[[#This Row],[Agen id]]&amp;"-"&amp;VLOOKUP(Table3[[#This Row],[Agen id]],A:B,2,0)&amp;"("&amp;Table3[[#This Row],[Short]]&amp;")")</f>
        <v/>
      </c>
      <c r="J2006" s="7">
        <f>VLOOKUP(Table3[[#This Row],[Agen id]],Agen!A:C,3,0)</f>
        <v/>
      </c>
      <c r="K2006" s="37">
        <f>TRIM(LEFT(Table3[[#This Row],[Group]],2))</f>
        <v/>
      </c>
      <c r="L2006" s="3" t="inlineStr">
        <is>
          <t>NON SALES</t>
        </is>
      </c>
    </row>
    <row r="2007">
      <c r="A2007" s="5" t="inlineStr">
        <is>
          <t>OP13471</t>
        </is>
      </c>
      <c r="B2007" s="6" t="inlineStr">
        <is>
          <t>Ismawati</t>
        </is>
      </c>
      <c r="C2007" s="7" t="inlineStr">
        <is>
          <t>A - Agen</t>
        </is>
      </c>
      <c r="D2007" s="1" t="inlineStr">
        <is>
          <t>OP00002</t>
        </is>
      </c>
      <c r="E2007" s="8" t="n">
        <v>45481.60902777778</v>
      </c>
      <c r="F2007" s="7" t="inlineStr">
        <is>
          <t>AGEN</t>
        </is>
      </c>
      <c r="G2007" s="18" t="inlineStr">
        <is>
          <t>OP13471</t>
        </is>
      </c>
      <c r="H2007" s="19">
        <f>UPPER(Table3[[#This Row],[Agen id]]&amp;"-"&amp;VLOOKUP(Table3[[#This Row],[Agen id]],A:B,2,0)&amp;"("&amp;Table3[[#This Row],[Short]]&amp;")")</f>
        <v/>
      </c>
      <c r="J2007" s="7">
        <f>VLOOKUP(Table3[[#This Row],[Agen id]],Agen!A:C,3,0)</f>
        <v/>
      </c>
      <c r="K2007" s="37">
        <f>TRIM(LEFT(Table3[[#This Row],[Group]],2))</f>
        <v/>
      </c>
      <c r="L2007" s="3" t="inlineStr">
        <is>
          <t>NON SALES</t>
        </is>
      </c>
    </row>
    <row r="2008">
      <c r="A2008" s="5" t="inlineStr">
        <is>
          <t>OP13490</t>
        </is>
      </c>
      <c r="B2008" s="6" t="inlineStr">
        <is>
          <t>LAZ acc</t>
        </is>
      </c>
      <c r="C2008" s="7" t="inlineStr">
        <is>
          <t>AB1 - Agen Kab Bogor</t>
        </is>
      </c>
      <c r="D2008" s="1" t="inlineStr">
        <is>
          <t>OP07367</t>
        </is>
      </c>
      <c r="E2008" s="8" t="n">
        <v>45482.49236111111</v>
      </c>
      <c r="F2008" s="7" t="inlineStr">
        <is>
          <t>AGEN</t>
        </is>
      </c>
      <c r="G2008" s="18" t="inlineStr">
        <is>
          <t>OP13490</t>
        </is>
      </c>
      <c r="H2008" s="19">
        <f>UPPER(Table3[[#This Row],[Agen id]]&amp;"-"&amp;VLOOKUP(Table3[[#This Row],[Agen id]],A:B,2,0)&amp;"("&amp;Table3[[#This Row],[Short]]&amp;")")</f>
        <v/>
      </c>
      <c r="J2008" s="7">
        <f>VLOOKUP(Table3[[#This Row],[Agen id]],Agen!A:C,3,0)</f>
        <v/>
      </c>
      <c r="K2008" s="37">
        <f>TRIM(LEFT(Table3[[#This Row],[Group]],2))</f>
        <v/>
      </c>
      <c r="L2008" s="3" t="inlineStr">
        <is>
          <t>NON SALES</t>
        </is>
      </c>
    </row>
    <row r="2009">
      <c r="A2009" s="5" t="inlineStr">
        <is>
          <t>OP13510</t>
        </is>
      </c>
      <c r="B2009" s="6" t="inlineStr">
        <is>
          <t>AINE CELL</t>
        </is>
      </c>
      <c r="C2009" s="7" t="inlineStr">
        <is>
          <t>AT1 - Agen Tangerang</t>
        </is>
      </c>
      <c r="D2009" s="1" t="inlineStr">
        <is>
          <t>OP07683</t>
        </is>
      </c>
      <c r="E2009" s="8" t="n">
        <v>45483.70486111111</v>
      </c>
      <c r="F2009" s="7" t="inlineStr">
        <is>
          <t>AGEN</t>
        </is>
      </c>
      <c r="G2009" s="18" t="inlineStr">
        <is>
          <t>OP13510</t>
        </is>
      </c>
      <c r="H2009" s="19">
        <f>UPPER(Table3[[#This Row],[Agen id]]&amp;"-"&amp;VLOOKUP(Table3[[#This Row],[Agen id]],A:B,2,0)&amp;"("&amp;Table3[[#This Row],[Short]]&amp;")")</f>
        <v/>
      </c>
      <c r="J2009" s="7">
        <f>VLOOKUP(Table3[[#This Row],[Agen id]],Agen!A:C,3,0)</f>
        <v/>
      </c>
      <c r="K2009" s="37">
        <f>TRIM(LEFT(Table3[[#This Row],[Group]],2))</f>
        <v/>
      </c>
      <c r="L2009" s="3" t="inlineStr">
        <is>
          <t>NON SALES</t>
        </is>
      </c>
    </row>
    <row r="2010">
      <c r="A2010" s="5" t="inlineStr">
        <is>
          <t>OP13511</t>
        </is>
      </c>
      <c r="B2010" s="6" t="inlineStr">
        <is>
          <t>Abadi cell</t>
        </is>
      </c>
      <c r="C2010" s="7" t="inlineStr">
        <is>
          <t>AT1 - Agen Tangerang</t>
        </is>
      </c>
      <c r="D2010" s="1" t="inlineStr">
        <is>
          <t>OP07683</t>
        </is>
      </c>
      <c r="E2010" s="8" t="n">
        <v>45483.72430555556</v>
      </c>
      <c r="F2010" s="7" t="inlineStr">
        <is>
          <t>AGEN</t>
        </is>
      </c>
      <c r="G2010" s="18" t="inlineStr">
        <is>
          <t>OP13511</t>
        </is>
      </c>
      <c r="H2010" s="19">
        <f>UPPER(Table3[[#This Row],[Agen id]]&amp;"-"&amp;VLOOKUP(Table3[[#This Row],[Agen id]],A:B,2,0)&amp;"("&amp;Table3[[#This Row],[Short]]&amp;")")</f>
        <v/>
      </c>
      <c r="J2010" s="7">
        <f>VLOOKUP(Table3[[#This Row],[Agen id]],Agen!A:C,3,0)</f>
        <v/>
      </c>
      <c r="K2010" s="37">
        <f>TRIM(LEFT(Table3[[#This Row],[Group]],2))</f>
        <v/>
      </c>
      <c r="L2010" s="3" t="inlineStr">
        <is>
          <t>NON SALES</t>
        </is>
      </c>
    </row>
    <row r="2011">
      <c r="A2011" s="5" t="inlineStr">
        <is>
          <t>OP13519</t>
        </is>
      </c>
      <c r="B2011" s="6" t="inlineStr">
        <is>
          <t>lively</t>
        </is>
      </c>
      <c r="C2011" s="7" t="inlineStr">
        <is>
          <t>AB1 - Agen Kab Bogor</t>
        </is>
      </c>
      <c r="D2011" s="1" t="inlineStr">
        <is>
          <t>OP08200</t>
        </is>
      </c>
      <c r="E2011" s="8" t="n">
        <v>45483.87916666667</v>
      </c>
      <c r="F2011" s="7" t="inlineStr">
        <is>
          <t>DOWNLINE</t>
        </is>
      </c>
      <c r="G2011" s="18" t="inlineStr">
        <is>
          <t>OP08200</t>
        </is>
      </c>
      <c r="H2011" s="19">
        <f>UPPER(Table3[[#This Row],[Agen id]]&amp;"-"&amp;VLOOKUP(Table3[[#This Row],[Agen id]],A:B,2,0)&amp;"("&amp;Table3[[#This Row],[Short]]&amp;")")</f>
        <v/>
      </c>
      <c r="J2011" s="7">
        <f>VLOOKUP(Table3[[#This Row],[Agen id]],Agen!A:C,3,0)</f>
        <v/>
      </c>
      <c r="K2011" s="37">
        <f>TRIM(LEFT(Table3[[#This Row],[Group]],2))</f>
        <v/>
      </c>
      <c r="L2011" s="3" t="inlineStr">
        <is>
          <t>NON SALES</t>
        </is>
      </c>
    </row>
    <row r="2012">
      <c r="A2012" s="5" t="inlineStr">
        <is>
          <t>OP13549</t>
        </is>
      </c>
      <c r="B2012" s="6" t="inlineStr">
        <is>
          <t>Roswitha Chell</t>
        </is>
      </c>
      <c r="C2012" s="7" t="inlineStr">
        <is>
          <t>AV - Agen Verified</t>
        </is>
      </c>
      <c r="D2012" s="1" t="inlineStr">
        <is>
          <t>OP02814</t>
        </is>
      </c>
      <c r="E2012" s="8" t="n">
        <v>45485.70486111111</v>
      </c>
      <c r="F2012" s="7" t="inlineStr">
        <is>
          <t>DOWNLINE</t>
        </is>
      </c>
      <c r="G2012" s="18" t="inlineStr">
        <is>
          <t>OP00014</t>
        </is>
      </c>
      <c r="H2012" s="19">
        <f>UPPER(Table3[[#This Row],[Agen id]]&amp;"-"&amp;VLOOKUP(Table3[[#This Row],[Agen id]],A:B,2,0)&amp;"("&amp;Table3[[#This Row],[Short]]&amp;")")</f>
        <v/>
      </c>
      <c r="J2012" s="7">
        <f>VLOOKUP(Table3[[#This Row],[Agen id]],Agen!A:C,3,0)</f>
        <v/>
      </c>
      <c r="K2012" s="37">
        <f>TRIM(LEFT(Table3[[#This Row],[Group]],2))</f>
        <v/>
      </c>
      <c r="L2012" s="3" t="inlineStr">
        <is>
          <t>NON SALES</t>
        </is>
      </c>
    </row>
    <row r="2013">
      <c r="A2013" s="5" t="inlineStr">
        <is>
          <t>OP13553</t>
        </is>
      </c>
      <c r="B2013" s="6" t="inlineStr">
        <is>
          <t>MIA CELL</t>
        </is>
      </c>
      <c r="C2013" s="7" t="inlineStr">
        <is>
          <t>AV - Agen Verified</t>
        </is>
      </c>
      <c r="D2013" s="1" t="inlineStr">
        <is>
          <t>OP10510</t>
        </is>
      </c>
      <c r="E2013" s="8" t="n">
        <v>45485.77361111111</v>
      </c>
      <c r="F2013" s="7" t="inlineStr">
        <is>
          <t>DOWNLINE</t>
        </is>
      </c>
      <c r="G2013" s="18" t="inlineStr">
        <is>
          <t>OP10510</t>
        </is>
      </c>
      <c r="H2013" s="19">
        <f>UPPER(Table3[[#This Row],[Agen id]]&amp;"-"&amp;VLOOKUP(Table3[[#This Row],[Agen id]],A:B,2,0)&amp;"("&amp;Table3[[#This Row],[Short]]&amp;")")</f>
        <v/>
      </c>
      <c r="J2013" s="7">
        <f>VLOOKUP(Table3[[#This Row],[Agen id]],Agen!A:C,3,0)</f>
        <v/>
      </c>
      <c r="K2013" s="37">
        <f>TRIM(LEFT(Table3[[#This Row],[Group]],2))</f>
        <v/>
      </c>
      <c r="L2013" s="3" t="inlineStr">
        <is>
          <t>NON SALES</t>
        </is>
      </c>
    </row>
    <row r="2014">
      <c r="A2014" s="5" t="inlineStr">
        <is>
          <t>OP13568</t>
        </is>
      </c>
      <c r="B2014" s="6" t="inlineStr">
        <is>
          <t>Yuliatin</t>
        </is>
      </c>
      <c r="C2014" s="7" t="inlineStr">
        <is>
          <t>A - Agen</t>
        </is>
      </c>
      <c r="D2014" s="1" t="inlineStr">
        <is>
          <t>OP03632</t>
        </is>
      </c>
      <c r="E2014" s="8" t="n">
        <v>45486.55138888889</v>
      </c>
      <c r="F2014" s="7" t="inlineStr">
        <is>
          <t>DOWNLINE</t>
        </is>
      </c>
      <c r="G2014" s="18" t="inlineStr">
        <is>
          <t>OP00996</t>
        </is>
      </c>
      <c r="H2014" s="19">
        <f>UPPER(Table3[[#This Row],[Agen id]]&amp;"-"&amp;VLOOKUP(Table3[[#This Row],[Agen id]],A:B,2,0)&amp;"("&amp;Table3[[#This Row],[Short]]&amp;")")</f>
        <v/>
      </c>
      <c r="J2014" s="7">
        <f>VLOOKUP(Table3[[#This Row],[Agen id]],Agen!A:C,3,0)</f>
        <v/>
      </c>
      <c r="K2014" s="37">
        <f>TRIM(LEFT(Table3[[#This Row],[Group]],2))</f>
        <v/>
      </c>
      <c r="L2014" s="3" t="inlineStr">
        <is>
          <t>NON SALES</t>
        </is>
      </c>
    </row>
    <row r="2015">
      <c r="A2015" s="5" t="inlineStr">
        <is>
          <t>OP13575</t>
        </is>
      </c>
      <c r="B2015" s="6" t="inlineStr">
        <is>
          <t>Erlin saputra</t>
        </is>
      </c>
      <c r="C2015" s="7" t="inlineStr">
        <is>
          <t>AV - Agen Verified</t>
        </is>
      </c>
      <c r="D2015" s="1" t="inlineStr">
        <is>
          <t>OP00002</t>
        </is>
      </c>
      <c r="E2015" s="8" t="n">
        <v>45486.81041666667</v>
      </c>
      <c r="F2015" s="7" t="inlineStr">
        <is>
          <t>AGEN</t>
        </is>
      </c>
      <c r="G2015" s="18" t="inlineStr">
        <is>
          <t>OP13575</t>
        </is>
      </c>
      <c r="H2015" s="19">
        <f>UPPER(Table3[[#This Row],[Agen id]]&amp;"-"&amp;VLOOKUP(Table3[[#This Row],[Agen id]],A:B,2,0)&amp;"("&amp;Table3[[#This Row],[Short]]&amp;")")</f>
        <v/>
      </c>
      <c r="J2015" s="7">
        <f>VLOOKUP(Table3[[#This Row],[Agen id]],Agen!A:C,3,0)</f>
        <v/>
      </c>
      <c r="K2015" s="37">
        <f>TRIM(LEFT(Table3[[#This Row],[Group]],2))</f>
        <v/>
      </c>
      <c r="L2015" s="3" t="inlineStr">
        <is>
          <t>NON SALES</t>
        </is>
      </c>
    </row>
    <row r="2016">
      <c r="A2016" s="5" t="inlineStr">
        <is>
          <t>OP13577</t>
        </is>
      </c>
      <c r="B2016" s="6" t="inlineStr">
        <is>
          <t>Turisno</t>
        </is>
      </c>
      <c r="C2016" s="7" t="inlineStr">
        <is>
          <t>A - Agen</t>
        </is>
      </c>
      <c r="D2016" s="1" t="inlineStr">
        <is>
          <t>OP00002</t>
        </is>
      </c>
      <c r="E2016" s="8" t="n">
        <v>45486.91527777778</v>
      </c>
      <c r="F2016" s="7" t="inlineStr">
        <is>
          <t>AGEN</t>
        </is>
      </c>
      <c r="G2016" s="18" t="inlineStr">
        <is>
          <t>OP13577</t>
        </is>
      </c>
      <c r="H2016" s="19">
        <f>UPPER(Table3[[#This Row],[Agen id]]&amp;"-"&amp;VLOOKUP(Table3[[#This Row],[Agen id]],A:B,2,0)&amp;"("&amp;Table3[[#This Row],[Short]]&amp;")")</f>
        <v/>
      </c>
      <c r="J2016" s="7">
        <f>VLOOKUP(Table3[[#This Row],[Agen id]],Agen!A:C,3,0)</f>
        <v/>
      </c>
      <c r="K2016" s="37">
        <f>TRIM(LEFT(Table3[[#This Row],[Group]],2))</f>
        <v/>
      </c>
      <c r="L2016" s="3" t="inlineStr">
        <is>
          <t>NON SALES</t>
        </is>
      </c>
    </row>
    <row r="2017">
      <c r="A2017" s="5" t="inlineStr">
        <is>
          <t>OP13581</t>
        </is>
      </c>
      <c r="B2017" s="6" t="inlineStr">
        <is>
          <t>Ines</t>
        </is>
      </c>
      <c r="C2017" s="7" t="inlineStr">
        <is>
          <t>AV - Agen Verified</t>
        </is>
      </c>
      <c r="D2017" s="1" t="inlineStr">
        <is>
          <t>OP00002</t>
        </is>
      </c>
      <c r="E2017" s="8" t="n">
        <v>45487.42152777778</v>
      </c>
      <c r="F2017" s="7" t="inlineStr">
        <is>
          <t>AGEN</t>
        </is>
      </c>
      <c r="G2017" s="18" t="inlineStr">
        <is>
          <t>OP13581</t>
        </is>
      </c>
      <c r="H2017" s="19">
        <f>UPPER(Table3[[#This Row],[Agen id]]&amp;"-"&amp;VLOOKUP(Table3[[#This Row],[Agen id]],A:B,2,0)&amp;"("&amp;Table3[[#This Row],[Short]]&amp;")")</f>
        <v/>
      </c>
      <c r="J2017" s="7">
        <f>VLOOKUP(Table3[[#This Row],[Agen id]],Agen!A:C,3,0)</f>
        <v/>
      </c>
      <c r="K2017" s="37">
        <f>TRIM(LEFT(Table3[[#This Row],[Group]],2))</f>
        <v/>
      </c>
      <c r="L2017" s="3" t="inlineStr">
        <is>
          <t>NON SALES</t>
        </is>
      </c>
    </row>
    <row r="2018">
      <c r="A2018" s="5" t="inlineStr">
        <is>
          <t>OP13598</t>
        </is>
      </c>
      <c r="B2018" s="6" t="inlineStr">
        <is>
          <t>Agus nur salim</t>
        </is>
      </c>
      <c r="C2018" s="7" t="inlineStr">
        <is>
          <t>AV - Agen Verified</t>
        </is>
      </c>
      <c r="D2018" s="1" t="inlineStr">
        <is>
          <t>OP04330</t>
        </is>
      </c>
      <c r="E2018" s="8" t="n">
        <v>45488.25625</v>
      </c>
      <c r="F2018" s="7" t="inlineStr">
        <is>
          <t>DOWNLINE</t>
        </is>
      </c>
      <c r="G2018" s="18" t="inlineStr">
        <is>
          <t>OP04330</t>
        </is>
      </c>
      <c r="H2018" s="19">
        <f>UPPER(Table3[[#This Row],[Agen id]]&amp;"-"&amp;VLOOKUP(Table3[[#This Row],[Agen id]],A:B,2,0)&amp;"("&amp;Table3[[#This Row],[Short]]&amp;")")</f>
        <v/>
      </c>
      <c r="J2018" s="7">
        <f>VLOOKUP(Table3[[#This Row],[Agen id]],Agen!A:C,3,0)</f>
        <v/>
      </c>
      <c r="K2018" s="37">
        <f>TRIM(LEFT(Table3[[#This Row],[Group]],2))</f>
        <v/>
      </c>
      <c r="L2018" s="3" t="inlineStr">
        <is>
          <t>NON SALES</t>
        </is>
      </c>
    </row>
    <row r="2019">
      <c r="A2019" s="5" t="inlineStr">
        <is>
          <t>OP13602</t>
        </is>
      </c>
      <c r="B2019" s="6" t="inlineStr">
        <is>
          <t>sr4 cell</t>
        </is>
      </c>
      <c r="C2019" s="7" t="inlineStr">
        <is>
          <t>AB1 - Agen Kab Bogor</t>
        </is>
      </c>
      <c r="D2019" s="1" t="inlineStr">
        <is>
          <t>OP07367</t>
        </is>
      </c>
      <c r="E2019" s="8" t="n">
        <v>45488.38888888889</v>
      </c>
      <c r="F2019" s="7" t="inlineStr">
        <is>
          <t>AGEN</t>
        </is>
      </c>
      <c r="G2019" s="18" t="inlineStr">
        <is>
          <t>OP13602</t>
        </is>
      </c>
      <c r="H2019" s="19">
        <f>UPPER(Table3[[#This Row],[Agen id]]&amp;"-"&amp;VLOOKUP(Table3[[#This Row],[Agen id]],A:B,2,0)&amp;"("&amp;Table3[[#This Row],[Short]]&amp;")")</f>
        <v/>
      </c>
      <c r="J2019" s="7">
        <f>VLOOKUP(Table3[[#This Row],[Agen id]],Agen!A:C,3,0)</f>
        <v/>
      </c>
      <c r="K2019" s="37">
        <f>TRIM(LEFT(Table3[[#This Row],[Group]],2))</f>
        <v/>
      </c>
      <c r="L2019" s="3" t="inlineStr">
        <is>
          <t>NON SALES</t>
        </is>
      </c>
    </row>
    <row r="2020">
      <c r="A2020" s="5" t="inlineStr">
        <is>
          <t>OP13613</t>
        </is>
      </c>
      <c r="B2020" s="6" t="inlineStr">
        <is>
          <t>Muh fajar</t>
        </is>
      </c>
      <c r="C2020" s="7" t="inlineStr">
        <is>
          <t>A - Agen</t>
        </is>
      </c>
      <c r="D2020" s="1" t="inlineStr">
        <is>
          <t>OP10856</t>
        </is>
      </c>
      <c r="E2020" s="8" t="n">
        <v>45488.59722222222</v>
      </c>
      <c r="F2020" s="7" t="inlineStr">
        <is>
          <t>DOWNLINE</t>
        </is>
      </c>
      <c r="G2020" s="18" t="inlineStr">
        <is>
          <t>OP10856</t>
        </is>
      </c>
      <c r="H2020" s="19">
        <f>UPPER(Table3[[#This Row],[Agen id]]&amp;"-"&amp;VLOOKUP(Table3[[#This Row],[Agen id]],A:B,2,0)&amp;"("&amp;Table3[[#This Row],[Short]]&amp;")")</f>
        <v/>
      </c>
      <c r="J2020" s="7">
        <f>VLOOKUP(Table3[[#This Row],[Agen id]],Agen!A:C,3,0)</f>
        <v/>
      </c>
      <c r="K2020" s="37">
        <f>TRIM(LEFT(Table3[[#This Row],[Group]],2))</f>
        <v/>
      </c>
      <c r="L2020" s="3" t="inlineStr">
        <is>
          <t>NON SALES</t>
        </is>
      </c>
    </row>
    <row r="2021">
      <c r="A2021" s="5" t="inlineStr">
        <is>
          <t>OP13614</t>
        </is>
      </c>
      <c r="B2021" s="6" t="inlineStr">
        <is>
          <t>Fajar</t>
        </is>
      </c>
      <c r="C2021" s="7" t="inlineStr">
        <is>
          <t>A - Agen</t>
        </is>
      </c>
      <c r="D2021" s="1" t="n">
        <v>0</v>
      </c>
      <c r="E2021" s="8" t="n">
        <v>45488.60138888889</v>
      </c>
      <c r="F2021" s="7" t="inlineStr">
        <is>
          <t>AGEN</t>
        </is>
      </c>
      <c r="G2021" s="18" t="inlineStr">
        <is>
          <t>OP13614</t>
        </is>
      </c>
      <c r="H2021" s="19">
        <f>UPPER(Table3[[#This Row],[Agen id]]&amp;"-"&amp;VLOOKUP(Table3[[#This Row],[Agen id]],A:B,2,0)&amp;"("&amp;Table3[[#This Row],[Short]]&amp;")")</f>
        <v/>
      </c>
      <c r="J2021" s="7">
        <f>VLOOKUP(Table3[[#This Row],[Agen id]],Agen!A:C,3,0)</f>
        <v/>
      </c>
      <c r="K2021" s="37">
        <f>TRIM(LEFT(Table3[[#This Row],[Group]],2))</f>
        <v/>
      </c>
      <c r="L2021" s="3" t="inlineStr">
        <is>
          <t>NON SALES</t>
        </is>
      </c>
    </row>
    <row r="2022">
      <c r="A2022" s="5" t="inlineStr">
        <is>
          <t>OP13615</t>
        </is>
      </c>
      <c r="B2022" s="6" t="inlineStr">
        <is>
          <t>lasny simagunsong</t>
        </is>
      </c>
      <c r="C2022" s="7" t="inlineStr">
        <is>
          <t>AV - Agen Verified</t>
        </is>
      </c>
      <c r="D2022" s="1" t="inlineStr">
        <is>
          <t>OP01449</t>
        </is>
      </c>
      <c r="E2022" s="8" t="n">
        <v>45488.6125</v>
      </c>
      <c r="F2022" s="7" t="inlineStr">
        <is>
          <t>DOWNLINE</t>
        </is>
      </c>
      <c r="G2022" s="18" t="inlineStr">
        <is>
          <t>OP01449</t>
        </is>
      </c>
      <c r="H2022" s="19">
        <f>UPPER(Table3[[#This Row],[Agen id]]&amp;"-"&amp;VLOOKUP(Table3[[#This Row],[Agen id]],A:B,2,0)&amp;"("&amp;Table3[[#This Row],[Short]]&amp;")")</f>
        <v/>
      </c>
      <c r="J2022" s="7">
        <f>VLOOKUP(Table3[[#This Row],[Agen id]],Agen!A:C,3,0)</f>
        <v/>
      </c>
      <c r="K2022" s="37">
        <f>TRIM(LEFT(Table3[[#This Row],[Group]],2))</f>
        <v/>
      </c>
      <c r="L2022" s="3" t="inlineStr">
        <is>
          <t>NON SALES</t>
        </is>
      </c>
    </row>
    <row r="2023">
      <c r="A2023" s="5" t="inlineStr">
        <is>
          <t>OP13664</t>
        </is>
      </c>
      <c r="B2023" s="6" t="inlineStr">
        <is>
          <t>Ayda</t>
        </is>
      </c>
      <c r="C2023" s="7" t="inlineStr">
        <is>
          <t>A - Agen</t>
        </is>
      </c>
      <c r="D2023" s="1" t="inlineStr">
        <is>
          <t>OP03527</t>
        </is>
      </c>
      <c r="E2023" s="8" t="n">
        <v>45490.72083333333</v>
      </c>
      <c r="F2023" s="7" t="inlineStr">
        <is>
          <t>DOWNLINE</t>
        </is>
      </c>
      <c r="G2023" s="18" t="inlineStr">
        <is>
          <t>OP02195</t>
        </is>
      </c>
      <c r="H2023" s="19">
        <f>UPPER(Table3[[#This Row],[Agen id]]&amp;"-"&amp;VLOOKUP(Table3[[#This Row],[Agen id]],A:B,2,0)&amp;"("&amp;Table3[[#This Row],[Short]]&amp;")")</f>
        <v/>
      </c>
      <c r="J2023" s="7">
        <f>VLOOKUP(Table3[[#This Row],[Agen id]],Agen!A:C,3,0)</f>
        <v/>
      </c>
      <c r="K2023" s="37">
        <f>TRIM(LEFT(Table3[[#This Row],[Group]],2))</f>
        <v/>
      </c>
      <c r="L2023" s="3" t="inlineStr">
        <is>
          <t>NON SALES</t>
        </is>
      </c>
    </row>
    <row r="2024">
      <c r="A2024" s="5" t="inlineStr">
        <is>
          <t>OP13685</t>
        </is>
      </c>
      <c r="B2024" s="6" t="inlineStr">
        <is>
          <t>Setiya</t>
        </is>
      </c>
      <c r="C2024" s="7" t="inlineStr">
        <is>
          <t>A - Agen</t>
        </is>
      </c>
      <c r="D2024" s="1" t="inlineStr">
        <is>
          <t>OP00002</t>
        </is>
      </c>
      <c r="E2024" s="8" t="n">
        <v>45491.56527777778</v>
      </c>
      <c r="F2024" s="7" t="inlineStr">
        <is>
          <t>AGEN</t>
        </is>
      </c>
      <c r="G2024" s="18" t="inlineStr">
        <is>
          <t>OP13685</t>
        </is>
      </c>
      <c r="H2024" s="19">
        <f>UPPER(Table3[[#This Row],[Agen id]]&amp;"-"&amp;VLOOKUP(Table3[[#This Row],[Agen id]],A:B,2,0)&amp;"("&amp;Table3[[#This Row],[Short]]&amp;")")</f>
        <v/>
      </c>
      <c r="J2024" s="7">
        <f>VLOOKUP(Table3[[#This Row],[Agen id]],Agen!A:C,3,0)</f>
        <v/>
      </c>
      <c r="K2024" s="37">
        <f>TRIM(LEFT(Table3[[#This Row],[Group]],2))</f>
        <v/>
      </c>
      <c r="L2024" s="3" t="inlineStr">
        <is>
          <t>NON SALES</t>
        </is>
      </c>
    </row>
    <row r="2025">
      <c r="A2025" s="5" t="inlineStr">
        <is>
          <t>OP13722</t>
        </is>
      </c>
      <c r="B2025" s="6" t="inlineStr">
        <is>
          <t>Pandawa Cell</t>
        </is>
      </c>
      <c r="C2025" s="7" t="inlineStr">
        <is>
          <t>A - Agen</t>
        </is>
      </c>
      <c r="D2025" s="1" t="inlineStr">
        <is>
          <t>OP00002</t>
        </is>
      </c>
      <c r="E2025" s="8" t="n">
        <v>45493.27847222222</v>
      </c>
      <c r="F2025" s="7" t="inlineStr">
        <is>
          <t>AGEN</t>
        </is>
      </c>
      <c r="G2025" s="18" t="inlineStr">
        <is>
          <t>OP13722</t>
        </is>
      </c>
      <c r="H2025" s="19">
        <f>UPPER(Table3[[#This Row],[Agen id]]&amp;"-"&amp;VLOOKUP(Table3[[#This Row],[Agen id]],A:B,2,0)&amp;"("&amp;Table3[[#This Row],[Short]]&amp;")")</f>
        <v/>
      </c>
      <c r="J2025" s="7">
        <f>VLOOKUP(Table3[[#This Row],[Agen id]],Agen!A:C,3,0)</f>
        <v/>
      </c>
      <c r="K2025" s="37">
        <f>TRIM(LEFT(Table3[[#This Row],[Group]],2))</f>
        <v/>
      </c>
      <c r="L2025" s="3" t="inlineStr">
        <is>
          <t>NON SALES</t>
        </is>
      </c>
    </row>
    <row r="2026">
      <c r="A2026" s="5" t="inlineStr">
        <is>
          <t>OP13727</t>
        </is>
      </c>
      <c r="B2026" s="6" t="inlineStr">
        <is>
          <t>Dwi</t>
        </is>
      </c>
      <c r="C2026" s="7" t="inlineStr">
        <is>
          <t>A - Agen</t>
        </is>
      </c>
      <c r="D2026" s="1" t="n">
        <v>0</v>
      </c>
      <c r="E2026" s="8" t="n">
        <v>45493.53958333333</v>
      </c>
      <c r="F2026" s="7" t="inlineStr">
        <is>
          <t>AGEN</t>
        </is>
      </c>
      <c r="G2026" s="18" t="inlineStr">
        <is>
          <t>OP13727</t>
        </is>
      </c>
      <c r="H2026" s="19">
        <f>UPPER(Table3[[#This Row],[Agen id]]&amp;"-"&amp;VLOOKUP(Table3[[#This Row],[Agen id]],A:B,2,0)&amp;"("&amp;Table3[[#This Row],[Short]]&amp;")")</f>
        <v/>
      </c>
      <c r="J2026" s="7">
        <f>VLOOKUP(Table3[[#This Row],[Agen id]],Agen!A:C,3,0)</f>
        <v/>
      </c>
      <c r="K2026" s="37">
        <f>TRIM(LEFT(Table3[[#This Row],[Group]],2))</f>
        <v/>
      </c>
      <c r="L2026" s="3" t="inlineStr">
        <is>
          <t>NON SALES</t>
        </is>
      </c>
    </row>
    <row r="2027">
      <c r="A2027" s="5" t="inlineStr">
        <is>
          <t>OP13729</t>
        </is>
      </c>
      <c r="B2027" s="6" t="inlineStr">
        <is>
          <t>irma suryani</t>
        </is>
      </c>
      <c r="C2027" s="7" t="inlineStr">
        <is>
          <t>AV - Agen Verified</t>
        </is>
      </c>
      <c r="D2027" s="1" t="inlineStr">
        <is>
          <t>OP09209</t>
        </is>
      </c>
      <c r="E2027" s="8" t="n">
        <v>45493.65763888889</v>
      </c>
      <c r="F2027" s="7" t="inlineStr">
        <is>
          <t>DOWNLINE</t>
        </is>
      </c>
      <c r="G2027" s="18" t="inlineStr">
        <is>
          <t>OP09209</t>
        </is>
      </c>
      <c r="H2027" s="19">
        <f>UPPER(Table3[[#This Row],[Agen id]]&amp;"-"&amp;VLOOKUP(Table3[[#This Row],[Agen id]],A:B,2,0)&amp;"("&amp;Table3[[#This Row],[Short]]&amp;")")</f>
        <v/>
      </c>
      <c r="J2027" s="7">
        <f>VLOOKUP(Table3[[#This Row],[Agen id]],Agen!A:C,3,0)</f>
        <v/>
      </c>
      <c r="K2027" s="37">
        <f>TRIM(LEFT(Table3[[#This Row],[Group]],2))</f>
        <v/>
      </c>
      <c r="L2027" s="3" t="inlineStr">
        <is>
          <t>NON SALES</t>
        </is>
      </c>
    </row>
    <row r="2028">
      <c r="A2028" s="5" t="inlineStr">
        <is>
          <t>OP13736</t>
        </is>
      </c>
      <c r="B2028" s="6" t="inlineStr">
        <is>
          <t>Lena</t>
        </is>
      </c>
      <c r="C2028" s="7" t="inlineStr">
        <is>
          <t>AV - Agen Verified</t>
        </is>
      </c>
      <c r="D2028" s="1" t="inlineStr">
        <is>
          <t>OP03783</t>
        </is>
      </c>
      <c r="E2028" s="8" t="n">
        <v>45493.83472222222</v>
      </c>
      <c r="F2028" s="7" t="inlineStr">
        <is>
          <t>DOWNLINE</t>
        </is>
      </c>
      <c r="G2028" s="18" t="inlineStr">
        <is>
          <t>OP03699</t>
        </is>
      </c>
      <c r="H2028" s="19">
        <f>UPPER(Table3[[#This Row],[Agen id]]&amp;"-"&amp;VLOOKUP(Table3[[#This Row],[Agen id]],A:B,2,0)&amp;"("&amp;Table3[[#This Row],[Short]]&amp;")")</f>
        <v/>
      </c>
      <c r="J2028" s="7">
        <f>VLOOKUP(Table3[[#This Row],[Agen id]],Agen!A:C,3,0)</f>
        <v/>
      </c>
      <c r="K2028" s="37">
        <f>TRIM(LEFT(Table3[[#This Row],[Group]],2))</f>
        <v/>
      </c>
      <c r="L2028" s="3" t="inlineStr">
        <is>
          <t>NON SALES</t>
        </is>
      </c>
    </row>
    <row r="2029">
      <c r="A2029" s="5" t="inlineStr">
        <is>
          <t>OP13744</t>
        </is>
      </c>
      <c r="B2029" s="6" t="inlineStr">
        <is>
          <t>Yuyun</t>
        </is>
      </c>
      <c r="C2029" s="7" t="inlineStr">
        <is>
          <t>AV - Agen Verified</t>
        </is>
      </c>
      <c r="D2029" s="1" t="inlineStr">
        <is>
          <t>OP00002</t>
        </is>
      </c>
      <c r="E2029" s="8" t="n">
        <v>45494.26527777778</v>
      </c>
      <c r="F2029" s="7" t="inlineStr">
        <is>
          <t>AGEN</t>
        </is>
      </c>
      <c r="G2029" s="18" t="inlineStr">
        <is>
          <t>OP13744</t>
        </is>
      </c>
      <c r="H2029" s="19">
        <f>UPPER(Table3[[#This Row],[Agen id]]&amp;"-"&amp;VLOOKUP(Table3[[#This Row],[Agen id]],A:B,2,0)&amp;"("&amp;Table3[[#This Row],[Short]]&amp;")")</f>
        <v/>
      </c>
      <c r="J2029" s="7">
        <f>VLOOKUP(Table3[[#This Row],[Agen id]],Agen!A:C,3,0)</f>
        <v/>
      </c>
      <c r="K2029" s="37">
        <f>TRIM(LEFT(Table3[[#This Row],[Group]],2))</f>
        <v/>
      </c>
      <c r="L2029" s="3" t="inlineStr">
        <is>
          <t>NON SALES</t>
        </is>
      </c>
    </row>
    <row r="2030">
      <c r="A2030" s="5" t="inlineStr">
        <is>
          <t>OP13766</t>
        </is>
      </c>
      <c r="B2030" s="6" t="inlineStr">
        <is>
          <t>uli</t>
        </is>
      </c>
      <c r="C2030" s="7" t="inlineStr">
        <is>
          <t>A - Agen</t>
        </is>
      </c>
      <c r="D2030" s="1" t="inlineStr">
        <is>
          <t>OP03783</t>
        </is>
      </c>
      <c r="E2030" s="8" t="n">
        <v>45494.80347222222</v>
      </c>
      <c r="F2030" s="7" t="inlineStr">
        <is>
          <t>DOWNLINE</t>
        </is>
      </c>
      <c r="G2030" s="18" t="inlineStr">
        <is>
          <t>OP03699</t>
        </is>
      </c>
      <c r="H2030" s="19">
        <f>UPPER(Table3[[#This Row],[Agen id]]&amp;"-"&amp;VLOOKUP(Table3[[#This Row],[Agen id]],A:B,2,0)&amp;"("&amp;Table3[[#This Row],[Short]]&amp;")")</f>
        <v/>
      </c>
      <c r="J2030" s="7">
        <f>VLOOKUP(Table3[[#This Row],[Agen id]],Agen!A:C,3,0)</f>
        <v/>
      </c>
      <c r="K2030" s="37">
        <f>TRIM(LEFT(Table3[[#This Row],[Group]],2))</f>
        <v/>
      </c>
      <c r="L2030" s="3" t="inlineStr">
        <is>
          <t>NON SALES</t>
        </is>
      </c>
    </row>
    <row r="2031">
      <c r="A2031" s="5" t="inlineStr">
        <is>
          <t>OP13770</t>
        </is>
      </c>
      <c r="B2031" s="6" t="inlineStr">
        <is>
          <t>Lilissusilowati</t>
        </is>
      </c>
      <c r="C2031" s="7" t="inlineStr">
        <is>
          <t>AB1 - Agen Kab Bogor</t>
        </is>
      </c>
      <c r="D2031" s="1" t="inlineStr">
        <is>
          <t>OP00002</t>
        </is>
      </c>
      <c r="E2031" s="8" t="n">
        <v>45494.91180555556</v>
      </c>
      <c r="F2031" s="7" t="inlineStr">
        <is>
          <t>AGEN</t>
        </is>
      </c>
      <c r="G2031" s="18" t="inlineStr">
        <is>
          <t>OP13770</t>
        </is>
      </c>
      <c r="H2031" s="19">
        <f>UPPER(Table3[[#This Row],[Agen id]]&amp;"-"&amp;VLOOKUP(Table3[[#This Row],[Agen id]],A:B,2,0)&amp;"("&amp;Table3[[#This Row],[Short]]&amp;")")</f>
        <v/>
      </c>
      <c r="J2031" s="7">
        <f>VLOOKUP(Table3[[#This Row],[Agen id]],Agen!A:C,3,0)</f>
        <v/>
      </c>
      <c r="K2031" s="37">
        <f>TRIM(LEFT(Table3[[#This Row],[Group]],2))</f>
        <v/>
      </c>
      <c r="L2031" s="3" t="inlineStr">
        <is>
          <t>NON SALES</t>
        </is>
      </c>
    </row>
    <row r="2032">
      <c r="A2032" s="5" t="inlineStr">
        <is>
          <t>OP13800</t>
        </is>
      </c>
      <c r="B2032" s="6" t="inlineStr">
        <is>
          <t>Istianah</t>
        </is>
      </c>
      <c r="C2032" s="7" t="inlineStr">
        <is>
          <t>AV - Agen Verified</t>
        </is>
      </c>
      <c r="D2032" s="1" t="inlineStr">
        <is>
          <t>OP00002</t>
        </is>
      </c>
      <c r="E2032" s="8" t="n">
        <v>45495.85625</v>
      </c>
      <c r="F2032" s="7" t="inlineStr">
        <is>
          <t>AGEN</t>
        </is>
      </c>
      <c r="G2032" s="18" t="inlineStr">
        <is>
          <t>OP13800</t>
        </is>
      </c>
      <c r="H2032" s="19">
        <f>UPPER(Table3[[#This Row],[Agen id]]&amp;"-"&amp;VLOOKUP(Table3[[#This Row],[Agen id]],A:B,2,0)&amp;"("&amp;Table3[[#This Row],[Short]]&amp;")")</f>
        <v/>
      </c>
      <c r="J2032" s="7">
        <f>VLOOKUP(Table3[[#This Row],[Agen id]],Agen!A:C,3,0)</f>
        <v/>
      </c>
      <c r="K2032" s="37">
        <f>TRIM(LEFT(Table3[[#This Row],[Group]],2))</f>
        <v/>
      </c>
      <c r="L2032" s="3" t="inlineStr">
        <is>
          <t>NON SALES</t>
        </is>
      </c>
    </row>
    <row r="2033">
      <c r="A2033" s="5" t="inlineStr">
        <is>
          <t>OP13815</t>
        </is>
      </c>
      <c r="B2033" s="6" t="inlineStr">
        <is>
          <t>SUDI MAMPIR CELL</t>
        </is>
      </c>
      <c r="C2033" s="7" t="inlineStr">
        <is>
          <t>A - Agen</t>
        </is>
      </c>
      <c r="D2033" s="1" t="inlineStr">
        <is>
          <t>OP08075</t>
        </is>
      </c>
      <c r="E2033" s="8" t="n">
        <v>45496.59930555556</v>
      </c>
      <c r="F2033" s="7" t="inlineStr">
        <is>
          <t>DOWNLINE</t>
        </is>
      </c>
      <c r="G2033" s="18" t="inlineStr">
        <is>
          <t>OP08075</t>
        </is>
      </c>
      <c r="H2033" s="19">
        <f>UPPER(Table3[[#This Row],[Agen id]]&amp;"-"&amp;VLOOKUP(Table3[[#This Row],[Agen id]],A:B,2,0)&amp;"("&amp;Table3[[#This Row],[Short]]&amp;")")</f>
        <v/>
      </c>
      <c r="J2033" s="7">
        <f>VLOOKUP(Table3[[#This Row],[Agen id]],Agen!A:C,3,0)</f>
        <v/>
      </c>
      <c r="K2033" s="37">
        <f>TRIM(LEFT(Table3[[#This Row],[Group]],2))</f>
        <v/>
      </c>
      <c r="L2033" s="3" t="inlineStr">
        <is>
          <t>NON SALES</t>
        </is>
      </c>
    </row>
    <row r="2034">
      <c r="A2034" s="5" t="inlineStr">
        <is>
          <t>OP13838</t>
        </is>
      </c>
      <c r="B2034" s="6" t="inlineStr">
        <is>
          <t>Mulyahidin</t>
        </is>
      </c>
      <c r="C2034" s="7" t="inlineStr">
        <is>
          <t>A - Agen</t>
        </is>
      </c>
      <c r="D2034" s="1" t="inlineStr">
        <is>
          <t>OP00003</t>
        </is>
      </c>
      <c r="E2034" s="8" t="n">
        <v>45497.67361111111</v>
      </c>
      <c r="F2034" s="7" t="inlineStr">
        <is>
          <t>AGEN</t>
        </is>
      </c>
      <c r="G2034" s="18" t="inlineStr">
        <is>
          <t>OP13838</t>
        </is>
      </c>
      <c r="H2034" s="19">
        <f>UPPER(Table3[[#This Row],[Agen id]]&amp;"-"&amp;VLOOKUP(Table3[[#This Row],[Agen id]],A:B,2,0)&amp;"("&amp;Table3[[#This Row],[Short]]&amp;")")</f>
        <v/>
      </c>
      <c r="J2034" s="7">
        <f>VLOOKUP(Table3[[#This Row],[Agen id]],Agen!A:C,3,0)</f>
        <v/>
      </c>
      <c r="K2034" s="37">
        <f>TRIM(LEFT(Table3[[#This Row],[Group]],2))</f>
        <v/>
      </c>
      <c r="L2034" s="3" t="inlineStr">
        <is>
          <t>NON SALES</t>
        </is>
      </c>
    </row>
    <row r="2035">
      <c r="A2035" s="5" t="inlineStr">
        <is>
          <t>OP13847</t>
        </is>
      </c>
      <c r="B2035" s="6" t="inlineStr">
        <is>
          <t>juwandi</t>
        </is>
      </c>
      <c r="C2035" s="7" t="inlineStr">
        <is>
          <t>AV - Agen Verified</t>
        </is>
      </c>
      <c r="D2035" s="1" t="inlineStr">
        <is>
          <t>OP00002</t>
        </is>
      </c>
      <c r="E2035" s="8" t="n">
        <v>45498.28819444445</v>
      </c>
      <c r="F2035" s="7" t="inlineStr">
        <is>
          <t>AGEN</t>
        </is>
      </c>
      <c r="G2035" s="18" t="inlineStr">
        <is>
          <t>OP13847</t>
        </is>
      </c>
      <c r="H2035" s="19">
        <f>UPPER(Table3[[#This Row],[Agen id]]&amp;"-"&amp;VLOOKUP(Table3[[#This Row],[Agen id]],A:B,2,0)&amp;"("&amp;Table3[[#This Row],[Short]]&amp;")")</f>
        <v/>
      </c>
      <c r="J2035" s="7">
        <f>VLOOKUP(Table3[[#This Row],[Agen id]],Agen!A:C,3,0)</f>
        <v/>
      </c>
      <c r="K2035" s="37">
        <f>TRIM(LEFT(Table3[[#This Row],[Group]],2))</f>
        <v/>
      </c>
      <c r="L2035" s="3" t="inlineStr">
        <is>
          <t>NON SALES</t>
        </is>
      </c>
    </row>
    <row r="2036">
      <c r="A2036" s="5" t="inlineStr">
        <is>
          <t>OP13849</t>
        </is>
      </c>
      <c r="B2036" s="6" t="inlineStr">
        <is>
          <t>Dewi Anjar</t>
        </is>
      </c>
      <c r="C2036" s="7" t="inlineStr">
        <is>
          <t>A - Agen</t>
        </is>
      </c>
      <c r="D2036" s="1" t="inlineStr">
        <is>
          <t>OP00002</t>
        </is>
      </c>
      <c r="E2036" s="8" t="n">
        <v>45498.36111111111</v>
      </c>
      <c r="F2036" s="7" t="inlineStr">
        <is>
          <t>AGEN</t>
        </is>
      </c>
      <c r="G2036" s="18" t="inlineStr">
        <is>
          <t>OP13849</t>
        </is>
      </c>
      <c r="H2036" s="19">
        <f>UPPER(Table3[[#This Row],[Agen id]]&amp;"-"&amp;VLOOKUP(Table3[[#This Row],[Agen id]],A:B,2,0)&amp;"("&amp;Table3[[#This Row],[Short]]&amp;")")</f>
        <v/>
      </c>
      <c r="J2036" s="7">
        <f>VLOOKUP(Table3[[#This Row],[Agen id]],Agen!A:C,3,0)</f>
        <v/>
      </c>
      <c r="K2036" s="37">
        <f>TRIM(LEFT(Table3[[#This Row],[Group]],2))</f>
        <v/>
      </c>
      <c r="L2036" s="3" t="inlineStr">
        <is>
          <t>NON SALES</t>
        </is>
      </c>
    </row>
    <row r="2037">
      <c r="A2037" s="5" t="inlineStr">
        <is>
          <t>OP13855</t>
        </is>
      </c>
      <c r="B2037" s="6" t="inlineStr">
        <is>
          <t>Mora cell</t>
        </is>
      </c>
      <c r="C2037" s="7" t="inlineStr">
        <is>
          <t>AB1 - Agen Kab Bogor</t>
        </is>
      </c>
      <c r="D2037" s="1" t="inlineStr">
        <is>
          <t>OP00003</t>
        </is>
      </c>
      <c r="E2037" s="8" t="n">
        <v>45498.58055555556</v>
      </c>
      <c r="F2037" s="7" t="inlineStr">
        <is>
          <t>AGEN</t>
        </is>
      </c>
      <c r="G2037" s="18" t="inlineStr">
        <is>
          <t>OP13855</t>
        </is>
      </c>
      <c r="H2037" s="19">
        <f>UPPER(Table3[[#This Row],[Agen id]]&amp;"-"&amp;VLOOKUP(Table3[[#This Row],[Agen id]],A:B,2,0)&amp;"("&amp;Table3[[#This Row],[Short]]&amp;")")</f>
        <v/>
      </c>
      <c r="J2037" s="7">
        <f>VLOOKUP(Table3[[#This Row],[Agen id]],Agen!A:C,3,0)</f>
        <v/>
      </c>
      <c r="K2037" s="37">
        <f>TRIM(LEFT(Table3[[#This Row],[Group]],2))</f>
        <v/>
      </c>
      <c r="L2037" s="3" t="inlineStr">
        <is>
          <t>NON SALES</t>
        </is>
      </c>
    </row>
    <row r="2038">
      <c r="A2038" s="5" t="inlineStr">
        <is>
          <t>OP13865</t>
        </is>
      </c>
      <c r="B2038" s="6" t="inlineStr">
        <is>
          <t>Laili</t>
        </is>
      </c>
      <c r="C2038" s="7" t="inlineStr">
        <is>
          <t>AV - Agen Verified</t>
        </is>
      </c>
      <c r="D2038" s="1" t="inlineStr">
        <is>
          <t>OP00002</t>
        </is>
      </c>
      <c r="E2038" s="8" t="n">
        <v>45498.81319444445</v>
      </c>
      <c r="F2038" s="7" t="inlineStr">
        <is>
          <t>AGEN</t>
        </is>
      </c>
      <c r="G2038" s="18" t="inlineStr">
        <is>
          <t>OP13865</t>
        </is>
      </c>
      <c r="H2038" s="19">
        <f>UPPER(Table3[[#This Row],[Agen id]]&amp;"-"&amp;VLOOKUP(Table3[[#This Row],[Agen id]],A:B,2,0)&amp;"("&amp;Table3[[#This Row],[Short]]&amp;")")</f>
        <v/>
      </c>
      <c r="J2038" s="7">
        <f>VLOOKUP(Table3[[#This Row],[Agen id]],Agen!A:C,3,0)</f>
        <v/>
      </c>
      <c r="K2038" s="37">
        <f>TRIM(LEFT(Table3[[#This Row],[Group]],2))</f>
        <v/>
      </c>
      <c r="L2038" s="3" t="inlineStr">
        <is>
          <t>NON SALES</t>
        </is>
      </c>
    </row>
    <row r="2039">
      <c r="A2039" s="5" t="inlineStr">
        <is>
          <t>OP13877</t>
        </is>
      </c>
      <c r="B2039" s="6" t="inlineStr">
        <is>
          <t>Tiga R cell</t>
        </is>
      </c>
      <c r="C2039" s="7" t="inlineStr">
        <is>
          <t>AV - Agen Verified</t>
        </is>
      </c>
      <c r="D2039" s="1" t="inlineStr">
        <is>
          <t>OP03010</t>
        </is>
      </c>
      <c r="E2039" s="8" t="n">
        <v>45499.43611111111</v>
      </c>
      <c r="F2039" s="7" t="inlineStr">
        <is>
          <t>DOWNLINE</t>
        </is>
      </c>
      <c r="G2039" s="18" t="inlineStr">
        <is>
          <t>OP03010</t>
        </is>
      </c>
      <c r="H2039" s="19">
        <f>UPPER(Table3[[#This Row],[Agen id]]&amp;"-"&amp;VLOOKUP(Table3[[#This Row],[Agen id]],A:B,2,0)&amp;"("&amp;Table3[[#This Row],[Short]]&amp;")")</f>
        <v/>
      </c>
      <c r="J2039" s="7">
        <f>VLOOKUP(Table3[[#This Row],[Agen id]],Agen!A:C,3,0)</f>
        <v/>
      </c>
      <c r="K2039" s="37">
        <f>TRIM(LEFT(Table3[[#This Row],[Group]],2))</f>
        <v/>
      </c>
      <c r="L2039" s="3" t="inlineStr">
        <is>
          <t>NON SALES</t>
        </is>
      </c>
    </row>
    <row r="2040">
      <c r="A2040" s="5" t="inlineStr">
        <is>
          <t>OP13882</t>
        </is>
      </c>
      <c r="B2040" s="6" t="inlineStr">
        <is>
          <t>Riva Cell</t>
        </is>
      </c>
      <c r="C2040" s="7" t="inlineStr">
        <is>
          <t>AV - Agen Verified</t>
        </is>
      </c>
      <c r="D2040" s="1" t="inlineStr">
        <is>
          <t>OP10941</t>
        </is>
      </c>
      <c r="E2040" s="8" t="n">
        <v>45499.62777777778</v>
      </c>
      <c r="F2040" s="7" t="inlineStr">
        <is>
          <t>DOWNLINE</t>
        </is>
      </c>
      <c r="G2040" s="18" t="inlineStr">
        <is>
          <t>OP10941</t>
        </is>
      </c>
      <c r="H2040" s="19">
        <f>UPPER(Table3[[#This Row],[Agen id]]&amp;"-"&amp;VLOOKUP(Table3[[#This Row],[Agen id]],A:B,2,0)&amp;"("&amp;Table3[[#This Row],[Short]]&amp;")")</f>
        <v/>
      </c>
      <c r="J2040" s="7">
        <f>VLOOKUP(Table3[[#This Row],[Agen id]],Agen!A:C,3,0)</f>
        <v/>
      </c>
      <c r="K2040" s="37">
        <f>TRIM(LEFT(Table3[[#This Row],[Group]],2))</f>
        <v/>
      </c>
      <c r="L2040" s="3" t="inlineStr">
        <is>
          <t>NON SALES</t>
        </is>
      </c>
    </row>
    <row r="2041">
      <c r="A2041" s="5" t="inlineStr">
        <is>
          <t>OP13883</t>
        </is>
      </c>
      <c r="B2041" s="6" t="inlineStr">
        <is>
          <t>Zana Cell</t>
        </is>
      </c>
      <c r="C2041" s="7" t="inlineStr">
        <is>
          <t>AV - Agen Verified</t>
        </is>
      </c>
      <c r="D2041" s="1" t="inlineStr">
        <is>
          <t>OP10941</t>
        </is>
      </c>
      <c r="E2041" s="8" t="n">
        <v>45499.62847222222</v>
      </c>
      <c r="F2041" s="7" t="inlineStr">
        <is>
          <t>DOWNLINE</t>
        </is>
      </c>
      <c r="G2041" s="18" t="inlineStr">
        <is>
          <t>OP10941</t>
        </is>
      </c>
      <c r="H2041" s="19">
        <f>UPPER(Table3[[#This Row],[Agen id]]&amp;"-"&amp;VLOOKUP(Table3[[#This Row],[Agen id]],A:B,2,0)&amp;"("&amp;Table3[[#This Row],[Short]]&amp;")")</f>
        <v/>
      </c>
      <c r="J2041" s="7">
        <f>VLOOKUP(Table3[[#This Row],[Agen id]],Agen!A:C,3,0)</f>
        <v/>
      </c>
      <c r="K2041" s="37">
        <f>TRIM(LEFT(Table3[[#This Row],[Group]],2))</f>
        <v/>
      </c>
      <c r="L2041" s="3" t="inlineStr">
        <is>
          <t>NON SALES</t>
        </is>
      </c>
    </row>
    <row r="2042">
      <c r="A2042" s="5" t="inlineStr">
        <is>
          <t>OP13884</t>
        </is>
      </c>
      <c r="B2042" s="6" t="inlineStr">
        <is>
          <t>Umi Khasanah Cell</t>
        </is>
      </c>
      <c r="C2042" s="7" t="inlineStr">
        <is>
          <t>AV - Agen Verified</t>
        </is>
      </c>
      <c r="D2042" s="1" t="inlineStr">
        <is>
          <t>OP10941</t>
        </is>
      </c>
      <c r="E2042" s="8" t="n">
        <v>45499.62986111111</v>
      </c>
      <c r="F2042" s="7" t="inlineStr">
        <is>
          <t>DOWNLINE</t>
        </is>
      </c>
      <c r="G2042" s="18" t="inlineStr">
        <is>
          <t>OP10941</t>
        </is>
      </c>
      <c r="H2042" s="19">
        <f>UPPER(Table3[[#This Row],[Agen id]]&amp;"-"&amp;VLOOKUP(Table3[[#This Row],[Agen id]],A:B,2,0)&amp;"("&amp;Table3[[#This Row],[Short]]&amp;")")</f>
        <v/>
      </c>
      <c r="J2042" s="7">
        <f>VLOOKUP(Table3[[#This Row],[Agen id]],Agen!A:C,3,0)</f>
        <v/>
      </c>
      <c r="K2042" s="37">
        <f>TRIM(LEFT(Table3[[#This Row],[Group]],2))</f>
        <v/>
      </c>
      <c r="L2042" s="3" t="inlineStr">
        <is>
          <t>NON SALES</t>
        </is>
      </c>
    </row>
    <row r="2043">
      <c r="A2043" s="5" t="inlineStr">
        <is>
          <t>OP13885</t>
        </is>
      </c>
      <c r="B2043" s="6" t="inlineStr">
        <is>
          <t>Farizka Cell</t>
        </is>
      </c>
      <c r="C2043" s="7" t="inlineStr">
        <is>
          <t>AV - Agen Verified</t>
        </is>
      </c>
      <c r="D2043" s="1" t="inlineStr">
        <is>
          <t>OP10941</t>
        </is>
      </c>
      <c r="E2043" s="8" t="n">
        <v>45499.63402777778</v>
      </c>
      <c r="F2043" s="7" t="inlineStr">
        <is>
          <t>DOWNLINE</t>
        </is>
      </c>
      <c r="G2043" s="18" t="inlineStr">
        <is>
          <t>OP10941</t>
        </is>
      </c>
      <c r="H2043" s="19">
        <f>UPPER(Table3[[#This Row],[Agen id]]&amp;"-"&amp;VLOOKUP(Table3[[#This Row],[Agen id]],A:B,2,0)&amp;"("&amp;Table3[[#This Row],[Short]]&amp;")")</f>
        <v/>
      </c>
      <c r="J2043" s="7">
        <f>VLOOKUP(Table3[[#This Row],[Agen id]],Agen!A:C,3,0)</f>
        <v/>
      </c>
      <c r="K2043" s="37">
        <f>TRIM(LEFT(Table3[[#This Row],[Group]],2))</f>
        <v/>
      </c>
      <c r="L2043" s="3" t="inlineStr">
        <is>
          <t>NON SALES</t>
        </is>
      </c>
    </row>
    <row r="2044">
      <c r="A2044" s="5" t="inlineStr">
        <is>
          <t>OP13888</t>
        </is>
      </c>
      <c r="B2044" s="6" t="inlineStr">
        <is>
          <t>Rara cell</t>
        </is>
      </c>
      <c r="C2044" s="7" t="inlineStr">
        <is>
          <t>A - Agen</t>
        </is>
      </c>
      <c r="D2044" s="1" t="inlineStr">
        <is>
          <t>OP10872</t>
        </is>
      </c>
      <c r="E2044" s="8" t="n">
        <v>45499.65763888889</v>
      </c>
      <c r="F2044" s="7" t="inlineStr">
        <is>
          <t>DOWNLINE</t>
        </is>
      </c>
      <c r="G2044" s="18" t="inlineStr">
        <is>
          <t>OP10872</t>
        </is>
      </c>
      <c r="H2044" s="19">
        <f>UPPER(Table3[[#This Row],[Agen id]]&amp;"-"&amp;VLOOKUP(Table3[[#This Row],[Agen id]],A:B,2,0)&amp;"("&amp;Table3[[#This Row],[Short]]&amp;")")</f>
        <v/>
      </c>
      <c r="J2044" s="7">
        <f>VLOOKUP(Table3[[#This Row],[Agen id]],Agen!A:C,3,0)</f>
        <v/>
      </c>
      <c r="K2044" s="37">
        <f>TRIM(LEFT(Table3[[#This Row],[Group]],2))</f>
        <v/>
      </c>
      <c r="L2044" s="3" t="inlineStr">
        <is>
          <t>NON SALES</t>
        </is>
      </c>
    </row>
    <row r="2045">
      <c r="A2045" s="5" t="inlineStr">
        <is>
          <t>OP13890</t>
        </is>
      </c>
      <c r="B2045" s="6" t="inlineStr">
        <is>
          <t>Fitri Cell</t>
        </is>
      </c>
      <c r="C2045" s="7" t="inlineStr">
        <is>
          <t>AV - Agen Verified</t>
        </is>
      </c>
      <c r="D2045" s="1" t="inlineStr">
        <is>
          <t>OP00002</t>
        </is>
      </c>
      <c r="E2045" s="8" t="n">
        <v>45499.68888888889</v>
      </c>
      <c r="F2045" s="7" t="inlineStr">
        <is>
          <t>AGEN</t>
        </is>
      </c>
      <c r="G2045" s="18" t="inlineStr">
        <is>
          <t>OP13890</t>
        </is>
      </c>
      <c r="H2045" s="19">
        <f>UPPER(Table3[[#This Row],[Agen id]]&amp;"-"&amp;VLOOKUP(Table3[[#This Row],[Agen id]],A:B,2,0)&amp;"("&amp;Table3[[#This Row],[Short]]&amp;")")</f>
        <v/>
      </c>
      <c r="J2045" s="7">
        <f>VLOOKUP(Table3[[#This Row],[Agen id]],Agen!A:C,3,0)</f>
        <v/>
      </c>
      <c r="K2045" s="37">
        <f>TRIM(LEFT(Table3[[#This Row],[Group]],2))</f>
        <v/>
      </c>
      <c r="L2045" s="3" t="inlineStr">
        <is>
          <t>NON SALES</t>
        </is>
      </c>
    </row>
    <row r="2046">
      <c r="A2046" s="5" t="inlineStr">
        <is>
          <t>OP13895</t>
        </is>
      </c>
      <c r="B2046" s="6" t="inlineStr">
        <is>
          <t>Kana Cell</t>
        </is>
      </c>
      <c r="C2046" s="7" t="inlineStr">
        <is>
          <t>AV - Agen Verified</t>
        </is>
      </c>
      <c r="D2046" s="1" t="inlineStr">
        <is>
          <t>OP00002</t>
        </is>
      </c>
      <c r="E2046" s="8" t="n">
        <v>45499.75138888889</v>
      </c>
      <c r="F2046" s="7" t="inlineStr">
        <is>
          <t>AGEN</t>
        </is>
      </c>
      <c r="G2046" s="18" t="inlineStr">
        <is>
          <t>OP13895</t>
        </is>
      </c>
      <c r="H2046" s="19">
        <f>UPPER(Table3[[#This Row],[Agen id]]&amp;"-"&amp;VLOOKUP(Table3[[#This Row],[Agen id]],A:B,2,0)&amp;"("&amp;Table3[[#This Row],[Short]]&amp;")")</f>
        <v/>
      </c>
      <c r="J2046" s="7">
        <f>VLOOKUP(Table3[[#This Row],[Agen id]],Agen!A:C,3,0)</f>
        <v/>
      </c>
      <c r="K2046" s="37">
        <f>TRIM(LEFT(Table3[[#This Row],[Group]],2))</f>
        <v/>
      </c>
      <c r="L2046" s="3" t="inlineStr">
        <is>
          <t>NON SALES</t>
        </is>
      </c>
    </row>
    <row r="2047">
      <c r="A2047" s="5" t="inlineStr">
        <is>
          <t>OP13902</t>
        </is>
      </c>
      <c r="B2047" s="6" t="inlineStr">
        <is>
          <t>PUTRA CELL</t>
        </is>
      </c>
      <c r="C2047" s="7" t="inlineStr">
        <is>
          <t>AV - Agen Verified</t>
        </is>
      </c>
      <c r="D2047" s="1" t="inlineStr">
        <is>
          <t>OP10510</t>
        </is>
      </c>
      <c r="E2047" s="8" t="n">
        <v>45500.27152777778</v>
      </c>
      <c r="F2047" s="7" t="inlineStr">
        <is>
          <t>DOWNLINE</t>
        </is>
      </c>
      <c r="G2047" s="18" t="inlineStr">
        <is>
          <t>OP10510</t>
        </is>
      </c>
      <c r="H2047" s="19">
        <f>UPPER(Table3[[#This Row],[Agen id]]&amp;"-"&amp;VLOOKUP(Table3[[#This Row],[Agen id]],A:B,2,0)&amp;"("&amp;Table3[[#This Row],[Short]]&amp;")")</f>
        <v/>
      </c>
      <c r="J2047" s="7">
        <f>VLOOKUP(Table3[[#This Row],[Agen id]],Agen!A:C,3,0)</f>
        <v/>
      </c>
      <c r="K2047" s="37">
        <f>TRIM(LEFT(Table3[[#This Row],[Group]],2))</f>
        <v/>
      </c>
      <c r="L2047" s="3" t="inlineStr">
        <is>
          <t>NON SALES</t>
        </is>
      </c>
    </row>
    <row r="2048">
      <c r="A2048" s="5" t="inlineStr">
        <is>
          <t>OP13934</t>
        </is>
      </c>
      <c r="B2048" s="6" t="inlineStr">
        <is>
          <t>Rumaisha Cell</t>
        </is>
      </c>
      <c r="C2048" s="7" t="inlineStr">
        <is>
          <t>A - Agen</t>
        </is>
      </c>
      <c r="D2048" s="1" t="inlineStr">
        <is>
          <t>OP13882</t>
        </is>
      </c>
      <c r="E2048" s="8" t="n">
        <v>45501.44861111111</v>
      </c>
      <c r="F2048" s="7" t="inlineStr">
        <is>
          <t>DOWNLINE</t>
        </is>
      </c>
      <c r="G2048" s="18" t="inlineStr">
        <is>
          <t>OP10941</t>
        </is>
      </c>
      <c r="H2048" s="19">
        <f>UPPER(Table3[[#This Row],[Agen id]]&amp;"-"&amp;VLOOKUP(Table3[[#This Row],[Agen id]],A:B,2,0)&amp;"("&amp;Table3[[#This Row],[Short]]&amp;")")</f>
        <v/>
      </c>
      <c r="J2048" s="7">
        <f>VLOOKUP(Table3[[#This Row],[Agen id]],Agen!A:C,3,0)</f>
        <v/>
      </c>
      <c r="K2048" s="37">
        <f>TRIM(LEFT(Table3[[#This Row],[Group]],2))</f>
        <v/>
      </c>
      <c r="L2048" s="3" t="inlineStr">
        <is>
          <t>NON SALES</t>
        </is>
      </c>
    </row>
    <row r="2049">
      <c r="A2049" s="5" t="inlineStr">
        <is>
          <t>OP13944</t>
        </is>
      </c>
      <c r="B2049" s="6" t="inlineStr">
        <is>
          <t>Abah</t>
        </is>
      </c>
      <c r="C2049" s="7" t="inlineStr">
        <is>
          <t>A - Agen</t>
        </is>
      </c>
      <c r="D2049" s="1" t="inlineStr">
        <is>
          <t>OP00002</t>
        </is>
      </c>
      <c r="E2049" s="8" t="n">
        <v>45501.63194444445</v>
      </c>
      <c r="F2049" s="7" t="inlineStr">
        <is>
          <t>AGEN</t>
        </is>
      </c>
      <c r="G2049" s="18" t="inlineStr">
        <is>
          <t>OP13944</t>
        </is>
      </c>
      <c r="H2049" s="19">
        <f>UPPER(Table3[[#This Row],[Agen id]]&amp;"-"&amp;VLOOKUP(Table3[[#This Row],[Agen id]],A:B,2,0)&amp;"("&amp;Table3[[#This Row],[Short]]&amp;")")</f>
        <v/>
      </c>
      <c r="J2049" s="7">
        <f>VLOOKUP(Table3[[#This Row],[Agen id]],Agen!A:C,3,0)</f>
        <v/>
      </c>
      <c r="K2049" s="37">
        <f>TRIM(LEFT(Table3[[#This Row],[Group]],2))</f>
        <v/>
      </c>
      <c r="L2049" s="3" t="inlineStr">
        <is>
          <t>NON SALES</t>
        </is>
      </c>
    </row>
    <row r="2050">
      <c r="A2050" s="5" t="inlineStr">
        <is>
          <t>OP13946</t>
        </is>
      </c>
      <c r="B2050" s="6" t="inlineStr">
        <is>
          <t>Raffa Cell</t>
        </is>
      </c>
      <c r="C2050" s="7" t="inlineStr">
        <is>
          <t>A - Agen</t>
        </is>
      </c>
      <c r="D2050" s="1" t="inlineStr">
        <is>
          <t>OP10941</t>
        </is>
      </c>
      <c r="E2050" s="8" t="n">
        <v>45501.70694444444</v>
      </c>
      <c r="F2050" s="7" t="inlineStr">
        <is>
          <t>DOWNLINE</t>
        </is>
      </c>
      <c r="G2050" s="18" t="inlineStr">
        <is>
          <t>OP10941</t>
        </is>
      </c>
      <c r="H2050" s="19">
        <f>UPPER(Table3[[#This Row],[Agen id]]&amp;"-"&amp;VLOOKUP(Table3[[#This Row],[Agen id]],A:B,2,0)&amp;"("&amp;Table3[[#This Row],[Short]]&amp;")")</f>
        <v/>
      </c>
      <c r="J2050" s="7">
        <f>VLOOKUP(Table3[[#This Row],[Agen id]],Agen!A:C,3,0)</f>
        <v/>
      </c>
      <c r="K2050" s="37">
        <f>TRIM(LEFT(Table3[[#This Row],[Group]],2))</f>
        <v/>
      </c>
      <c r="L2050" s="3" t="inlineStr">
        <is>
          <t>NON SALES</t>
        </is>
      </c>
    </row>
    <row r="2051">
      <c r="A2051" s="5" t="inlineStr">
        <is>
          <t>OP13957</t>
        </is>
      </c>
      <c r="B2051" s="6" t="inlineStr">
        <is>
          <t>Indrawati</t>
        </is>
      </c>
      <c r="C2051" s="7" t="inlineStr">
        <is>
          <t>AV - Agen Verified</t>
        </is>
      </c>
      <c r="D2051" s="1" t="inlineStr">
        <is>
          <t>OP08163</t>
        </is>
      </c>
      <c r="E2051" s="8" t="n">
        <v>45502.38402777778</v>
      </c>
      <c r="F2051" s="7" t="inlineStr">
        <is>
          <t>DOWNLINE</t>
        </is>
      </c>
      <c r="G2051" s="18" t="inlineStr">
        <is>
          <t>OP08163</t>
        </is>
      </c>
      <c r="H2051" s="19">
        <f>UPPER(Table3[[#This Row],[Agen id]]&amp;"-"&amp;VLOOKUP(Table3[[#This Row],[Agen id]],A:B,2,0)&amp;"("&amp;Table3[[#This Row],[Short]]&amp;")")</f>
        <v/>
      </c>
      <c r="J2051" s="7">
        <f>VLOOKUP(Table3[[#This Row],[Agen id]],Agen!A:C,3,0)</f>
        <v/>
      </c>
      <c r="K2051" s="37">
        <f>TRIM(LEFT(Table3[[#This Row],[Group]],2))</f>
        <v/>
      </c>
      <c r="L2051" s="3" t="inlineStr">
        <is>
          <t>NON SALES</t>
        </is>
      </c>
    </row>
    <row r="2052">
      <c r="A2052" s="5" t="inlineStr">
        <is>
          <t>OP13974</t>
        </is>
      </c>
      <c r="B2052" s="6" t="inlineStr">
        <is>
          <t>ASADIYAH</t>
        </is>
      </c>
      <c r="C2052" s="7" t="inlineStr">
        <is>
          <t>AV - Agen Verified</t>
        </is>
      </c>
      <c r="D2052" s="1" t="inlineStr">
        <is>
          <t>OP00002</t>
        </is>
      </c>
      <c r="E2052" s="8" t="n">
        <v>45503.34861111111</v>
      </c>
      <c r="F2052" s="7" t="inlineStr">
        <is>
          <t>AGEN</t>
        </is>
      </c>
      <c r="G2052" s="18" t="inlineStr">
        <is>
          <t>OP13974</t>
        </is>
      </c>
      <c r="H2052" s="19">
        <f>UPPER(Table3[[#This Row],[Agen id]]&amp;"-"&amp;VLOOKUP(Table3[[#This Row],[Agen id]],A:B,2,0)&amp;"("&amp;Table3[[#This Row],[Short]]&amp;")")</f>
        <v/>
      </c>
      <c r="J2052" s="7">
        <f>VLOOKUP(Table3[[#This Row],[Agen id]],Agen!A:C,3,0)</f>
        <v/>
      </c>
      <c r="K2052" s="37">
        <f>TRIM(LEFT(Table3[[#This Row],[Group]],2))</f>
        <v/>
      </c>
      <c r="L2052" s="3" t="inlineStr">
        <is>
          <t>NON SALES</t>
        </is>
      </c>
    </row>
    <row r="2053">
      <c r="A2053" s="5" t="inlineStr">
        <is>
          <t>OP13976</t>
        </is>
      </c>
      <c r="B2053" s="6" t="inlineStr">
        <is>
          <t>24cell salak 1</t>
        </is>
      </c>
      <c r="C2053" s="7" t="inlineStr">
        <is>
          <t>MK - Marketing</t>
        </is>
      </c>
      <c r="D2053" s="1" t="inlineStr">
        <is>
          <t>OP07489</t>
        </is>
      </c>
      <c r="E2053" s="8" t="n">
        <v>45503.55972222222</v>
      </c>
      <c r="F2053" s="7" t="inlineStr">
        <is>
          <t>DOWNLINE</t>
        </is>
      </c>
      <c r="G2053" s="18" t="inlineStr">
        <is>
          <t>OP07489</t>
        </is>
      </c>
      <c r="H2053" s="19">
        <f>UPPER(Table3[[#This Row],[Agen id]]&amp;"-"&amp;VLOOKUP(Table3[[#This Row],[Agen id]],A:B,2,0)&amp;"("&amp;Table3[[#This Row],[Short]]&amp;")")</f>
        <v/>
      </c>
      <c r="J2053" s="7">
        <f>VLOOKUP(Table3[[#This Row],[Agen id]],Agen!A:C,3,0)</f>
        <v/>
      </c>
      <c r="K2053" s="37">
        <f>TRIM(LEFT(Table3[[#This Row],[Group]],2))</f>
        <v/>
      </c>
      <c r="L2053" s="3" t="inlineStr">
        <is>
          <t>NON SALES</t>
        </is>
      </c>
    </row>
    <row r="2054">
      <c r="A2054" s="5" t="inlineStr">
        <is>
          <t>OP13977</t>
        </is>
      </c>
      <c r="B2054" s="6" t="inlineStr">
        <is>
          <t>Gustincell</t>
        </is>
      </c>
      <c r="C2054" s="7" t="inlineStr">
        <is>
          <t>A - Agen</t>
        </is>
      </c>
      <c r="D2054" s="1" t="inlineStr">
        <is>
          <t>OP00002</t>
        </is>
      </c>
      <c r="E2054" s="8" t="n">
        <v>45503.73125</v>
      </c>
      <c r="F2054" s="7" t="inlineStr">
        <is>
          <t>AGEN</t>
        </is>
      </c>
      <c r="G2054" s="18" t="inlineStr">
        <is>
          <t>OP13977</t>
        </is>
      </c>
      <c r="H2054" s="19">
        <f>UPPER(Table3[[#This Row],[Agen id]]&amp;"-"&amp;VLOOKUP(Table3[[#This Row],[Agen id]],A:B,2,0)&amp;"("&amp;Table3[[#This Row],[Short]]&amp;")")</f>
        <v/>
      </c>
      <c r="J2054" s="7">
        <f>VLOOKUP(Table3[[#This Row],[Agen id]],Agen!A:C,3,0)</f>
        <v/>
      </c>
      <c r="K2054" s="37">
        <f>TRIM(LEFT(Table3[[#This Row],[Group]],2))</f>
        <v/>
      </c>
      <c r="L2054" s="3" t="inlineStr">
        <is>
          <t>NON SALES</t>
        </is>
      </c>
    </row>
    <row r="2055">
      <c r="A2055" s="5" t="inlineStr">
        <is>
          <t>OP13985</t>
        </is>
      </c>
      <c r="B2055" s="6" t="inlineStr">
        <is>
          <t>ABIL CELL</t>
        </is>
      </c>
      <c r="C2055" s="7" t="inlineStr">
        <is>
          <t>A - Agen</t>
        </is>
      </c>
      <c r="D2055" s="1" t="inlineStr">
        <is>
          <t>OP13974</t>
        </is>
      </c>
      <c r="E2055" s="8" t="n">
        <v>45504.76180555556</v>
      </c>
      <c r="F2055" s="7" t="inlineStr">
        <is>
          <t>DOWNLINE</t>
        </is>
      </c>
      <c r="G2055" s="18" t="inlineStr">
        <is>
          <t>OP13974</t>
        </is>
      </c>
      <c r="H2055" s="19">
        <f>UPPER(Table3[[#This Row],[Agen id]]&amp;"-"&amp;VLOOKUP(Table3[[#This Row],[Agen id]],A:B,2,0)&amp;"("&amp;Table3[[#This Row],[Short]]&amp;")")</f>
        <v/>
      </c>
      <c r="J2055" s="7">
        <f>VLOOKUP(Table3[[#This Row],[Agen id]],Agen!A:C,3,0)</f>
        <v/>
      </c>
      <c r="K2055" s="37">
        <f>TRIM(LEFT(Table3[[#This Row],[Group]],2))</f>
        <v/>
      </c>
      <c r="L2055" s="3" t="inlineStr">
        <is>
          <t>NON SALES</t>
        </is>
      </c>
    </row>
    <row r="2056">
      <c r="A2056" s="5" t="inlineStr">
        <is>
          <t>OP13987</t>
        </is>
      </c>
      <c r="B2056" s="6" t="inlineStr">
        <is>
          <t>Santika Cell</t>
        </is>
      </c>
      <c r="C2056" s="7" t="inlineStr">
        <is>
          <t>AV - Agen Verified</t>
        </is>
      </c>
      <c r="D2056" s="1" t="inlineStr">
        <is>
          <t>OP00002</t>
        </is>
      </c>
      <c r="E2056" s="8" t="n">
        <v>45504.82152777778</v>
      </c>
      <c r="F2056" s="7" t="inlineStr">
        <is>
          <t>AGEN</t>
        </is>
      </c>
      <c r="G2056" s="18" t="inlineStr">
        <is>
          <t>OP13987</t>
        </is>
      </c>
      <c r="H2056" s="19">
        <f>UPPER(Table3[[#This Row],[Agen id]]&amp;"-"&amp;VLOOKUP(Table3[[#This Row],[Agen id]],A:B,2,0)&amp;"("&amp;Table3[[#This Row],[Short]]&amp;")")</f>
        <v/>
      </c>
      <c r="J2056" s="7">
        <f>VLOOKUP(Table3[[#This Row],[Agen id]],Agen!A:C,3,0)</f>
        <v/>
      </c>
      <c r="K2056" s="37">
        <f>TRIM(LEFT(Table3[[#This Row],[Group]],2))</f>
        <v/>
      </c>
      <c r="L2056" s="3" t="inlineStr">
        <is>
          <t>NON SALES</t>
        </is>
      </c>
    </row>
    <row r="2057">
      <c r="A2057" s="5" t="inlineStr">
        <is>
          <t>OP13989</t>
        </is>
      </c>
      <c r="B2057" s="6" t="inlineStr">
        <is>
          <t>MARTIN CELL</t>
        </is>
      </c>
      <c r="C2057" s="7" t="inlineStr">
        <is>
          <t>A - Agen</t>
        </is>
      </c>
      <c r="D2057" s="1" t="inlineStr">
        <is>
          <t>OP08075</t>
        </is>
      </c>
      <c r="E2057" s="8" t="n">
        <v>45505.58611111111</v>
      </c>
      <c r="F2057" s="7" t="inlineStr">
        <is>
          <t>DOWNLINE</t>
        </is>
      </c>
      <c r="G2057" s="18" t="inlineStr">
        <is>
          <t>OP08075</t>
        </is>
      </c>
      <c r="H2057" s="19">
        <f>UPPER(Table3[[#This Row],[Agen id]]&amp;"-"&amp;VLOOKUP(Table3[[#This Row],[Agen id]],A:B,2,0)&amp;"("&amp;Table3[[#This Row],[Short]]&amp;")")</f>
        <v/>
      </c>
      <c r="J2057" s="7">
        <f>VLOOKUP(Table3[[#This Row],[Agen id]],Agen!A:C,3,0)</f>
        <v/>
      </c>
      <c r="K2057" s="37">
        <f>TRIM(LEFT(Table3[[#This Row],[Group]],2))</f>
        <v/>
      </c>
      <c r="L2057" s="3" t="inlineStr">
        <is>
          <t>NON SALES</t>
        </is>
      </c>
    </row>
    <row r="2058">
      <c r="A2058" s="5" t="inlineStr">
        <is>
          <t>OP13991</t>
        </is>
      </c>
      <c r="B2058" s="6" t="inlineStr">
        <is>
          <t>mulya cell</t>
        </is>
      </c>
      <c r="C2058" s="7" t="inlineStr">
        <is>
          <t>AB1 - Agen Kab Bogor</t>
        </is>
      </c>
      <c r="D2058" s="1" t="inlineStr">
        <is>
          <t>OP13982</t>
        </is>
      </c>
      <c r="E2058" s="8" t="n">
        <v>45505.62847222222</v>
      </c>
      <c r="F2058" s="7" t="inlineStr">
        <is>
          <t>AGEN</t>
        </is>
      </c>
      <c r="G2058" s="18" t="inlineStr">
        <is>
          <t>OP13991</t>
        </is>
      </c>
      <c r="H2058" s="19">
        <f>UPPER(Table3[[#This Row],[Agen id]]&amp;"-"&amp;VLOOKUP(Table3[[#This Row],[Agen id]],A:B,2,0)&amp;"("&amp;Table3[[#This Row],[Short]]&amp;")")</f>
        <v/>
      </c>
      <c r="J2058" s="7">
        <f>VLOOKUP(Table3[[#This Row],[Agen id]],Agen!A:C,3,0)</f>
        <v/>
      </c>
      <c r="K2058" s="37">
        <f>TRIM(LEFT(Table3[[#This Row],[Group]],2))</f>
        <v/>
      </c>
      <c r="L2058" s="3" t="inlineStr">
        <is>
          <t>NON SALES</t>
        </is>
      </c>
    </row>
    <row r="2059">
      <c r="A2059" s="5" t="inlineStr">
        <is>
          <t>OP13999</t>
        </is>
      </c>
      <c r="B2059" s="6" t="inlineStr">
        <is>
          <t>daffa arka</t>
        </is>
      </c>
      <c r="C2059" s="7" t="inlineStr">
        <is>
          <t>AV - Agen Verified</t>
        </is>
      </c>
      <c r="D2059" s="1" t="inlineStr">
        <is>
          <t>OP03216</t>
        </is>
      </c>
      <c r="E2059" s="8" t="n">
        <v>45508.37291666667</v>
      </c>
      <c r="F2059" s="7" t="inlineStr">
        <is>
          <t>DOWNLINE</t>
        </is>
      </c>
      <c r="G2059" s="18" t="inlineStr">
        <is>
          <t>OP00049</t>
        </is>
      </c>
      <c r="H2059" s="19">
        <f>UPPER(Table3[[#This Row],[Agen id]]&amp;"-"&amp;VLOOKUP(Table3[[#This Row],[Agen id]],A:B,2,0)&amp;"("&amp;Table3[[#This Row],[Short]]&amp;")")</f>
        <v/>
      </c>
      <c r="J2059" s="7">
        <f>VLOOKUP(Table3[[#This Row],[Agen id]],Agen!A:C,3,0)</f>
        <v/>
      </c>
      <c r="K2059" s="37">
        <f>TRIM(LEFT(Table3[[#This Row],[Group]],2))</f>
        <v/>
      </c>
      <c r="L2059" s="3" t="inlineStr">
        <is>
          <t>NON SALES</t>
        </is>
      </c>
    </row>
    <row r="2060">
      <c r="A2060" s="5" t="inlineStr">
        <is>
          <t>OP14002</t>
        </is>
      </c>
      <c r="B2060" s="6" t="inlineStr">
        <is>
          <t>Deviphone cell</t>
        </is>
      </c>
      <c r="C2060" s="7" t="inlineStr">
        <is>
          <t>AV - Agen Verified</t>
        </is>
      </c>
      <c r="D2060" s="1" t="inlineStr">
        <is>
          <t>OP00002</t>
        </is>
      </c>
      <c r="E2060" s="8" t="n">
        <v>45509.49305555555</v>
      </c>
      <c r="F2060" s="7" t="inlineStr">
        <is>
          <t>AGEN</t>
        </is>
      </c>
      <c r="G2060" s="7" t="inlineStr">
        <is>
          <t>OP14002</t>
        </is>
      </c>
      <c r="H2060" s="19">
        <f>UPPER(Table3[[#This Row],[Agen id]]&amp;"-"&amp;VLOOKUP(Table3[[#This Row],[Agen id]],A:B,2,0)&amp;"("&amp;Table3[[#This Row],[Short]]&amp;")")</f>
        <v/>
      </c>
      <c r="J2060" s="7">
        <f>VLOOKUP(Table3[[#This Row],[Agen id]],Agen!A:C,3,0)</f>
        <v/>
      </c>
      <c r="K2060" s="37">
        <f>TRIM(LEFT(Table3[[#This Row],[Group]],2))</f>
        <v/>
      </c>
      <c r="L2060" s="3" t="inlineStr">
        <is>
          <t>NON SALES</t>
        </is>
      </c>
    </row>
    <row r="2061">
      <c r="A2061" s="5" t="inlineStr">
        <is>
          <t>OP14004</t>
        </is>
      </c>
      <c r="B2061" s="6" t="inlineStr">
        <is>
          <t>Gilang ramadan</t>
        </is>
      </c>
      <c r="C2061" s="7" t="inlineStr">
        <is>
          <t>A - Agen</t>
        </is>
      </c>
      <c r="D2061" s="1" t="inlineStr">
        <is>
          <t>OP03633</t>
        </is>
      </c>
      <c r="E2061" s="8" t="n">
        <v>45509.67847222222</v>
      </c>
      <c r="F2061" s="7" t="inlineStr">
        <is>
          <t>DOWNLINE</t>
        </is>
      </c>
      <c r="G2061" s="18" t="inlineStr">
        <is>
          <t>OP03633</t>
        </is>
      </c>
      <c r="H2061" s="19">
        <f>UPPER(Table3[[#This Row],[Agen id]]&amp;"-"&amp;VLOOKUP(Table3[[#This Row],[Agen id]],A:B,2,0)&amp;"("&amp;Table3[[#This Row],[Short]]&amp;")")</f>
        <v/>
      </c>
      <c r="J2061" s="7">
        <f>VLOOKUP(Table3[[#This Row],[Agen id]],Agen!A:C,3,0)</f>
        <v/>
      </c>
      <c r="K2061" s="37">
        <f>TRIM(LEFT(Table3[[#This Row],[Group]],2))</f>
        <v/>
      </c>
      <c r="L2061" s="3" t="inlineStr">
        <is>
          <t>NON SALES</t>
        </is>
      </c>
    </row>
    <row r="2062">
      <c r="A2062" s="5" t="inlineStr">
        <is>
          <t>OP14008</t>
        </is>
      </c>
      <c r="B2062" s="6" t="inlineStr">
        <is>
          <t>Aditia</t>
        </is>
      </c>
      <c r="C2062" s="7" t="inlineStr">
        <is>
          <t>AV - Agen Verified</t>
        </is>
      </c>
      <c r="D2062" s="1" t="inlineStr">
        <is>
          <t>OP00002</t>
        </is>
      </c>
      <c r="E2062" s="8" t="n">
        <v>45510.58541666667</v>
      </c>
      <c r="F2062" s="7" t="inlineStr">
        <is>
          <t>AGEN</t>
        </is>
      </c>
      <c r="G2062" s="18" t="inlineStr">
        <is>
          <t>OP14008</t>
        </is>
      </c>
      <c r="H2062" s="19">
        <f>UPPER(Table3[[#This Row],[Agen id]]&amp;"-"&amp;VLOOKUP(Table3[[#This Row],[Agen id]],A:B,2,0)&amp;"("&amp;Table3[[#This Row],[Short]]&amp;")")</f>
        <v/>
      </c>
      <c r="J2062" s="7">
        <f>VLOOKUP(Table3[[#This Row],[Agen id]],Agen!A:C,3,0)</f>
        <v/>
      </c>
      <c r="K2062" s="37">
        <f>TRIM(LEFT(Table3[[#This Row],[Group]],2))</f>
        <v/>
      </c>
      <c r="L2062" s="3" t="inlineStr">
        <is>
          <t>NON SALES</t>
        </is>
      </c>
    </row>
    <row r="2063">
      <c r="A2063" s="5" t="inlineStr">
        <is>
          <t>OP14038</t>
        </is>
      </c>
      <c r="B2063" s="6" t="inlineStr">
        <is>
          <t>warung cinko</t>
        </is>
      </c>
      <c r="C2063" s="7" t="inlineStr">
        <is>
          <t>AB1 - Agen Kab Bogor</t>
        </is>
      </c>
      <c r="D2063" s="1" t="inlineStr">
        <is>
          <t>OP08200</t>
        </is>
      </c>
      <c r="E2063" s="8" t="n">
        <v>45511.87847222222</v>
      </c>
      <c r="F2063" s="7" t="inlineStr">
        <is>
          <t>DOWNLINE</t>
        </is>
      </c>
      <c r="G2063" s="18" t="inlineStr">
        <is>
          <t>OP08200</t>
        </is>
      </c>
      <c r="H2063" s="19">
        <f>UPPER(Table3[[#This Row],[Agen id]]&amp;"-"&amp;VLOOKUP(Table3[[#This Row],[Agen id]],A:B,2,0)&amp;"("&amp;Table3[[#This Row],[Short]]&amp;")")</f>
        <v/>
      </c>
      <c r="J2063" s="7">
        <f>VLOOKUP(Table3[[#This Row],[Agen id]],Agen!A:C,3,0)</f>
        <v/>
      </c>
      <c r="K2063" s="37">
        <f>TRIM(LEFT(Table3[[#This Row],[Group]],2))</f>
        <v/>
      </c>
      <c r="L2063" s="3" t="inlineStr">
        <is>
          <t>NON SALES</t>
        </is>
      </c>
    </row>
    <row r="2064">
      <c r="A2064" s="5" t="inlineStr">
        <is>
          <t>OP14047</t>
        </is>
      </c>
      <c r="B2064" s="6" t="inlineStr">
        <is>
          <t>Miranda</t>
        </is>
      </c>
      <c r="C2064" s="7" t="inlineStr">
        <is>
          <t>A - Agen</t>
        </is>
      </c>
      <c r="D2064" s="1" t="inlineStr">
        <is>
          <t>OP10102</t>
        </is>
      </c>
      <c r="E2064" s="8" t="n">
        <v>45512.80347222222</v>
      </c>
      <c r="F2064" s="7" t="inlineStr">
        <is>
          <t>DOWNLINE</t>
        </is>
      </c>
      <c r="G2064" s="18" t="inlineStr">
        <is>
          <t>OP10102</t>
        </is>
      </c>
      <c r="H2064" s="19">
        <f>UPPER(Table3[[#This Row],[Agen id]]&amp;"-"&amp;VLOOKUP(Table3[[#This Row],[Agen id]],A:B,2,0)&amp;"("&amp;Table3[[#This Row],[Short]]&amp;")")</f>
        <v/>
      </c>
      <c r="J2064" s="7">
        <f>VLOOKUP(Table3[[#This Row],[Agen id]],Agen!A:C,3,0)</f>
        <v/>
      </c>
      <c r="K2064" s="37">
        <f>TRIM(LEFT(Table3[[#This Row],[Group]],2))</f>
        <v/>
      </c>
      <c r="L2064" s="3" t="inlineStr">
        <is>
          <t>NON SALES</t>
        </is>
      </c>
    </row>
    <row r="2065">
      <c r="A2065" s="5" t="inlineStr">
        <is>
          <t>OP14078</t>
        </is>
      </c>
      <c r="B2065" s="6" t="inlineStr">
        <is>
          <t>Aidah faridah</t>
        </is>
      </c>
      <c r="C2065" s="7" t="inlineStr">
        <is>
          <t>AV - Agen Verified</t>
        </is>
      </c>
      <c r="D2065" s="1" t="inlineStr">
        <is>
          <t>OP00002</t>
        </is>
      </c>
      <c r="E2065" s="8" t="n">
        <v>45513.60347222222</v>
      </c>
      <c r="F2065" s="7" t="inlineStr">
        <is>
          <t>AGEN</t>
        </is>
      </c>
      <c r="G2065" s="18" t="inlineStr">
        <is>
          <t>OP14078</t>
        </is>
      </c>
      <c r="H2065" s="19">
        <f>UPPER(Table3[[#This Row],[Agen id]]&amp;"-"&amp;VLOOKUP(Table3[[#This Row],[Agen id]],A:B,2,0)&amp;"("&amp;Table3[[#This Row],[Short]]&amp;")")</f>
        <v/>
      </c>
      <c r="J2065" s="7">
        <f>VLOOKUP(Table3[[#This Row],[Agen id]],Agen!A:C,3,0)</f>
        <v/>
      </c>
      <c r="K2065" s="37">
        <f>TRIM(LEFT(Table3[[#This Row],[Group]],2))</f>
        <v/>
      </c>
      <c r="L2065" s="3" t="inlineStr">
        <is>
          <t>NON SALES</t>
        </is>
      </c>
    </row>
    <row r="2066">
      <c r="A2066" s="5" t="inlineStr">
        <is>
          <t>OP14086</t>
        </is>
      </c>
      <c r="B2066" s="6" t="inlineStr">
        <is>
          <t>Herman eka cell</t>
        </is>
      </c>
      <c r="C2066" s="7" t="inlineStr">
        <is>
          <t>AV - Agen Verified</t>
        </is>
      </c>
      <c r="D2066" s="1" t="inlineStr">
        <is>
          <t>OP04595</t>
        </is>
      </c>
      <c r="E2066" s="8" t="n">
        <v>45513.84861111111</v>
      </c>
      <c r="F2066" s="7" t="inlineStr">
        <is>
          <t>DOWNLINE</t>
        </is>
      </c>
      <c r="G2066" s="18" t="inlineStr">
        <is>
          <t>OP04595</t>
        </is>
      </c>
      <c r="H2066" s="19">
        <f>UPPER(Table3[[#This Row],[Agen id]]&amp;"-"&amp;VLOOKUP(Table3[[#This Row],[Agen id]],A:B,2,0)&amp;"("&amp;Table3[[#This Row],[Short]]&amp;")")</f>
        <v/>
      </c>
      <c r="J2066" s="7">
        <f>VLOOKUP(Table3[[#This Row],[Agen id]],Agen!A:C,3,0)</f>
        <v/>
      </c>
      <c r="K2066" s="37">
        <f>TRIM(LEFT(Table3[[#This Row],[Group]],2))</f>
        <v/>
      </c>
      <c r="L2066" s="3" t="inlineStr">
        <is>
          <t>NON SALES</t>
        </is>
      </c>
    </row>
    <row r="2067">
      <c r="A2067" s="5" t="inlineStr">
        <is>
          <t>OP14140</t>
        </is>
      </c>
      <c r="B2067" s="6" t="inlineStr">
        <is>
          <t>Dania</t>
        </is>
      </c>
      <c r="C2067" s="7" t="inlineStr">
        <is>
          <t>A - Agen</t>
        </is>
      </c>
      <c r="D2067" s="1" t="inlineStr">
        <is>
          <t>OP00002</t>
        </is>
      </c>
      <c r="E2067" s="8" t="n">
        <v>45516.49444444444</v>
      </c>
      <c r="F2067" s="7" t="inlineStr">
        <is>
          <t>AGEN</t>
        </is>
      </c>
      <c r="G2067" s="18" t="inlineStr">
        <is>
          <t>OP14140</t>
        </is>
      </c>
      <c r="H2067" s="19">
        <f>UPPER(Table3[[#This Row],[Agen id]]&amp;"-"&amp;VLOOKUP(Table3[[#This Row],[Agen id]],A:B,2,0)&amp;"("&amp;Table3[[#This Row],[Short]]&amp;")")</f>
        <v/>
      </c>
      <c r="J2067" s="7">
        <f>VLOOKUP(Table3[[#This Row],[Agen id]],Agen!A:C,3,0)</f>
        <v/>
      </c>
      <c r="K2067" s="37">
        <f>TRIM(LEFT(Table3[[#This Row],[Group]],2))</f>
        <v/>
      </c>
      <c r="L2067" s="3" t="inlineStr">
        <is>
          <t>NON SALES</t>
        </is>
      </c>
    </row>
    <row r="2068">
      <c r="A2068" s="5" t="inlineStr">
        <is>
          <t>OP14141</t>
        </is>
      </c>
      <c r="B2068" s="6" t="inlineStr">
        <is>
          <t>Khoirun</t>
        </is>
      </c>
      <c r="C2068" s="7" t="inlineStr">
        <is>
          <t>AV - Agen Verified</t>
        </is>
      </c>
      <c r="D2068" s="1" t="inlineStr">
        <is>
          <t>OP07079</t>
        </is>
      </c>
      <c r="E2068" s="8" t="n">
        <v>45516.5375</v>
      </c>
      <c r="F2068" s="7" t="inlineStr">
        <is>
          <t>DOWNLINE</t>
        </is>
      </c>
      <c r="G2068" s="18" t="inlineStr">
        <is>
          <t>OP07079</t>
        </is>
      </c>
      <c r="H2068" s="19">
        <f>UPPER(Table3[[#This Row],[Agen id]]&amp;"-"&amp;VLOOKUP(Table3[[#This Row],[Agen id]],A:B,2,0)&amp;"("&amp;Table3[[#This Row],[Short]]&amp;")")</f>
        <v/>
      </c>
      <c r="J2068" s="7">
        <f>VLOOKUP(Table3[[#This Row],[Agen id]],Agen!A:C,3,0)</f>
        <v/>
      </c>
      <c r="K2068" s="37">
        <f>TRIM(LEFT(Table3[[#This Row],[Group]],2))</f>
        <v/>
      </c>
      <c r="L2068" s="3" t="inlineStr">
        <is>
          <t>NON SALES</t>
        </is>
      </c>
    </row>
    <row r="2069">
      <c r="A2069" s="5" t="inlineStr">
        <is>
          <t>OP14155</t>
        </is>
      </c>
      <c r="B2069" s="6" t="inlineStr">
        <is>
          <t>Rita oktavia</t>
        </is>
      </c>
      <c r="C2069" s="7" t="inlineStr">
        <is>
          <t>AV - Agen Verified</t>
        </is>
      </c>
      <c r="D2069" s="1" t="inlineStr">
        <is>
          <t>OP01449</t>
        </is>
      </c>
      <c r="E2069" s="8" t="n">
        <v>45517.52430555555</v>
      </c>
      <c r="F2069" s="7" t="inlineStr">
        <is>
          <t>DOWNLINE</t>
        </is>
      </c>
      <c r="G2069" s="18" t="inlineStr">
        <is>
          <t>OP01449</t>
        </is>
      </c>
      <c r="H2069" s="19">
        <f>UPPER(Table3[[#This Row],[Agen id]]&amp;"-"&amp;VLOOKUP(Table3[[#This Row],[Agen id]],A:B,2,0)&amp;"("&amp;Table3[[#This Row],[Short]]&amp;")")</f>
        <v/>
      </c>
      <c r="J2069" s="7">
        <f>VLOOKUP(Table3[[#This Row],[Agen id]],Agen!A:C,3,0)</f>
        <v/>
      </c>
      <c r="K2069" s="37">
        <f>TRIM(LEFT(Table3[[#This Row],[Group]],2))</f>
        <v/>
      </c>
      <c r="L2069" s="3" t="inlineStr">
        <is>
          <t>NON SALES</t>
        </is>
      </c>
    </row>
    <row r="2070">
      <c r="A2070" s="5" t="inlineStr">
        <is>
          <t>OP14169</t>
        </is>
      </c>
      <c r="B2070" s="6" t="inlineStr">
        <is>
          <t>nor aida</t>
        </is>
      </c>
      <c r="C2070" s="7" t="inlineStr">
        <is>
          <t>AV - Agen Verified</t>
        </is>
      </c>
      <c r="D2070" s="1" t="inlineStr">
        <is>
          <t>OP13466</t>
        </is>
      </c>
      <c r="E2070" s="8" t="n">
        <v>45518.67291666667</v>
      </c>
      <c r="F2070" s="7" t="inlineStr">
        <is>
          <t>DOWNLINE</t>
        </is>
      </c>
      <c r="G2070" s="18" t="inlineStr">
        <is>
          <t>OP13466</t>
        </is>
      </c>
      <c r="H2070" s="19">
        <f>UPPER(Table3[[#This Row],[Agen id]]&amp;"-"&amp;VLOOKUP(Table3[[#This Row],[Agen id]],A:B,2,0)&amp;"("&amp;Table3[[#This Row],[Short]]&amp;")")</f>
        <v/>
      </c>
      <c r="J2070" s="7">
        <f>VLOOKUP(Table3[[#This Row],[Agen id]],Agen!A:C,3,0)</f>
        <v/>
      </c>
      <c r="K2070" s="37">
        <f>TRIM(LEFT(Table3[[#This Row],[Group]],2))</f>
        <v/>
      </c>
      <c r="L2070" s="3" t="inlineStr">
        <is>
          <t>NON SALES</t>
        </is>
      </c>
    </row>
    <row r="2071">
      <c r="A2071" s="5" t="inlineStr">
        <is>
          <t>OP14190</t>
        </is>
      </c>
      <c r="B2071" s="6" t="inlineStr">
        <is>
          <t>Yavin</t>
        </is>
      </c>
      <c r="C2071" s="7" t="inlineStr">
        <is>
          <t>AV - Agen Verified</t>
        </is>
      </c>
      <c r="D2071" s="1" t="inlineStr">
        <is>
          <t>OP00002</t>
        </is>
      </c>
      <c r="E2071" s="8" t="n">
        <v>45519.25902777778</v>
      </c>
      <c r="F2071" s="7" t="inlineStr">
        <is>
          <t>AGEN</t>
        </is>
      </c>
      <c r="G2071" s="18" t="inlineStr">
        <is>
          <t>OP14190</t>
        </is>
      </c>
      <c r="H2071" s="19">
        <f>UPPER(Table3[[#This Row],[Agen id]]&amp;"-"&amp;VLOOKUP(Table3[[#This Row],[Agen id]],A:B,2,0)&amp;"("&amp;Table3[[#This Row],[Short]]&amp;")")</f>
        <v/>
      </c>
      <c r="J2071" s="7">
        <f>VLOOKUP(Table3[[#This Row],[Agen id]],Agen!A:C,3,0)</f>
        <v/>
      </c>
      <c r="K2071" s="37">
        <f>TRIM(LEFT(Table3[[#This Row],[Group]],2))</f>
        <v/>
      </c>
      <c r="L2071" s="3" t="inlineStr">
        <is>
          <t>NON SALES</t>
        </is>
      </c>
    </row>
    <row r="2072">
      <c r="A2072" s="5" t="inlineStr">
        <is>
          <t>OP14230</t>
        </is>
      </c>
      <c r="B2072" s="6" t="inlineStr">
        <is>
          <t>ISLAM ABDILLAH</t>
        </is>
      </c>
      <c r="C2072" s="7" t="inlineStr">
        <is>
          <t>AV - Agen Verified</t>
        </is>
      </c>
      <c r="D2072" s="1" t="inlineStr">
        <is>
          <t>OP00004</t>
        </is>
      </c>
      <c r="E2072" s="8" t="n">
        <v>45521.95347222222</v>
      </c>
      <c r="F2072" s="7" t="inlineStr">
        <is>
          <t>AGEN</t>
        </is>
      </c>
      <c r="G2072" s="18" t="inlineStr">
        <is>
          <t>OP14230</t>
        </is>
      </c>
      <c r="H2072" s="19">
        <f>UPPER(Table3[[#This Row],[Agen id]]&amp;"-"&amp;VLOOKUP(Table3[[#This Row],[Agen id]],A:B,2,0)&amp;"("&amp;Table3[[#This Row],[Short]]&amp;")")</f>
        <v/>
      </c>
      <c r="J2072" s="7">
        <f>VLOOKUP(Table3[[#This Row],[Agen id]],Agen!A:C,3,0)</f>
        <v/>
      </c>
      <c r="K2072" s="37">
        <f>TRIM(LEFT(Table3[[#This Row],[Group]],2))</f>
        <v/>
      </c>
      <c r="L2072" s="3" t="inlineStr">
        <is>
          <t>NON SALES</t>
        </is>
      </c>
    </row>
    <row r="2073">
      <c r="A2073" s="5" t="inlineStr">
        <is>
          <t>OP14244</t>
        </is>
      </c>
      <c r="B2073" s="6" t="inlineStr">
        <is>
          <t>Devisha</t>
        </is>
      </c>
      <c r="C2073" s="7" t="inlineStr">
        <is>
          <t>AV - Agen Verified</t>
        </is>
      </c>
      <c r="D2073" s="1" t="inlineStr">
        <is>
          <t>OP01054</t>
        </is>
      </c>
      <c r="E2073" s="8" t="n">
        <v>45523.77152777778</v>
      </c>
      <c r="F2073" s="7" t="inlineStr">
        <is>
          <t>DOWNLINE</t>
        </is>
      </c>
      <c r="G2073" s="18" t="inlineStr">
        <is>
          <t>OP01054</t>
        </is>
      </c>
      <c r="H2073" s="19">
        <f>UPPER(Table3[[#This Row],[Agen id]]&amp;"-"&amp;VLOOKUP(Table3[[#This Row],[Agen id]],A:B,2,0)&amp;"("&amp;Table3[[#This Row],[Short]]&amp;")")</f>
        <v/>
      </c>
      <c r="J2073" s="7">
        <f>VLOOKUP(Table3[[#This Row],[Agen id]],Agen!A:C,3,0)</f>
        <v/>
      </c>
      <c r="K2073" s="37">
        <f>TRIM(LEFT(Table3[[#This Row],[Group]],2))</f>
        <v/>
      </c>
      <c r="L2073" s="3" t="inlineStr">
        <is>
          <t>NON SALES</t>
        </is>
      </c>
    </row>
    <row r="2074">
      <c r="A2074" s="5" t="inlineStr">
        <is>
          <t>OP14252</t>
        </is>
      </c>
      <c r="B2074" s="6" t="inlineStr">
        <is>
          <t>Fery M</t>
        </is>
      </c>
      <c r="C2074" s="7" t="inlineStr">
        <is>
          <t>A - Agen</t>
        </is>
      </c>
      <c r="D2074" s="1" t="inlineStr">
        <is>
          <t>OP00002</t>
        </is>
      </c>
      <c r="E2074" s="8" t="n">
        <v>45524.48680555556</v>
      </c>
      <c r="F2074" s="7" t="inlineStr">
        <is>
          <t>AGEN</t>
        </is>
      </c>
      <c r="G2074" s="18" t="inlineStr">
        <is>
          <t>OP14252</t>
        </is>
      </c>
      <c r="H2074" s="19">
        <f>UPPER(Table3[[#This Row],[Agen id]]&amp;"-"&amp;VLOOKUP(Table3[[#This Row],[Agen id]],A:B,2,0)&amp;"("&amp;Table3[[#This Row],[Short]]&amp;")")</f>
        <v/>
      </c>
      <c r="J2074" s="7">
        <f>VLOOKUP(Table3[[#This Row],[Agen id]],Agen!A:C,3,0)</f>
        <v/>
      </c>
      <c r="K2074" s="37">
        <f>TRIM(LEFT(Table3[[#This Row],[Group]],2))</f>
        <v/>
      </c>
      <c r="L2074" s="3" t="inlineStr">
        <is>
          <t>NON SALES</t>
        </is>
      </c>
    </row>
    <row r="2075">
      <c r="A2075" s="5" t="inlineStr">
        <is>
          <t>OP14253</t>
        </is>
      </c>
      <c r="B2075" s="6" t="inlineStr">
        <is>
          <t>Fredypratama</t>
        </is>
      </c>
      <c r="C2075" s="7" t="inlineStr">
        <is>
          <t>A - Agen</t>
        </is>
      </c>
      <c r="D2075" s="1" t="inlineStr">
        <is>
          <t>OP00002</t>
        </is>
      </c>
      <c r="E2075" s="8" t="n">
        <v>45524.49236111111</v>
      </c>
      <c r="F2075" s="7" t="inlineStr">
        <is>
          <t>AGEN</t>
        </is>
      </c>
      <c r="G2075" s="18" t="inlineStr">
        <is>
          <t>OP14253</t>
        </is>
      </c>
      <c r="H2075" s="19">
        <f>UPPER(Table3[[#This Row],[Agen id]]&amp;"-"&amp;VLOOKUP(Table3[[#This Row],[Agen id]],A:B,2,0)&amp;"("&amp;Table3[[#This Row],[Short]]&amp;")")</f>
        <v/>
      </c>
      <c r="J2075" s="7">
        <f>VLOOKUP(Table3[[#This Row],[Agen id]],Agen!A:C,3,0)</f>
        <v/>
      </c>
      <c r="K2075" s="37">
        <f>TRIM(LEFT(Table3[[#This Row],[Group]],2))</f>
        <v/>
      </c>
      <c r="L2075" s="3" t="inlineStr">
        <is>
          <t>NON SALES</t>
        </is>
      </c>
    </row>
    <row r="2076">
      <c r="A2076" s="5" t="inlineStr">
        <is>
          <t>OP14263</t>
        </is>
      </c>
      <c r="B2076" s="6" t="inlineStr">
        <is>
          <t>Umiati</t>
        </is>
      </c>
      <c r="C2076" s="7" t="inlineStr">
        <is>
          <t>A - Agen</t>
        </is>
      </c>
      <c r="D2076" s="1" t="inlineStr">
        <is>
          <t>OP00002</t>
        </is>
      </c>
      <c r="E2076" s="8" t="n">
        <v>45525.26388888889</v>
      </c>
      <c r="F2076" s="7" t="inlineStr">
        <is>
          <t>AGEN</t>
        </is>
      </c>
      <c r="G2076" s="18" t="inlineStr">
        <is>
          <t>OP14263</t>
        </is>
      </c>
      <c r="H2076" s="19">
        <f>UPPER(Table3[[#This Row],[Agen id]]&amp;"-"&amp;VLOOKUP(Table3[[#This Row],[Agen id]],A:B,2,0)&amp;"("&amp;Table3[[#This Row],[Short]]&amp;")")</f>
        <v/>
      </c>
      <c r="J2076" s="7">
        <f>VLOOKUP(Table3[[#This Row],[Agen id]],Agen!A:C,3,0)</f>
        <v/>
      </c>
      <c r="K2076" s="37">
        <f>TRIM(LEFT(Table3[[#This Row],[Group]],2))</f>
        <v/>
      </c>
      <c r="L2076" s="3" t="inlineStr">
        <is>
          <t>NON SALES</t>
        </is>
      </c>
    </row>
    <row r="2077">
      <c r="A2077" s="5" t="inlineStr">
        <is>
          <t>OP14276</t>
        </is>
      </c>
      <c r="B2077" s="6" t="inlineStr">
        <is>
          <t>212 cell</t>
        </is>
      </c>
      <c r="C2077" s="7" t="inlineStr">
        <is>
          <t>AV - Agen Verified</t>
        </is>
      </c>
      <c r="D2077" s="1" t="inlineStr">
        <is>
          <t>OP00002</t>
        </is>
      </c>
      <c r="E2077" s="8" t="n">
        <v>45525.86458333334</v>
      </c>
      <c r="F2077" s="7" t="inlineStr">
        <is>
          <t>AGEN</t>
        </is>
      </c>
      <c r="G2077" s="18" t="inlineStr">
        <is>
          <t>OP14276</t>
        </is>
      </c>
      <c r="H2077" s="19">
        <f>UPPER(Table3[[#This Row],[Agen id]]&amp;"-"&amp;VLOOKUP(Table3[[#This Row],[Agen id]],A:B,2,0)&amp;"("&amp;Table3[[#This Row],[Short]]&amp;")")</f>
        <v/>
      </c>
      <c r="J2077" s="7">
        <f>VLOOKUP(Table3[[#This Row],[Agen id]],Agen!A:C,3,0)</f>
        <v/>
      </c>
      <c r="K2077" s="37">
        <f>TRIM(LEFT(Table3[[#This Row],[Group]],2))</f>
        <v/>
      </c>
      <c r="L2077" s="3" t="inlineStr">
        <is>
          <t>NON SALES</t>
        </is>
      </c>
    </row>
    <row r="2078">
      <c r="A2078" s="5" t="inlineStr">
        <is>
          <t>OP14277</t>
        </is>
      </c>
      <c r="B2078" s="6" t="inlineStr">
        <is>
          <t>ncup</t>
        </is>
      </c>
      <c r="C2078" s="7" t="inlineStr">
        <is>
          <t>A - Agen</t>
        </is>
      </c>
      <c r="D2078" s="1" t="inlineStr">
        <is>
          <t>OP01556</t>
        </is>
      </c>
      <c r="E2078" s="8" t="n">
        <v>45525.87152777778</v>
      </c>
      <c r="F2078" s="7" t="inlineStr">
        <is>
          <t>DOWNLINE</t>
        </is>
      </c>
      <c r="G2078" s="18" t="inlineStr">
        <is>
          <t>OP01556</t>
        </is>
      </c>
      <c r="H2078" s="19">
        <f>UPPER(Table3[[#This Row],[Agen id]]&amp;"-"&amp;VLOOKUP(Table3[[#This Row],[Agen id]],A:B,2,0)&amp;"("&amp;Table3[[#This Row],[Short]]&amp;")")</f>
        <v/>
      </c>
      <c r="J2078" s="7">
        <f>VLOOKUP(Table3[[#This Row],[Agen id]],Agen!A:C,3,0)</f>
        <v/>
      </c>
      <c r="K2078" s="37">
        <f>TRIM(LEFT(Table3[[#This Row],[Group]],2))</f>
        <v/>
      </c>
      <c r="L2078" s="3" t="inlineStr">
        <is>
          <t>NON SALES</t>
        </is>
      </c>
    </row>
    <row r="2079">
      <c r="A2079" s="5" t="inlineStr">
        <is>
          <t>OP14279</t>
        </is>
      </c>
      <c r="B2079" s="6" t="inlineStr">
        <is>
          <t>Muzasir Erlisam</t>
        </is>
      </c>
      <c r="C2079" s="7" t="inlineStr">
        <is>
          <t>A - Agen</t>
        </is>
      </c>
      <c r="D2079" s="1" t="inlineStr">
        <is>
          <t>OP00002</t>
        </is>
      </c>
      <c r="E2079" s="8" t="n">
        <v>45525.99583333333</v>
      </c>
      <c r="F2079" s="7" t="inlineStr">
        <is>
          <t>AGEN</t>
        </is>
      </c>
      <c r="G2079" s="7" t="inlineStr">
        <is>
          <t>OP14279</t>
        </is>
      </c>
      <c r="H2079" s="19">
        <f>UPPER(Table3[[#This Row],[Agen id]]&amp;"-"&amp;VLOOKUP(Table3[[#This Row],[Agen id]],A:B,2,0)&amp;"("&amp;Table3[[#This Row],[Short]]&amp;")")</f>
        <v/>
      </c>
      <c r="J2079" s="7">
        <f>VLOOKUP(Table3[[#This Row],[Agen id]],Agen!A:C,3,0)</f>
        <v/>
      </c>
      <c r="K2079" s="37">
        <f>TRIM(LEFT(Table3[[#This Row],[Group]],2))</f>
        <v/>
      </c>
      <c r="L2079" s="3" t="inlineStr">
        <is>
          <t>NON SALES</t>
        </is>
      </c>
    </row>
    <row r="2080">
      <c r="A2080" s="5" t="inlineStr">
        <is>
          <t>OP14285</t>
        </is>
      </c>
      <c r="B2080" s="6" t="inlineStr">
        <is>
          <t>Adi</t>
        </is>
      </c>
      <c r="C2080" s="7" t="inlineStr">
        <is>
          <t>AV - Agen Verified</t>
        </is>
      </c>
      <c r="D2080" s="1" t="inlineStr">
        <is>
          <t>OP00002</t>
        </is>
      </c>
      <c r="E2080" s="8" t="n">
        <v>45526.49375</v>
      </c>
      <c r="F2080" s="7" t="inlineStr">
        <is>
          <t>AGEN</t>
        </is>
      </c>
      <c r="G2080" s="18" t="inlineStr">
        <is>
          <t>OP14285</t>
        </is>
      </c>
      <c r="H2080" s="19">
        <f>UPPER(Table3[[#This Row],[Agen id]]&amp;"-"&amp;VLOOKUP(Table3[[#This Row],[Agen id]],A:B,2,0)&amp;"("&amp;Table3[[#This Row],[Short]]&amp;")")</f>
        <v/>
      </c>
      <c r="J2080" s="7">
        <f>VLOOKUP(Table3[[#This Row],[Agen id]],Agen!A:C,3,0)</f>
        <v/>
      </c>
      <c r="K2080" s="37">
        <f>TRIM(LEFT(Table3[[#This Row],[Group]],2))</f>
        <v/>
      </c>
      <c r="L2080" s="3" t="inlineStr">
        <is>
          <t>NON SALES</t>
        </is>
      </c>
    </row>
    <row r="2081">
      <c r="A2081" s="5" t="inlineStr">
        <is>
          <t>OP14311</t>
        </is>
      </c>
      <c r="B2081" s="6" t="inlineStr">
        <is>
          <t>KIOS NOLA</t>
        </is>
      </c>
      <c r="C2081" s="7" t="inlineStr">
        <is>
          <t>A - Agen</t>
        </is>
      </c>
      <c r="D2081" s="1" t="inlineStr">
        <is>
          <t>OP12981</t>
        </is>
      </c>
      <c r="E2081" s="8" t="n">
        <v>45527.92083333333</v>
      </c>
      <c r="F2081" s="7" t="inlineStr">
        <is>
          <t>DOWNLINE</t>
        </is>
      </c>
      <c r="G2081" s="18" t="inlineStr">
        <is>
          <t>OP12981</t>
        </is>
      </c>
      <c r="H2081" s="19">
        <f>UPPER(Table3[[#This Row],[Agen id]]&amp;"-"&amp;VLOOKUP(Table3[[#This Row],[Agen id]],A:B,2,0)&amp;"("&amp;Table3[[#This Row],[Short]]&amp;")")</f>
        <v/>
      </c>
      <c r="J2081" s="7">
        <f>VLOOKUP(Table3[[#This Row],[Agen id]],Agen!A:C,3,0)</f>
        <v/>
      </c>
      <c r="K2081" s="37">
        <f>TRIM(LEFT(Table3[[#This Row],[Group]],2))</f>
        <v/>
      </c>
      <c r="L2081" s="3" t="inlineStr">
        <is>
          <t>NON SALES</t>
        </is>
      </c>
    </row>
    <row r="2082">
      <c r="A2082" s="5" t="inlineStr">
        <is>
          <t>OP14344</t>
        </is>
      </c>
      <c r="B2082" s="6" t="inlineStr">
        <is>
          <t>Raisa cell</t>
        </is>
      </c>
      <c r="C2082" s="7" t="inlineStr">
        <is>
          <t>AV - Agen Verified</t>
        </is>
      </c>
      <c r="D2082" s="1" t="inlineStr">
        <is>
          <t>OP00002</t>
        </is>
      </c>
      <c r="E2082" s="8" t="n">
        <v>45529.62291666667</v>
      </c>
      <c r="F2082" s="7" t="inlineStr">
        <is>
          <t>AGEN</t>
        </is>
      </c>
      <c r="G2082" s="18" t="inlineStr">
        <is>
          <t>OP14344</t>
        </is>
      </c>
      <c r="H2082" s="19">
        <f>UPPER(Table3[[#This Row],[Agen id]]&amp;"-"&amp;VLOOKUP(Table3[[#This Row],[Agen id]],A:B,2,0)&amp;"("&amp;Table3[[#This Row],[Short]]&amp;")")</f>
        <v/>
      </c>
      <c r="J2082" s="7">
        <f>VLOOKUP(Table3[[#This Row],[Agen id]],Agen!A:C,3,0)</f>
        <v/>
      </c>
      <c r="K2082" s="37">
        <f>TRIM(LEFT(Table3[[#This Row],[Group]],2))</f>
        <v/>
      </c>
      <c r="L2082" s="3" t="inlineStr">
        <is>
          <t>NON SALES</t>
        </is>
      </c>
    </row>
    <row r="2083">
      <c r="A2083" s="5" t="inlineStr">
        <is>
          <t>OP14366</t>
        </is>
      </c>
      <c r="B2083" s="6" t="inlineStr">
        <is>
          <t>Neni</t>
        </is>
      </c>
      <c r="C2083" s="7" t="inlineStr">
        <is>
          <t>AV - Agen Verified</t>
        </is>
      </c>
      <c r="D2083" s="1" t="inlineStr">
        <is>
          <t>OP00431</t>
        </is>
      </c>
      <c r="E2083" s="8" t="n">
        <v>45531.80694444444</v>
      </c>
      <c r="F2083" s="7" t="inlineStr">
        <is>
          <t>DOWNLINE</t>
        </is>
      </c>
      <c r="G2083" s="18" t="inlineStr">
        <is>
          <t>OP00431</t>
        </is>
      </c>
      <c r="H2083" s="19">
        <f>UPPER(Table3[[#This Row],[Agen id]]&amp;"-"&amp;VLOOKUP(Table3[[#This Row],[Agen id]],A:B,2,0)&amp;"("&amp;Table3[[#This Row],[Short]]&amp;")")</f>
        <v/>
      </c>
      <c r="J2083" s="7">
        <f>VLOOKUP(Table3[[#This Row],[Agen id]],Agen!A:C,3,0)</f>
        <v/>
      </c>
      <c r="K2083" s="37">
        <f>TRIM(LEFT(Table3[[#This Row],[Group]],2))</f>
        <v/>
      </c>
      <c r="L2083" s="3" t="inlineStr">
        <is>
          <t>NON SALES</t>
        </is>
      </c>
    </row>
    <row r="2084">
      <c r="A2084" s="5" t="inlineStr">
        <is>
          <t>OP14372</t>
        </is>
      </c>
      <c r="B2084" s="6" t="inlineStr">
        <is>
          <t>Pendi</t>
        </is>
      </c>
      <c r="C2084" s="7" t="inlineStr">
        <is>
          <t>A - Agen</t>
        </is>
      </c>
      <c r="D2084" s="1" t="inlineStr">
        <is>
          <t>OP00002</t>
        </is>
      </c>
      <c r="E2084" s="8" t="n">
        <v>45532.25208333333</v>
      </c>
      <c r="F2084" s="7" t="inlineStr">
        <is>
          <t>AGEN</t>
        </is>
      </c>
      <c r="G2084" s="18" t="inlineStr">
        <is>
          <t>OP14372</t>
        </is>
      </c>
      <c r="H2084" s="19">
        <f>UPPER(Table3[[#This Row],[Agen id]]&amp;"-"&amp;VLOOKUP(Table3[[#This Row],[Agen id]],A:B,2,0)&amp;"("&amp;Table3[[#This Row],[Short]]&amp;")")</f>
        <v/>
      </c>
      <c r="J2084" s="7">
        <f>VLOOKUP(Table3[[#This Row],[Agen id]],Agen!A:C,3,0)</f>
        <v/>
      </c>
      <c r="K2084" s="37">
        <f>TRIM(LEFT(Table3[[#This Row],[Group]],2))</f>
        <v/>
      </c>
      <c r="L2084" s="3" t="inlineStr">
        <is>
          <t>NON SALES</t>
        </is>
      </c>
    </row>
    <row r="2085">
      <c r="A2085" s="5" t="inlineStr">
        <is>
          <t>OP14375</t>
        </is>
      </c>
      <c r="B2085" s="6" t="inlineStr">
        <is>
          <t>W cell 92</t>
        </is>
      </c>
      <c r="C2085" s="7" t="inlineStr">
        <is>
          <t>AV - Agen Verified</t>
        </is>
      </c>
      <c r="D2085" s="1" t="inlineStr">
        <is>
          <t>OP09474</t>
        </is>
      </c>
      <c r="E2085" s="8" t="n">
        <v>45532.46597222222</v>
      </c>
      <c r="F2085" s="7" t="inlineStr">
        <is>
          <t>DOWNLINE</t>
        </is>
      </c>
      <c r="G2085" s="18" t="inlineStr">
        <is>
          <t>OP09474</t>
        </is>
      </c>
      <c r="H2085" s="19">
        <f>UPPER(Table3[[#This Row],[Agen id]]&amp;"-"&amp;VLOOKUP(Table3[[#This Row],[Agen id]],A:B,2,0)&amp;"("&amp;Table3[[#This Row],[Short]]&amp;")")</f>
        <v/>
      </c>
      <c r="J2085" s="7">
        <f>VLOOKUP(Table3[[#This Row],[Agen id]],Agen!A:C,3,0)</f>
        <v/>
      </c>
      <c r="K2085" s="37">
        <f>TRIM(LEFT(Table3[[#This Row],[Group]],2))</f>
        <v/>
      </c>
      <c r="L2085" s="3" t="inlineStr">
        <is>
          <t>NON SALES</t>
        </is>
      </c>
    </row>
    <row r="2086">
      <c r="A2086" s="5" t="inlineStr">
        <is>
          <t>OP14406</t>
        </is>
      </c>
      <c r="B2086" s="6" t="inlineStr">
        <is>
          <t>selvia</t>
        </is>
      </c>
      <c r="C2086" s="7" t="inlineStr">
        <is>
          <t>AB1 - Agen Kab Bogor</t>
        </is>
      </c>
      <c r="D2086" s="1" t="inlineStr">
        <is>
          <t>OP05971</t>
        </is>
      </c>
      <c r="E2086" s="8" t="n">
        <v>45534.00694444445</v>
      </c>
      <c r="F2086" s="7" t="inlineStr">
        <is>
          <t>DOWNLINE</t>
        </is>
      </c>
      <c r="G2086" s="18" t="inlineStr">
        <is>
          <t>OP05971</t>
        </is>
      </c>
      <c r="H2086" s="19">
        <f>UPPER(Table3[[#This Row],[Agen id]]&amp;"-"&amp;VLOOKUP(Table3[[#This Row],[Agen id]],A:B,2,0)&amp;"("&amp;Table3[[#This Row],[Short]]&amp;")")</f>
        <v/>
      </c>
      <c r="J2086" s="7">
        <f>VLOOKUP(Table3[[#This Row],[Agen id]],Agen!A:C,3,0)</f>
        <v/>
      </c>
      <c r="K2086" s="37">
        <f>TRIM(LEFT(Table3[[#This Row],[Group]],2))</f>
        <v/>
      </c>
      <c r="L2086" s="3" t="inlineStr">
        <is>
          <t>NON SALES</t>
        </is>
      </c>
    </row>
    <row r="2087">
      <c r="A2087" s="5" t="inlineStr">
        <is>
          <t>OP14408</t>
        </is>
      </c>
      <c r="B2087" s="6" t="inlineStr">
        <is>
          <t>Melkias</t>
        </is>
      </c>
      <c r="C2087" s="7" t="inlineStr">
        <is>
          <t>AV - Agen Verified</t>
        </is>
      </c>
      <c r="D2087" s="1" t="inlineStr">
        <is>
          <t>OP07075</t>
        </is>
      </c>
      <c r="E2087" s="8" t="n">
        <v>45534.36319444444</v>
      </c>
      <c r="F2087" s="7" t="inlineStr">
        <is>
          <t>DOWNLINE</t>
        </is>
      </c>
      <c r="G2087" s="18" t="inlineStr">
        <is>
          <t>OP07075</t>
        </is>
      </c>
      <c r="H2087" s="19">
        <f>UPPER(Table3[[#This Row],[Agen id]]&amp;"-"&amp;VLOOKUP(Table3[[#This Row],[Agen id]],A:B,2,0)&amp;"("&amp;Table3[[#This Row],[Short]]&amp;")")</f>
        <v/>
      </c>
      <c r="J2087" s="7">
        <f>VLOOKUP(Table3[[#This Row],[Agen id]],Agen!A:C,3,0)</f>
        <v/>
      </c>
      <c r="K2087" s="37">
        <f>TRIM(LEFT(Table3[[#This Row],[Group]],2))</f>
        <v/>
      </c>
      <c r="L2087" s="3" t="inlineStr">
        <is>
          <t>NON SALES</t>
        </is>
      </c>
    </row>
    <row r="2088">
      <c r="A2088" s="5" t="inlineStr">
        <is>
          <t>OP14409</t>
        </is>
      </c>
      <c r="B2088" s="6" t="inlineStr">
        <is>
          <t>nazal</t>
        </is>
      </c>
      <c r="C2088" s="7" t="inlineStr">
        <is>
          <t>AV - Agen Verified</t>
        </is>
      </c>
      <c r="D2088" s="1" t="inlineStr">
        <is>
          <t>OP13466</t>
        </is>
      </c>
      <c r="E2088" s="8" t="n">
        <v>45535.37013888889</v>
      </c>
      <c r="F2088" s="7" t="inlineStr">
        <is>
          <t>DOWNLINE</t>
        </is>
      </c>
      <c r="G2088" s="18" t="inlineStr">
        <is>
          <t>OP13466</t>
        </is>
      </c>
      <c r="H2088" s="19">
        <f>UPPER(Table3[[#This Row],[Agen id]]&amp;"-"&amp;VLOOKUP(Table3[[#This Row],[Agen id]],A:B,2,0)&amp;"("&amp;Table3[[#This Row],[Short]]&amp;")")</f>
        <v/>
      </c>
      <c r="J2088" s="7">
        <f>VLOOKUP(Table3[[#This Row],[Agen id]],Agen!A:C,3,0)</f>
        <v/>
      </c>
      <c r="K2088" s="37">
        <f>TRIM(LEFT(Table3[[#This Row],[Group]],2))</f>
        <v/>
      </c>
      <c r="L2088" s="3" t="inlineStr">
        <is>
          <t>NON SALES</t>
        </is>
      </c>
    </row>
    <row r="2089">
      <c r="A2089" s="5" t="inlineStr">
        <is>
          <t>OP14417</t>
        </is>
      </c>
      <c r="B2089" s="6" t="inlineStr">
        <is>
          <t>toko ana kujan</t>
        </is>
      </c>
      <c r="C2089" s="7" t="inlineStr">
        <is>
          <t>AV - Agen Verified</t>
        </is>
      </c>
      <c r="D2089" s="1" t="inlineStr">
        <is>
          <t>OP03216</t>
        </is>
      </c>
      <c r="E2089" s="8" t="n">
        <v>45539.49652777778</v>
      </c>
      <c r="F2089" s="7" t="inlineStr">
        <is>
          <t>DOWNLINE</t>
        </is>
      </c>
      <c r="G2089" s="18" t="inlineStr">
        <is>
          <t>OP00049</t>
        </is>
      </c>
      <c r="H2089" s="19">
        <f>UPPER(Table3[[#This Row],[Agen id]]&amp;"-"&amp;VLOOKUP(Table3[[#This Row],[Agen id]],A:B,2,0)&amp;"("&amp;Table3[[#This Row],[Short]]&amp;")")</f>
        <v/>
      </c>
      <c r="J2089" s="7">
        <f>VLOOKUP(Table3[[#This Row],[Agen id]],Agen!A:C,3,0)</f>
        <v/>
      </c>
      <c r="K2089" s="37">
        <f>TRIM(LEFT(Table3[[#This Row],[Group]],2))</f>
        <v/>
      </c>
      <c r="L2089" s="3" t="inlineStr">
        <is>
          <t>NON SALES</t>
        </is>
      </c>
    </row>
    <row r="2090">
      <c r="A2090" s="5" t="inlineStr">
        <is>
          <t>OP14437</t>
        </is>
      </c>
      <c r="B2090" s="6" t="inlineStr">
        <is>
          <t>Abd Sattar m</t>
        </is>
      </c>
      <c r="C2090" s="7" t="inlineStr">
        <is>
          <t>A - Agen</t>
        </is>
      </c>
      <c r="D2090" s="1" t="inlineStr">
        <is>
          <t>OP00002</t>
        </is>
      </c>
      <c r="E2090" s="8" t="n">
        <v>45540.45416666667</v>
      </c>
      <c r="F2090" s="7" t="inlineStr">
        <is>
          <t>AGEN</t>
        </is>
      </c>
      <c r="G2090" s="18" t="inlineStr">
        <is>
          <t>OP14437</t>
        </is>
      </c>
      <c r="H2090" s="19">
        <f>UPPER(Table3[[#This Row],[Agen id]]&amp;"-"&amp;VLOOKUP(Table3[[#This Row],[Agen id]],A:B,2,0)&amp;"("&amp;Table3[[#This Row],[Short]]&amp;")")</f>
        <v/>
      </c>
      <c r="J2090" s="7">
        <f>VLOOKUP(Table3[[#This Row],[Agen id]],Agen!A:C,3,0)</f>
        <v/>
      </c>
      <c r="K2090" s="37">
        <f>TRIM(LEFT(Table3[[#This Row],[Group]],2))</f>
        <v/>
      </c>
      <c r="L2090" s="3" t="inlineStr">
        <is>
          <t>NON SALES</t>
        </is>
      </c>
    </row>
    <row r="2091">
      <c r="A2091" s="5" t="inlineStr">
        <is>
          <t>OP14449</t>
        </is>
      </c>
      <c r="B2091" s="6" t="inlineStr">
        <is>
          <t>AGHIL CELL</t>
        </is>
      </c>
      <c r="C2091" s="7" t="inlineStr">
        <is>
          <t>AV - Agen Verified</t>
        </is>
      </c>
      <c r="D2091" s="1" t="inlineStr">
        <is>
          <t>OP03918</t>
        </is>
      </c>
      <c r="E2091" s="8" t="n">
        <v>45541.27986111111</v>
      </c>
      <c r="F2091" s="7" t="inlineStr">
        <is>
          <t>DOWNLINE</t>
        </is>
      </c>
      <c r="G2091" s="18" t="inlineStr">
        <is>
          <t>OP00304</t>
        </is>
      </c>
      <c r="H2091" s="19">
        <f>UPPER(Table3[[#This Row],[Agen id]]&amp;"-"&amp;VLOOKUP(Table3[[#This Row],[Agen id]],A:B,2,0)&amp;"("&amp;Table3[[#This Row],[Short]]&amp;")")</f>
        <v/>
      </c>
      <c r="J2091" s="7">
        <f>VLOOKUP(Table3[[#This Row],[Agen id]],Agen!A:C,3,0)</f>
        <v/>
      </c>
      <c r="K2091" s="37">
        <f>TRIM(LEFT(Table3[[#This Row],[Group]],2))</f>
        <v/>
      </c>
      <c r="L2091" s="3" t="inlineStr">
        <is>
          <t>NON SALES</t>
        </is>
      </c>
    </row>
    <row r="2092">
      <c r="A2092" s="5" t="inlineStr">
        <is>
          <t>OP14454</t>
        </is>
      </c>
      <c r="B2092" s="6" t="inlineStr">
        <is>
          <t>wulan</t>
        </is>
      </c>
      <c r="C2092" s="7" t="inlineStr">
        <is>
          <t>AV - Agen Verified</t>
        </is>
      </c>
      <c r="D2092" s="1" t="inlineStr">
        <is>
          <t>OP00431</t>
        </is>
      </c>
      <c r="E2092" s="8" t="n">
        <v>45541.52291666667</v>
      </c>
      <c r="F2092" s="7" t="inlineStr">
        <is>
          <t>DOWNLINE</t>
        </is>
      </c>
      <c r="G2092" s="18" t="inlineStr">
        <is>
          <t>OP00431</t>
        </is>
      </c>
      <c r="H2092" s="19">
        <f>UPPER(Table3[[#This Row],[Agen id]]&amp;"-"&amp;VLOOKUP(Table3[[#This Row],[Agen id]],A:B,2,0)&amp;"("&amp;Table3[[#This Row],[Short]]&amp;")")</f>
        <v/>
      </c>
      <c r="J2092" s="7">
        <f>VLOOKUP(Table3[[#This Row],[Agen id]],Agen!A:C,3,0)</f>
        <v/>
      </c>
      <c r="K2092" s="37">
        <f>TRIM(LEFT(Table3[[#This Row],[Group]],2))</f>
        <v/>
      </c>
      <c r="L2092" s="3" t="inlineStr">
        <is>
          <t>NON SALES</t>
        </is>
      </c>
    </row>
    <row r="2093">
      <c r="A2093" s="5" t="inlineStr">
        <is>
          <t>OP14458</t>
        </is>
      </c>
      <c r="B2093" s="6" t="inlineStr">
        <is>
          <t>Dedy purwanto</t>
        </is>
      </c>
      <c r="C2093" s="7" t="inlineStr">
        <is>
          <t>A - Agen</t>
        </is>
      </c>
      <c r="D2093" s="1" t="inlineStr">
        <is>
          <t>OP00002</t>
        </is>
      </c>
      <c r="E2093" s="8" t="n">
        <v>45541.65694444445</v>
      </c>
      <c r="F2093" s="7" t="inlineStr">
        <is>
          <t>AGEN</t>
        </is>
      </c>
      <c r="G2093" s="18" t="inlineStr">
        <is>
          <t>OP14458</t>
        </is>
      </c>
      <c r="H2093" s="19">
        <f>UPPER(Table3[[#This Row],[Agen id]]&amp;"-"&amp;VLOOKUP(Table3[[#This Row],[Agen id]],A:B,2,0)&amp;"("&amp;Table3[[#This Row],[Short]]&amp;")")</f>
        <v/>
      </c>
      <c r="J2093" s="7">
        <f>VLOOKUP(Table3[[#This Row],[Agen id]],Agen!A:C,3,0)</f>
        <v/>
      </c>
      <c r="K2093" s="37">
        <f>TRIM(LEFT(Table3[[#This Row],[Group]],2))</f>
        <v/>
      </c>
      <c r="L2093" s="3" t="inlineStr">
        <is>
          <t>NON SALES</t>
        </is>
      </c>
    </row>
    <row r="2094">
      <c r="A2094" s="5" t="inlineStr">
        <is>
          <t>OP14461</t>
        </is>
      </c>
      <c r="B2094" s="6" t="inlineStr">
        <is>
          <t>Novicell</t>
        </is>
      </c>
      <c r="C2094" s="7" t="inlineStr">
        <is>
          <t>AV - Agen Verified</t>
        </is>
      </c>
      <c r="D2094" s="1" t="inlineStr">
        <is>
          <t>OP00002</t>
        </is>
      </c>
      <c r="E2094" s="8" t="n">
        <v>45541.79930555556</v>
      </c>
      <c r="F2094" s="7" t="inlineStr">
        <is>
          <t>AGEN</t>
        </is>
      </c>
      <c r="G2094" s="18" t="inlineStr">
        <is>
          <t>OP14461</t>
        </is>
      </c>
      <c r="H2094" s="19">
        <f>UPPER(Table3[[#This Row],[Agen id]]&amp;"-"&amp;VLOOKUP(Table3[[#This Row],[Agen id]],A:B,2,0)&amp;"("&amp;Table3[[#This Row],[Short]]&amp;")")</f>
        <v/>
      </c>
      <c r="J2094" s="7">
        <f>VLOOKUP(Table3[[#This Row],[Agen id]],Agen!A:C,3,0)</f>
        <v/>
      </c>
      <c r="K2094" s="37">
        <f>TRIM(LEFT(Table3[[#This Row],[Group]],2))</f>
        <v/>
      </c>
      <c r="L2094" s="3" t="inlineStr">
        <is>
          <t>NON SALES</t>
        </is>
      </c>
    </row>
    <row r="2095">
      <c r="A2095" s="5" t="inlineStr">
        <is>
          <t>OP14481</t>
        </is>
      </c>
      <c r="B2095" s="6" t="inlineStr">
        <is>
          <t>alina cell</t>
        </is>
      </c>
      <c r="C2095" s="7" t="inlineStr">
        <is>
          <t>AV - Agen Verified</t>
        </is>
      </c>
      <c r="D2095" s="1" t="inlineStr">
        <is>
          <t>OP08054</t>
        </is>
      </c>
      <c r="E2095" s="8" t="n">
        <v>45542.58611111111</v>
      </c>
      <c r="F2095" s="7" t="inlineStr">
        <is>
          <t>DOWNLINE</t>
        </is>
      </c>
      <c r="G2095" s="18" t="inlineStr">
        <is>
          <t>OP00049</t>
        </is>
      </c>
      <c r="H2095" s="19">
        <f>UPPER(Table3[[#This Row],[Agen id]]&amp;"-"&amp;VLOOKUP(Table3[[#This Row],[Agen id]],A:B,2,0)&amp;"("&amp;Table3[[#This Row],[Short]]&amp;")")</f>
        <v/>
      </c>
      <c r="J2095" s="7">
        <f>VLOOKUP(Table3[[#This Row],[Agen id]],Agen!A:C,3,0)</f>
        <v/>
      </c>
      <c r="K2095" s="37">
        <f>TRIM(LEFT(Table3[[#This Row],[Group]],2))</f>
        <v/>
      </c>
      <c r="L2095" s="3" t="inlineStr">
        <is>
          <t>NON SALES</t>
        </is>
      </c>
    </row>
    <row r="2096">
      <c r="A2096" s="5" t="inlineStr">
        <is>
          <t>OP14517</t>
        </is>
      </c>
      <c r="B2096" s="6" t="inlineStr">
        <is>
          <t>SALMA CELL</t>
        </is>
      </c>
      <c r="C2096" s="7" t="inlineStr">
        <is>
          <t>AV - Agen Verified</t>
        </is>
      </c>
      <c r="D2096" s="1" t="inlineStr">
        <is>
          <t>OP00688</t>
        </is>
      </c>
      <c r="E2096" s="8" t="n">
        <v>45543.85347222222</v>
      </c>
      <c r="F2096" s="7" t="inlineStr">
        <is>
          <t>DOWNLINE</t>
        </is>
      </c>
      <c r="G2096" s="18" t="inlineStr">
        <is>
          <t>OP00688</t>
        </is>
      </c>
      <c r="H2096" s="19">
        <f>UPPER(Table3[[#This Row],[Agen id]]&amp;"-"&amp;VLOOKUP(Table3[[#This Row],[Agen id]],A:B,2,0)&amp;"("&amp;Table3[[#This Row],[Short]]&amp;")")</f>
        <v/>
      </c>
      <c r="J2096" s="7">
        <f>VLOOKUP(Table3[[#This Row],[Agen id]],Agen!A:C,3,0)</f>
        <v/>
      </c>
      <c r="K2096" s="37">
        <f>TRIM(LEFT(Table3[[#This Row],[Group]],2))</f>
        <v/>
      </c>
      <c r="L2096" s="3" t="inlineStr">
        <is>
          <t>NON SALES</t>
        </is>
      </c>
    </row>
    <row r="2097">
      <c r="A2097" s="5" t="inlineStr">
        <is>
          <t>OP14521</t>
        </is>
      </c>
      <c r="B2097" s="6" t="inlineStr">
        <is>
          <t>Meilan f</t>
        </is>
      </c>
      <c r="C2097" s="7" t="inlineStr">
        <is>
          <t>A - Agen</t>
        </is>
      </c>
      <c r="D2097" s="1" t="inlineStr">
        <is>
          <t>OP00036</t>
        </is>
      </c>
      <c r="E2097" s="8" t="n">
        <v>45543.87013888889</v>
      </c>
      <c r="F2097" s="7" t="inlineStr">
        <is>
          <t>DOWNLINE</t>
        </is>
      </c>
      <c r="G2097" s="18" t="inlineStr">
        <is>
          <t>OP00036</t>
        </is>
      </c>
      <c r="H2097" s="19">
        <f>UPPER(Table3[[#This Row],[Agen id]]&amp;"-"&amp;VLOOKUP(Table3[[#This Row],[Agen id]],A:B,2,0)&amp;"("&amp;Table3[[#This Row],[Short]]&amp;")")</f>
        <v/>
      </c>
      <c r="J2097" s="7">
        <f>VLOOKUP(Table3[[#This Row],[Agen id]],Agen!A:C,3,0)</f>
        <v/>
      </c>
      <c r="K2097" s="37">
        <f>TRIM(LEFT(Table3[[#This Row],[Group]],2))</f>
        <v/>
      </c>
      <c r="L2097" s="3" t="inlineStr">
        <is>
          <t>NON SALES</t>
        </is>
      </c>
    </row>
    <row r="2098">
      <c r="A2098" s="5" t="inlineStr">
        <is>
          <t>OP14547</t>
        </is>
      </c>
      <c r="B2098" s="6" t="inlineStr">
        <is>
          <t>dewi cell</t>
        </is>
      </c>
      <c r="C2098" s="7" t="inlineStr">
        <is>
          <t>AT1 - Agen Tangerang</t>
        </is>
      </c>
      <c r="D2098" s="1" t="inlineStr">
        <is>
          <t>OP09088</t>
        </is>
      </c>
      <c r="E2098" s="8" t="n">
        <v>45544.85208333333</v>
      </c>
      <c r="F2098" s="7" t="inlineStr">
        <is>
          <t>DOWNLINE</t>
        </is>
      </c>
      <c r="G2098" s="18" t="inlineStr">
        <is>
          <t>OP09088</t>
        </is>
      </c>
      <c r="H2098" s="19">
        <f>UPPER(Table3[[#This Row],[Agen id]]&amp;"-"&amp;VLOOKUP(Table3[[#This Row],[Agen id]],A:B,2,0)&amp;"("&amp;Table3[[#This Row],[Short]]&amp;")")</f>
        <v/>
      </c>
      <c r="J2098" s="7">
        <f>VLOOKUP(Table3[[#This Row],[Agen id]],Agen!A:C,3,0)</f>
        <v/>
      </c>
      <c r="K2098" s="37">
        <f>TRIM(LEFT(Table3[[#This Row],[Group]],2))</f>
        <v/>
      </c>
      <c r="L2098" s="3" t="inlineStr">
        <is>
          <t>NON SALES</t>
        </is>
      </c>
    </row>
    <row r="2099">
      <c r="A2099" s="5" t="inlineStr">
        <is>
          <t>OP14550</t>
        </is>
      </c>
      <c r="B2099" s="6" t="inlineStr">
        <is>
          <t>RIZKY</t>
        </is>
      </c>
      <c r="C2099" s="7" t="inlineStr">
        <is>
          <t>A - Agen</t>
        </is>
      </c>
      <c r="D2099" s="1" t="inlineStr">
        <is>
          <t>OP00002</t>
        </is>
      </c>
      <c r="E2099" s="8" t="n">
        <v>45544.86875</v>
      </c>
      <c r="F2099" s="7" t="inlineStr">
        <is>
          <t>AGEN</t>
        </is>
      </c>
      <c r="G2099" s="18" t="inlineStr">
        <is>
          <t>OP14550</t>
        </is>
      </c>
      <c r="H2099" s="19">
        <f>UPPER(Table3[[#This Row],[Agen id]]&amp;"-"&amp;VLOOKUP(Table3[[#This Row],[Agen id]],A:B,2,0)&amp;"("&amp;Table3[[#This Row],[Short]]&amp;")")</f>
        <v/>
      </c>
      <c r="J2099" s="7">
        <f>VLOOKUP(Table3[[#This Row],[Agen id]],Agen!A:C,3,0)</f>
        <v/>
      </c>
      <c r="K2099" s="37">
        <f>TRIM(LEFT(Table3[[#This Row],[Group]],2))</f>
        <v/>
      </c>
      <c r="L2099" s="3" t="inlineStr">
        <is>
          <t>NON SALES</t>
        </is>
      </c>
    </row>
    <row r="2100">
      <c r="A2100" s="5" t="inlineStr">
        <is>
          <t>OP14579</t>
        </is>
      </c>
      <c r="B2100" s="6" t="inlineStr">
        <is>
          <t>Surahmat49</t>
        </is>
      </c>
      <c r="C2100" s="7" t="inlineStr">
        <is>
          <t>A - Agen</t>
        </is>
      </c>
      <c r="D2100" s="1" t="inlineStr">
        <is>
          <t>OP00002</t>
        </is>
      </c>
      <c r="E2100" s="8" t="n">
        <v>45546.57638888889</v>
      </c>
      <c r="F2100" s="7" t="inlineStr">
        <is>
          <t>AGEN</t>
        </is>
      </c>
      <c r="G2100" s="18" t="inlineStr">
        <is>
          <t>OP14579</t>
        </is>
      </c>
      <c r="H2100" s="19">
        <f>UPPER(Table3[[#This Row],[Agen id]]&amp;"-"&amp;VLOOKUP(Table3[[#This Row],[Agen id]],A:B,2,0)&amp;"("&amp;Table3[[#This Row],[Short]]&amp;")")</f>
        <v/>
      </c>
      <c r="J2100" s="7">
        <f>VLOOKUP(Table3[[#This Row],[Agen id]],Agen!A:C,3,0)</f>
        <v/>
      </c>
      <c r="K2100" s="37">
        <f>TRIM(LEFT(Table3[[#This Row],[Group]],2))</f>
        <v/>
      </c>
      <c r="L2100" s="3" t="inlineStr">
        <is>
          <t>NON SALES</t>
        </is>
      </c>
    </row>
    <row r="2101">
      <c r="A2101" s="5" t="inlineStr">
        <is>
          <t>OP14591</t>
        </is>
      </c>
      <c r="B2101" s="6" t="inlineStr">
        <is>
          <t>Tari</t>
        </is>
      </c>
      <c r="C2101" s="7" t="inlineStr">
        <is>
          <t>AB1 - Agen Kab Bogor</t>
        </is>
      </c>
      <c r="D2101" s="1" t="inlineStr">
        <is>
          <t>OP07955</t>
        </is>
      </c>
      <c r="E2101" s="8" t="n">
        <v>45546.82986111111</v>
      </c>
      <c r="F2101" s="7" t="inlineStr">
        <is>
          <t>DOWNLINE</t>
        </is>
      </c>
      <c r="G2101" s="18" t="inlineStr">
        <is>
          <t>OP07955</t>
        </is>
      </c>
      <c r="H2101" s="19">
        <f>UPPER(Table3[[#This Row],[Agen id]]&amp;"-"&amp;VLOOKUP(Table3[[#This Row],[Agen id]],A:B,2,0)&amp;"("&amp;Table3[[#This Row],[Short]]&amp;")")</f>
        <v/>
      </c>
      <c r="J2101" s="7">
        <f>VLOOKUP(Table3[[#This Row],[Agen id]],Agen!A:C,3,0)</f>
        <v/>
      </c>
      <c r="K2101" s="37">
        <f>TRIM(LEFT(Table3[[#This Row],[Group]],2))</f>
        <v/>
      </c>
      <c r="L2101" s="3" t="inlineStr">
        <is>
          <t>NON SALES</t>
        </is>
      </c>
    </row>
    <row r="2102">
      <c r="A2102" s="5" t="inlineStr">
        <is>
          <t>OP14625</t>
        </is>
      </c>
      <c r="B2102" s="6" t="inlineStr">
        <is>
          <t>Aswan</t>
        </is>
      </c>
      <c r="C2102" s="7" t="inlineStr">
        <is>
          <t>AV - Agen Verified</t>
        </is>
      </c>
      <c r="D2102" s="1" t="inlineStr">
        <is>
          <t>OP00431</t>
        </is>
      </c>
      <c r="E2102" s="8" t="n">
        <v>45548.81319444445</v>
      </c>
      <c r="F2102" s="7" t="inlineStr">
        <is>
          <t>DOWNLINE</t>
        </is>
      </c>
      <c r="G2102" s="18" t="inlineStr">
        <is>
          <t>OP00431</t>
        </is>
      </c>
      <c r="H2102" s="19">
        <f>UPPER(Table3[[#This Row],[Agen id]]&amp;"-"&amp;VLOOKUP(Table3[[#This Row],[Agen id]],A:B,2,0)&amp;"("&amp;Table3[[#This Row],[Short]]&amp;")")</f>
        <v/>
      </c>
      <c r="J2102" s="7">
        <f>VLOOKUP(Table3[[#This Row],[Agen id]],Agen!A:C,3,0)</f>
        <v/>
      </c>
      <c r="K2102" s="37">
        <f>TRIM(LEFT(Table3[[#This Row],[Group]],2))</f>
        <v/>
      </c>
      <c r="L2102" s="3" t="inlineStr">
        <is>
          <t>NON SALES</t>
        </is>
      </c>
    </row>
    <row r="2103">
      <c r="A2103" s="5" t="inlineStr">
        <is>
          <t>OP14626</t>
        </is>
      </c>
      <c r="B2103" s="6" t="inlineStr">
        <is>
          <t>Radja Cell</t>
        </is>
      </c>
      <c r="C2103" s="7" t="inlineStr">
        <is>
          <t>A - Agen</t>
        </is>
      </c>
      <c r="D2103" s="1" t="inlineStr">
        <is>
          <t>OP00002</t>
        </is>
      </c>
      <c r="E2103" s="8" t="n">
        <v>45548.85277777778</v>
      </c>
      <c r="F2103" s="7" t="inlineStr">
        <is>
          <t>AGEN</t>
        </is>
      </c>
      <c r="G2103" s="18" t="inlineStr">
        <is>
          <t>OP14626</t>
        </is>
      </c>
      <c r="H2103" s="19">
        <f>UPPER(Table3[[#This Row],[Agen id]]&amp;"-"&amp;VLOOKUP(Table3[[#This Row],[Agen id]],A:B,2,0)&amp;"("&amp;Table3[[#This Row],[Short]]&amp;")")</f>
        <v/>
      </c>
      <c r="J2103" s="7">
        <f>VLOOKUP(Table3[[#This Row],[Agen id]],Agen!A:C,3,0)</f>
        <v/>
      </c>
      <c r="K2103" s="37">
        <f>TRIM(LEFT(Table3[[#This Row],[Group]],2))</f>
        <v/>
      </c>
      <c r="L2103" s="3" t="inlineStr">
        <is>
          <t>NON SALES</t>
        </is>
      </c>
    </row>
    <row r="2104">
      <c r="A2104" s="5" t="inlineStr">
        <is>
          <t>OP14644</t>
        </is>
      </c>
      <c r="B2104" s="6" t="inlineStr">
        <is>
          <t>Mandiri Cell</t>
        </is>
      </c>
      <c r="C2104" s="7" t="inlineStr">
        <is>
          <t>A - Agen</t>
        </is>
      </c>
      <c r="D2104" s="1" t="inlineStr">
        <is>
          <t>OP00002</t>
        </is>
      </c>
      <c r="E2104" s="8" t="n">
        <v>45550.51875</v>
      </c>
      <c r="F2104" s="7" t="inlineStr">
        <is>
          <t>AGEN</t>
        </is>
      </c>
      <c r="G2104" s="18" t="inlineStr">
        <is>
          <t>OP14644</t>
        </is>
      </c>
      <c r="H2104" s="19">
        <f>UPPER(Table3[[#This Row],[Agen id]]&amp;"-"&amp;VLOOKUP(Table3[[#This Row],[Agen id]],A:B,2,0)&amp;"("&amp;Table3[[#This Row],[Short]]&amp;")")</f>
        <v/>
      </c>
      <c r="J2104" s="7">
        <f>VLOOKUP(Table3[[#This Row],[Agen id]],Agen!A:C,3,0)</f>
        <v/>
      </c>
      <c r="K2104" s="37">
        <f>TRIM(LEFT(Table3[[#This Row],[Group]],2))</f>
        <v/>
      </c>
      <c r="L2104" s="3" t="inlineStr">
        <is>
          <t>NON SALES</t>
        </is>
      </c>
    </row>
    <row r="2105">
      <c r="A2105" s="5" t="inlineStr">
        <is>
          <t>OP14664</t>
        </is>
      </c>
      <c r="B2105" s="6" t="inlineStr">
        <is>
          <t>Rini astuti ningsih</t>
        </is>
      </c>
      <c r="C2105" s="7" t="inlineStr">
        <is>
          <t>A - Agen</t>
        </is>
      </c>
      <c r="D2105" s="1" t="inlineStr">
        <is>
          <t>OP00002</t>
        </is>
      </c>
      <c r="E2105" s="8" t="n">
        <v>45551.88958333333</v>
      </c>
      <c r="F2105" s="7" t="inlineStr">
        <is>
          <t>AGEN</t>
        </is>
      </c>
      <c r="G2105" s="18" t="inlineStr">
        <is>
          <t>OP14664</t>
        </is>
      </c>
      <c r="H2105" s="19">
        <f>UPPER(Table3[[#This Row],[Agen id]]&amp;"-"&amp;VLOOKUP(Table3[[#This Row],[Agen id]],A:B,2,0)&amp;"("&amp;Table3[[#This Row],[Short]]&amp;")")</f>
        <v/>
      </c>
      <c r="J2105" s="7">
        <f>VLOOKUP(Table3[[#This Row],[Agen id]],Agen!A:C,3,0)</f>
        <v/>
      </c>
      <c r="K2105" s="37">
        <f>TRIM(LEFT(Table3[[#This Row],[Group]],2))</f>
        <v/>
      </c>
      <c r="L2105" s="3" t="inlineStr">
        <is>
          <t>NON SALES</t>
        </is>
      </c>
    </row>
    <row r="2106">
      <c r="A2106" s="5" t="inlineStr">
        <is>
          <t>OP14680</t>
        </is>
      </c>
      <c r="B2106" s="6" t="inlineStr">
        <is>
          <t>Na cell</t>
        </is>
      </c>
      <c r="C2106" s="7" t="inlineStr">
        <is>
          <t>AV - Agen Verified</t>
        </is>
      </c>
      <c r="D2106" s="1" t="inlineStr">
        <is>
          <t>OP00002</t>
        </is>
      </c>
      <c r="E2106" s="8" t="n">
        <v>45553.95277777778</v>
      </c>
      <c r="F2106" s="7" t="inlineStr">
        <is>
          <t>AGEN</t>
        </is>
      </c>
      <c r="G2106" s="18" t="inlineStr">
        <is>
          <t>OP14680</t>
        </is>
      </c>
      <c r="H2106" s="19">
        <f>UPPER(Table3[[#This Row],[Agen id]]&amp;"-"&amp;VLOOKUP(Table3[[#This Row],[Agen id]],A:B,2,0)&amp;"("&amp;Table3[[#This Row],[Short]]&amp;")")</f>
        <v/>
      </c>
      <c r="J2106" s="7">
        <f>VLOOKUP(Table3[[#This Row],[Agen id]],Agen!A:C,3,0)</f>
        <v/>
      </c>
      <c r="K2106" s="37">
        <f>TRIM(LEFT(Table3[[#This Row],[Group]],2))</f>
        <v/>
      </c>
      <c r="L2106" s="3" t="inlineStr">
        <is>
          <t>NON SALES</t>
        </is>
      </c>
    </row>
    <row r="2107">
      <c r="A2107" s="5" t="inlineStr">
        <is>
          <t>OP14696</t>
        </is>
      </c>
      <c r="B2107" s="6" t="inlineStr">
        <is>
          <t>Ishak moogangga</t>
        </is>
      </c>
      <c r="C2107" s="7" t="inlineStr">
        <is>
          <t>A - Agen</t>
        </is>
      </c>
      <c r="D2107" s="1" t="inlineStr">
        <is>
          <t>OP04706</t>
        </is>
      </c>
      <c r="E2107" s="8" t="n">
        <v>45555.34166666667</v>
      </c>
      <c r="F2107" s="7" t="inlineStr">
        <is>
          <t>DOWNLINE</t>
        </is>
      </c>
      <c r="G2107" s="18" t="inlineStr">
        <is>
          <t>OP04706</t>
        </is>
      </c>
      <c r="H2107" s="19">
        <f>UPPER(Table3[[#This Row],[Agen id]]&amp;"-"&amp;VLOOKUP(Table3[[#This Row],[Agen id]],A:B,2,0)&amp;"("&amp;Table3[[#This Row],[Short]]&amp;")")</f>
        <v/>
      </c>
      <c r="J2107" s="7">
        <f>VLOOKUP(Table3[[#This Row],[Agen id]],Agen!A:C,3,0)</f>
        <v/>
      </c>
      <c r="K2107" s="37">
        <f>TRIM(LEFT(Table3[[#This Row],[Group]],2))</f>
        <v/>
      </c>
      <c r="L2107" s="3" t="inlineStr">
        <is>
          <t>NON SALES</t>
        </is>
      </c>
    </row>
    <row r="2108">
      <c r="A2108" s="5" t="inlineStr">
        <is>
          <t>OP14698</t>
        </is>
      </c>
      <c r="B2108" s="6" t="inlineStr">
        <is>
          <t>Icha</t>
        </is>
      </c>
      <c r="C2108" s="7" t="inlineStr">
        <is>
          <t>A - Agen</t>
        </is>
      </c>
      <c r="D2108" s="1" t="inlineStr">
        <is>
          <t>OP00002</t>
        </is>
      </c>
      <c r="E2108" s="8" t="n">
        <v>45555.51527777778</v>
      </c>
      <c r="F2108" s="7" t="inlineStr">
        <is>
          <t>AGEN</t>
        </is>
      </c>
      <c r="G2108" s="18" t="inlineStr">
        <is>
          <t>OP14698</t>
        </is>
      </c>
      <c r="H2108" s="19">
        <f>UPPER(Table3[[#This Row],[Agen id]]&amp;"-"&amp;VLOOKUP(Table3[[#This Row],[Agen id]],A:B,2,0)&amp;"("&amp;Table3[[#This Row],[Short]]&amp;")")</f>
        <v/>
      </c>
      <c r="J2108" s="7">
        <f>VLOOKUP(Table3[[#This Row],[Agen id]],Agen!A:C,3,0)</f>
        <v/>
      </c>
      <c r="K2108" s="37">
        <f>TRIM(LEFT(Table3[[#This Row],[Group]],2))</f>
        <v/>
      </c>
      <c r="L2108" s="3" t="inlineStr">
        <is>
          <t>NON SALES</t>
        </is>
      </c>
    </row>
    <row r="2109">
      <c r="A2109" s="5" t="inlineStr">
        <is>
          <t>OP14724</t>
        </is>
      </c>
      <c r="B2109" s="6" t="inlineStr">
        <is>
          <t>Miqbal</t>
        </is>
      </c>
      <c r="C2109" s="7" t="inlineStr">
        <is>
          <t>AV - Agen Verified</t>
        </is>
      </c>
      <c r="D2109" s="1" t="inlineStr">
        <is>
          <t>OP00002</t>
        </is>
      </c>
      <c r="E2109" s="8" t="n">
        <v>45557.77430555555</v>
      </c>
      <c r="F2109" s="7" t="inlineStr">
        <is>
          <t>AGEN</t>
        </is>
      </c>
      <c r="G2109" s="18" t="inlineStr">
        <is>
          <t>OP14724</t>
        </is>
      </c>
      <c r="H2109" s="19">
        <f>UPPER(Table3[[#This Row],[Agen id]]&amp;"-"&amp;VLOOKUP(Table3[[#This Row],[Agen id]],A:B,2,0)&amp;"("&amp;Table3[[#This Row],[Short]]&amp;")")</f>
        <v/>
      </c>
      <c r="J2109" s="7">
        <f>VLOOKUP(Table3[[#This Row],[Agen id]],Agen!A:C,3,0)</f>
        <v/>
      </c>
      <c r="K2109" s="37">
        <f>TRIM(LEFT(Table3[[#This Row],[Group]],2))</f>
        <v/>
      </c>
      <c r="L2109" s="3" t="inlineStr">
        <is>
          <t>NON SALES</t>
        </is>
      </c>
    </row>
    <row r="2110">
      <c r="A2110" s="5" t="inlineStr">
        <is>
          <t>OP14746</t>
        </is>
      </c>
      <c r="B2110" s="6" t="inlineStr">
        <is>
          <t>MANDA CELULAR</t>
        </is>
      </c>
      <c r="C2110" s="7" t="inlineStr">
        <is>
          <t>AV - Agen Verified</t>
        </is>
      </c>
      <c r="D2110" s="1" t="inlineStr">
        <is>
          <t>OP00002</t>
        </is>
      </c>
      <c r="E2110" s="8" t="n">
        <v>45559.54166666666</v>
      </c>
      <c r="F2110" s="7" t="inlineStr">
        <is>
          <t>AGEN</t>
        </is>
      </c>
      <c r="G2110" s="18" t="inlineStr">
        <is>
          <t>OP14746</t>
        </is>
      </c>
      <c r="H2110" s="19">
        <f>UPPER(Table3[[#This Row],[Agen id]]&amp;"-"&amp;VLOOKUP(Table3[[#This Row],[Agen id]],A:B,2,0)&amp;"("&amp;Table3[[#This Row],[Short]]&amp;")")</f>
        <v/>
      </c>
      <c r="J2110" s="7">
        <f>VLOOKUP(Table3[[#This Row],[Agen id]],Agen!A:C,3,0)</f>
        <v/>
      </c>
      <c r="K2110" s="37">
        <f>TRIM(LEFT(Table3[[#This Row],[Group]],2))</f>
        <v/>
      </c>
      <c r="L2110" s="3" t="inlineStr">
        <is>
          <t>NON SALES</t>
        </is>
      </c>
    </row>
    <row r="2111">
      <c r="A2111" s="5" t="inlineStr">
        <is>
          <t>OP14747</t>
        </is>
      </c>
      <c r="B2111" s="6" t="inlineStr">
        <is>
          <t>Rut siagian</t>
        </is>
      </c>
      <c r="C2111" s="7" t="inlineStr">
        <is>
          <t>A - Agen</t>
        </is>
      </c>
      <c r="D2111" s="1" t="inlineStr">
        <is>
          <t>OP00002</t>
        </is>
      </c>
      <c r="E2111" s="8" t="n">
        <v>45559.58263888889</v>
      </c>
      <c r="F2111" s="7" t="inlineStr">
        <is>
          <t>AGEN</t>
        </is>
      </c>
      <c r="G2111" s="18" t="inlineStr">
        <is>
          <t>OP14747</t>
        </is>
      </c>
      <c r="H2111" s="19">
        <f>UPPER(Table3[[#This Row],[Agen id]]&amp;"-"&amp;VLOOKUP(Table3[[#This Row],[Agen id]],A:B,2,0)&amp;"("&amp;Table3[[#This Row],[Short]]&amp;")")</f>
        <v/>
      </c>
      <c r="J2111" s="7">
        <f>VLOOKUP(Table3[[#This Row],[Agen id]],Agen!A:C,3,0)</f>
        <v/>
      </c>
      <c r="K2111" s="37">
        <f>TRIM(LEFT(Table3[[#This Row],[Group]],2))</f>
        <v/>
      </c>
      <c r="L2111" s="3" t="inlineStr">
        <is>
          <t>NON SALES</t>
        </is>
      </c>
    </row>
    <row r="2112">
      <c r="A2112" s="5" t="inlineStr">
        <is>
          <t>OP14749</t>
        </is>
      </c>
      <c r="B2112" s="6" t="inlineStr">
        <is>
          <t>Kembar cell</t>
        </is>
      </c>
      <c r="C2112" s="7" t="inlineStr">
        <is>
          <t>A - Agen</t>
        </is>
      </c>
      <c r="D2112" s="1" t="inlineStr">
        <is>
          <t>OP00002</t>
        </is>
      </c>
      <c r="E2112" s="8" t="n">
        <v>45559.60069444445</v>
      </c>
      <c r="F2112" s="7" t="inlineStr">
        <is>
          <t>AGEN</t>
        </is>
      </c>
      <c r="G2112" s="18" t="inlineStr">
        <is>
          <t>OP14749</t>
        </is>
      </c>
      <c r="H2112" s="19">
        <f>UPPER(Table3[[#This Row],[Agen id]]&amp;"-"&amp;VLOOKUP(Table3[[#This Row],[Agen id]],A:B,2,0)&amp;"("&amp;Table3[[#This Row],[Short]]&amp;")")</f>
        <v/>
      </c>
      <c r="J2112" s="7">
        <f>VLOOKUP(Table3[[#This Row],[Agen id]],Agen!A:C,3,0)</f>
        <v/>
      </c>
      <c r="K2112" s="37">
        <f>TRIM(LEFT(Table3[[#This Row],[Group]],2))</f>
        <v/>
      </c>
      <c r="L2112" s="3" t="inlineStr">
        <is>
          <t>NON SALES</t>
        </is>
      </c>
    </row>
    <row r="2113">
      <c r="A2113" s="5" t="inlineStr">
        <is>
          <t>OP14765</t>
        </is>
      </c>
      <c r="B2113" s="6" t="inlineStr">
        <is>
          <t>Triono</t>
        </is>
      </c>
      <c r="C2113" s="7" t="inlineStr">
        <is>
          <t>A - Agen</t>
        </is>
      </c>
      <c r="D2113" s="1" t="inlineStr">
        <is>
          <t>OP00002</t>
        </is>
      </c>
      <c r="E2113" s="8" t="n">
        <v>45561.12638888889</v>
      </c>
      <c r="F2113" s="7" t="inlineStr">
        <is>
          <t>AGEN</t>
        </is>
      </c>
      <c r="G2113" s="18" t="inlineStr">
        <is>
          <t>OP14765</t>
        </is>
      </c>
      <c r="H2113" s="19">
        <f>UPPER(Table3[[#This Row],[Agen id]]&amp;"-"&amp;VLOOKUP(Table3[[#This Row],[Agen id]],A:B,2,0)&amp;"("&amp;Table3[[#This Row],[Short]]&amp;")")</f>
        <v/>
      </c>
      <c r="J2113" s="7">
        <f>VLOOKUP(Table3[[#This Row],[Agen id]],Agen!A:C,3,0)</f>
        <v/>
      </c>
      <c r="K2113" s="37">
        <f>TRIM(LEFT(Table3[[#This Row],[Group]],2))</f>
        <v/>
      </c>
      <c r="L2113" s="3" t="inlineStr">
        <is>
          <t>NON SALES</t>
        </is>
      </c>
    </row>
    <row r="2114">
      <c r="A2114" s="5" t="inlineStr">
        <is>
          <t>OP14769</t>
        </is>
      </c>
      <c r="B2114" s="6" t="inlineStr">
        <is>
          <t>Dwi Sumastiana</t>
        </is>
      </c>
      <c r="C2114" s="7" t="inlineStr">
        <is>
          <t>AV - Agen Verified</t>
        </is>
      </c>
      <c r="D2114" s="1" t="inlineStr">
        <is>
          <t>OP13466</t>
        </is>
      </c>
      <c r="E2114" s="8" t="n">
        <v>45561.41319444445</v>
      </c>
      <c r="F2114" s="7" t="inlineStr">
        <is>
          <t>DOWNLINE</t>
        </is>
      </c>
      <c r="G2114" s="18" t="inlineStr">
        <is>
          <t>OP13466</t>
        </is>
      </c>
      <c r="H2114" s="19">
        <f>UPPER(Table3[[#This Row],[Agen id]]&amp;"-"&amp;VLOOKUP(Table3[[#This Row],[Agen id]],A:B,2,0)&amp;"("&amp;Table3[[#This Row],[Short]]&amp;")")</f>
        <v/>
      </c>
      <c r="J2114" s="7">
        <f>VLOOKUP(Table3[[#This Row],[Agen id]],Agen!A:C,3,0)</f>
        <v/>
      </c>
      <c r="K2114" s="37">
        <f>TRIM(LEFT(Table3[[#This Row],[Group]],2))</f>
        <v/>
      </c>
      <c r="L2114" s="3" t="inlineStr">
        <is>
          <t>NON SALES</t>
        </is>
      </c>
    </row>
    <row r="2115">
      <c r="A2115" s="5" t="inlineStr">
        <is>
          <t>OP14783</t>
        </is>
      </c>
      <c r="B2115" s="6" t="inlineStr">
        <is>
          <t>Yuni Depi</t>
        </is>
      </c>
      <c r="C2115" s="7" t="inlineStr">
        <is>
          <t>A - Agen</t>
        </is>
      </c>
      <c r="D2115" s="1" t="inlineStr">
        <is>
          <t>OP00002</t>
        </is>
      </c>
      <c r="E2115" s="8" t="n">
        <v>45562.66875</v>
      </c>
      <c r="F2115" s="7" t="inlineStr">
        <is>
          <t>AGEN</t>
        </is>
      </c>
      <c r="G2115" s="18" t="inlineStr">
        <is>
          <t>OP14783</t>
        </is>
      </c>
      <c r="H2115" s="19">
        <f>UPPER(Table3[[#This Row],[Agen id]]&amp;"-"&amp;VLOOKUP(Table3[[#This Row],[Agen id]],A:B,2,0)&amp;"("&amp;Table3[[#This Row],[Short]]&amp;")")</f>
        <v/>
      </c>
      <c r="J2115" s="7">
        <f>VLOOKUP(Table3[[#This Row],[Agen id]],Agen!A:C,3,0)</f>
        <v/>
      </c>
      <c r="K2115" s="37">
        <f>TRIM(LEFT(Table3[[#This Row],[Group]],2))</f>
        <v/>
      </c>
      <c r="L2115" s="3" t="inlineStr">
        <is>
          <t>NON SALES</t>
        </is>
      </c>
    </row>
    <row r="2116">
      <c r="A2116" s="5" t="inlineStr">
        <is>
          <t>OP14790</t>
        </is>
      </c>
      <c r="B2116" s="6" t="inlineStr">
        <is>
          <t>amin ponsel</t>
        </is>
      </c>
      <c r="C2116" s="7" t="inlineStr">
        <is>
          <t>A - Agen</t>
        </is>
      </c>
      <c r="D2116" s="1" t="inlineStr">
        <is>
          <t>OP00002</t>
        </is>
      </c>
      <c r="E2116" s="8" t="n">
        <v>45563.32222222222</v>
      </c>
      <c r="F2116" s="7" t="inlineStr">
        <is>
          <t>AGEN</t>
        </is>
      </c>
      <c r="G2116" s="18" t="inlineStr">
        <is>
          <t>OP14790</t>
        </is>
      </c>
      <c r="H2116" s="19">
        <f>UPPER(Table3[[#This Row],[Agen id]]&amp;"-"&amp;VLOOKUP(Table3[[#This Row],[Agen id]],A:B,2,0)&amp;"("&amp;Table3[[#This Row],[Short]]&amp;")")</f>
        <v/>
      </c>
      <c r="J2116" s="7">
        <f>VLOOKUP(Table3[[#This Row],[Agen id]],Agen!A:C,3,0)</f>
        <v/>
      </c>
      <c r="K2116" s="37">
        <f>TRIM(LEFT(Table3[[#This Row],[Group]],2))</f>
        <v/>
      </c>
      <c r="L2116" s="3" t="inlineStr">
        <is>
          <t>NON SALES</t>
        </is>
      </c>
    </row>
    <row r="2117">
      <c r="A2117" s="5" t="inlineStr">
        <is>
          <t>OP14791</t>
        </is>
      </c>
      <c r="B2117" s="6" t="inlineStr">
        <is>
          <t>Adi Cell</t>
        </is>
      </c>
      <c r="C2117" s="7" t="inlineStr">
        <is>
          <t>A - Agen</t>
        </is>
      </c>
      <c r="D2117" s="1" t="inlineStr">
        <is>
          <t>OP07075</t>
        </is>
      </c>
      <c r="E2117" s="8" t="n">
        <v>45563.32777777778</v>
      </c>
      <c r="F2117" s="7" t="inlineStr">
        <is>
          <t>DOWNLINE</t>
        </is>
      </c>
      <c r="G2117" s="18" t="inlineStr">
        <is>
          <t>OP07075</t>
        </is>
      </c>
      <c r="H2117" s="19">
        <f>UPPER(Table3[[#This Row],[Agen id]]&amp;"-"&amp;VLOOKUP(Table3[[#This Row],[Agen id]],A:B,2,0)&amp;"("&amp;Table3[[#This Row],[Short]]&amp;")")</f>
        <v/>
      </c>
      <c r="J2117" s="7">
        <f>VLOOKUP(Table3[[#This Row],[Agen id]],Agen!A:C,3,0)</f>
        <v/>
      </c>
      <c r="K2117" s="37">
        <f>TRIM(LEFT(Table3[[#This Row],[Group]],2))</f>
        <v/>
      </c>
      <c r="L2117" s="3" t="inlineStr">
        <is>
          <t>NON SALES</t>
        </is>
      </c>
    </row>
    <row r="2118">
      <c r="A2118" s="5" t="inlineStr">
        <is>
          <t>OP14816</t>
        </is>
      </c>
      <c r="B2118" s="6" t="inlineStr">
        <is>
          <t>Triono02</t>
        </is>
      </c>
      <c r="C2118" s="7" t="inlineStr">
        <is>
          <t>A - Agen</t>
        </is>
      </c>
      <c r="D2118" s="1" t="inlineStr">
        <is>
          <t>OP00002</t>
        </is>
      </c>
      <c r="E2118" s="8" t="n">
        <v>45566.11111111111</v>
      </c>
      <c r="F2118" s="7" t="inlineStr">
        <is>
          <t>AGEN</t>
        </is>
      </c>
      <c r="G2118" s="18" t="inlineStr">
        <is>
          <t>OP14816</t>
        </is>
      </c>
      <c r="H2118" s="19">
        <f>UPPER(Table3[[#This Row],[Agen id]]&amp;"-"&amp;VLOOKUP(Table3[[#This Row],[Agen id]],A:B,2,0)&amp;"("&amp;Table3[[#This Row],[Short]]&amp;")")</f>
        <v/>
      </c>
      <c r="J2118" s="7">
        <f>VLOOKUP(Table3[[#This Row],[Agen id]],Agen!A:C,3,0)</f>
        <v/>
      </c>
      <c r="K2118" s="37">
        <f>TRIM(LEFT(Table3[[#This Row],[Group]],2))</f>
        <v/>
      </c>
      <c r="L2118" s="3" t="inlineStr">
        <is>
          <t>NON SALES</t>
        </is>
      </c>
    </row>
    <row r="2119">
      <c r="A2119" s="5" t="inlineStr">
        <is>
          <t>OP14819</t>
        </is>
      </c>
      <c r="B2119" s="6" t="inlineStr">
        <is>
          <t>MARCUES</t>
        </is>
      </c>
      <c r="C2119" s="7" t="inlineStr">
        <is>
          <t>A - Agen</t>
        </is>
      </c>
      <c r="D2119" s="1" t="inlineStr">
        <is>
          <t>OP00002</t>
        </is>
      </c>
      <c r="E2119" s="8" t="n">
        <v>45567.04930555556</v>
      </c>
      <c r="F2119" s="7" t="inlineStr">
        <is>
          <t>AGEN</t>
        </is>
      </c>
      <c r="G2119" s="18" t="inlineStr">
        <is>
          <t>OP14819</t>
        </is>
      </c>
      <c r="H2119" s="19">
        <f>UPPER(Table3[[#This Row],[Agen id]]&amp;"-"&amp;VLOOKUP(Table3[[#This Row],[Agen id]],A:B,2,0)&amp;"("&amp;Table3[[#This Row],[Short]]&amp;")")</f>
        <v/>
      </c>
      <c r="J2119" s="7">
        <f>VLOOKUP(Table3[[#This Row],[Agen id]],Agen!A:C,3,0)</f>
        <v/>
      </c>
      <c r="K2119" s="37">
        <f>TRIM(LEFT(Table3[[#This Row],[Group]],2))</f>
        <v/>
      </c>
      <c r="L2119" s="3" t="inlineStr">
        <is>
          <t>NON SALES</t>
        </is>
      </c>
    </row>
    <row r="2120">
      <c r="A2120" s="5" t="inlineStr">
        <is>
          <t>OP14820</t>
        </is>
      </c>
      <c r="B2120" s="6" t="inlineStr">
        <is>
          <t>KEYSA CELL</t>
        </is>
      </c>
      <c r="C2120" s="7" t="inlineStr">
        <is>
          <t>AT1 - Agen Tangerang</t>
        </is>
      </c>
      <c r="D2120" s="1" t="inlineStr">
        <is>
          <t>OP07683</t>
        </is>
      </c>
      <c r="E2120" s="8" t="n">
        <v>45567.55694444444</v>
      </c>
      <c r="F2120" s="7" t="inlineStr">
        <is>
          <t>AGEN</t>
        </is>
      </c>
      <c r="G2120" s="18" t="inlineStr">
        <is>
          <t>OP14820</t>
        </is>
      </c>
      <c r="H2120" s="19">
        <f>UPPER(Table3[[#This Row],[Agen id]]&amp;"-"&amp;VLOOKUP(Table3[[#This Row],[Agen id]],A:B,2,0)&amp;"("&amp;Table3[[#This Row],[Short]]&amp;")")</f>
        <v/>
      </c>
      <c r="J2120" s="7">
        <f>VLOOKUP(Table3[[#This Row],[Agen id]],Agen!A:C,3,0)</f>
        <v/>
      </c>
      <c r="K2120" s="37">
        <f>TRIM(LEFT(Table3[[#This Row],[Group]],2))</f>
        <v/>
      </c>
      <c r="L2120" s="3" t="inlineStr">
        <is>
          <t>NON SALES</t>
        </is>
      </c>
    </row>
    <row r="2121">
      <c r="A2121" s="5" t="inlineStr">
        <is>
          <t>OP14821</t>
        </is>
      </c>
      <c r="B2121" s="6" t="inlineStr">
        <is>
          <t>Ani</t>
        </is>
      </c>
      <c r="C2121" s="7" t="inlineStr">
        <is>
          <t>A - Agen</t>
        </is>
      </c>
      <c r="D2121" s="1" t="inlineStr">
        <is>
          <t>OP00002</t>
        </is>
      </c>
      <c r="E2121" s="8" t="n">
        <v>45567.70555555556</v>
      </c>
      <c r="F2121" s="7" t="inlineStr">
        <is>
          <t>AGEN</t>
        </is>
      </c>
      <c r="G2121" s="18" t="inlineStr">
        <is>
          <t>OP14821</t>
        </is>
      </c>
      <c r="H2121" s="19">
        <f>UPPER(Table3[[#This Row],[Agen id]]&amp;"-"&amp;VLOOKUP(Table3[[#This Row],[Agen id]],A:B,2,0)&amp;"("&amp;Table3[[#This Row],[Short]]&amp;")")</f>
        <v/>
      </c>
      <c r="J2121" s="7">
        <f>VLOOKUP(Table3[[#This Row],[Agen id]],Agen!A:C,3,0)</f>
        <v/>
      </c>
      <c r="K2121" s="37">
        <f>TRIM(LEFT(Table3[[#This Row],[Group]],2))</f>
        <v/>
      </c>
      <c r="L2121" s="3" t="inlineStr">
        <is>
          <t>NON SALES</t>
        </is>
      </c>
    </row>
    <row r="2122">
      <c r="A2122" s="5" t="inlineStr">
        <is>
          <t>OP14841</t>
        </is>
      </c>
      <c r="B2122" s="6" t="inlineStr">
        <is>
          <t>TOKO SAHAWI 6</t>
        </is>
      </c>
      <c r="C2122" s="7" t="inlineStr">
        <is>
          <t>AT1 - Agen Tangerang</t>
        </is>
      </c>
      <c r="D2122" s="1" t="inlineStr">
        <is>
          <t>OP07683</t>
        </is>
      </c>
      <c r="E2122" s="8" t="n">
        <v>45570.62430555555</v>
      </c>
      <c r="F2122" s="7" t="inlineStr">
        <is>
          <t>AGEN</t>
        </is>
      </c>
      <c r="G2122" s="18" t="inlineStr">
        <is>
          <t>OP14841</t>
        </is>
      </c>
      <c r="H2122" s="19">
        <f>UPPER(Table3[[#This Row],[Agen id]]&amp;"-"&amp;VLOOKUP(Table3[[#This Row],[Agen id]],A:B,2,0)&amp;"("&amp;Table3[[#This Row],[Short]]&amp;")")</f>
        <v/>
      </c>
      <c r="J2122" s="7">
        <f>VLOOKUP(Table3[[#This Row],[Agen id]],Agen!A:C,3,0)</f>
        <v/>
      </c>
      <c r="K2122" s="37">
        <f>TRIM(LEFT(Table3[[#This Row],[Group]],2))</f>
        <v/>
      </c>
      <c r="L2122" s="3" t="inlineStr">
        <is>
          <t>NON SALES</t>
        </is>
      </c>
    </row>
    <row r="2123">
      <c r="A2123" s="5" t="inlineStr">
        <is>
          <t>OP14864</t>
        </is>
      </c>
      <c r="B2123" s="6" t="inlineStr">
        <is>
          <t>teddy</t>
        </is>
      </c>
      <c r="C2123" s="7" t="inlineStr">
        <is>
          <t>A - Agen</t>
        </is>
      </c>
      <c r="D2123" s="1" t="inlineStr">
        <is>
          <t>OP00002</t>
        </is>
      </c>
      <c r="E2123" s="8" t="n">
        <v>45572.43680555555</v>
      </c>
      <c r="F2123" s="7" t="inlineStr">
        <is>
          <t>AGEN</t>
        </is>
      </c>
      <c r="G2123" s="18" t="inlineStr">
        <is>
          <t>OP14864</t>
        </is>
      </c>
      <c r="H2123" s="19">
        <f>UPPER(Table3[[#This Row],[Agen id]]&amp;"-"&amp;VLOOKUP(Table3[[#This Row],[Agen id]],A:B,2,0)&amp;"("&amp;Table3[[#This Row],[Short]]&amp;")")</f>
        <v/>
      </c>
      <c r="J2123" s="7">
        <f>VLOOKUP(Table3[[#This Row],[Agen id]],Agen!A:C,3,0)</f>
        <v/>
      </c>
      <c r="K2123" s="37">
        <f>TRIM(LEFT(Table3[[#This Row],[Group]],2))</f>
        <v/>
      </c>
      <c r="L2123" s="3" t="inlineStr">
        <is>
          <t>NON SALES</t>
        </is>
      </c>
    </row>
    <row r="2124">
      <c r="A2124" s="5" t="inlineStr">
        <is>
          <t>OP14868</t>
        </is>
      </c>
      <c r="B2124" s="6" t="inlineStr">
        <is>
          <t>FAIZAL CELL</t>
        </is>
      </c>
      <c r="C2124" s="7" t="inlineStr">
        <is>
          <t>AT1 - Agen Tangerang</t>
        </is>
      </c>
      <c r="D2124" s="1" t="inlineStr">
        <is>
          <t>OP07683</t>
        </is>
      </c>
      <c r="E2124" s="8" t="n">
        <v>45572.70763888889</v>
      </c>
      <c r="F2124" s="7" t="inlineStr">
        <is>
          <t>AGEN</t>
        </is>
      </c>
      <c r="G2124" s="18" t="inlineStr">
        <is>
          <t>OP14868</t>
        </is>
      </c>
      <c r="H2124" s="19">
        <f>UPPER(Table3[[#This Row],[Agen id]]&amp;"-"&amp;VLOOKUP(Table3[[#This Row],[Agen id]],A:B,2,0)&amp;"("&amp;Table3[[#This Row],[Short]]&amp;")")</f>
        <v/>
      </c>
      <c r="J2124" s="7">
        <f>VLOOKUP(Table3[[#This Row],[Agen id]],Agen!A:C,3,0)</f>
        <v/>
      </c>
      <c r="K2124" s="37">
        <f>TRIM(LEFT(Table3[[#This Row],[Group]],2))</f>
        <v/>
      </c>
      <c r="L2124" s="3" t="inlineStr">
        <is>
          <t>NON SALES</t>
        </is>
      </c>
    </row>
    <row r="2125">
      <c r="A2125" s="5" t="inlineStr">
        <is>
          <t>OP14882</t>
        </is>
      </c>
      <c r="B2125" s="6" t="inlineStr">
        <is>
          <t>GJCC CELL</t>
        </is>
      </c>
      <c r="C2125" s="7" t="inlineStr">
        <is>
          <t>AT1 - Agen Tangerang</t>
        </is>
      </c>
      <c r="D2125" s="1" t="inlineStr">
        <is>
          <t>OP07683</t>
        </is>
      </c>
      <c r="E2125" s="8" t="n">
        <v>45573.65277777778</v>
      </c>
      <c r="F2125" s="7" t="inlineStr">
        <is>
          <t>AGEN</t>
        </is>
      </c>
      <c r="G2125" s="18" t="inlineStr">
        <is>
          <t>OP14882</t>
        </is>
      </c>
      <c r="H2125" s="19">
        <f>UPPER(Table3[[#This Row],[Agen id]]&amp;"-"&amp;VLOOKUP(Table3[[#This Row],[Agen id]],A:B,2,0)&amp;"("&amp;Table3[[#This Row],[Short]]&amp;")")</f>
        <v/>
      </c>
      <c r="J2125" s="7">
        <f>VLOOKUP(Table3[[#This Row],[Agen id]],Agen!A:C,3,0)</f>
        <v/>
      </c>
      <c r="K2125" s="37">
        <f>TRIM(LEFT(Table3[[#This Row],[Group]],2))</f>
        <v/>
      </c>
      <c r="L2125" s="3" t="inlineStr">
        <is>
          <t>NON SALES</t>
        </is>
      </c>
    </row>
    <row r="2126">
      <c r="A2126" s="5" t="inlineStr">
        <is>
          <t>OP14883</t>
        </is>
      </c>
      <c r="B2126" s="6" t="inlineStr">
        <is>
          <t>CTR CELL</t>
        </is>
      </c>
      <c r="C2126" s="7" t="inlineStr">
        <is>
          <t>AT1 - Agen Tangerang</t>
        </is>
      </c>
      <c r="D2126" s="1" t="inlineStr">
        <is>
          <t>OP07683</t>
        </is>
      </c>
      <c r="E2126" s="8" t="n">
        <v>45573.71388888889</v>
      </c>
      <c r="F2126" s="7" t="inlineStr">
        <is>
          <t>AGEN</t>
        </is>
      </c>
      <c r="G2126" s="18" t="inlineStr">
        <is>
          <t>OP14883</t>
        </is>
      </c>
      <c r="H2126" s="19">
        <f>UPPER(Table3[[#This Row],[Agen id]]&amp;"-"&amp;VLOOKUP(Table3[[#This Row],[Agen id]],A:B,2,0)&amp;"("&amp;Table3[[#This Row],[Short]]&amp;")")</f>
        <v/>
      </c>
      <c r="J2126" s="7">
        <f>VLOOKUP(Table3[[#This Row],[Agen id]],Agen!A:C,3,0)</f>
        <v/>
      </c>
      <c r="K2126" s="37">
        <f>TRIM(LEFT(Table3[[#This Row],[Group]],2))</f>
        <v/>
      </c>
      <c r="L2126" s="3" t="inlineStr">
        <is>
          <t>NON SALES</t>
        </is>
      </c>
    </row>
    <row r="2127">
      <c r="A2127" s="5" t="inlineStr">
        <is>
          <t>OP14899</t>
        </is>
      </c>
      <c r="B2127" s="6" t="inlineStr">
        <is>
          <t>AINE CELL</t>
        </is>
      </c>
      <c r="C2127" s="7" t="inlineStr">
        <is>
          <t>A - Agen</t>
        </is>
      </c>
      <c r="D2127" s="1" t="inlineStr">
        <is>
          <t>OP00002</t>
        </is>
      </c>
      <c r="E2127" s="8" t="n">
        <v>45574.37777777778</v>
      </c>
      <c r="F2127" s="7" t="inlineStr">
        <is>
          <t>AGEN</t>
        </is>
      </c>
      <c r="G2127" s="18" t="inlineStr">
        <is>
          <t>OP14899</t>
        </is>
      </c>
      <c r="H2127" s="19">
        <f>UPPER(Table3[[#This Row],[Agen id]]&amp;"-"&amp;VLOOKUP(Table3[[#This Row],[Agen id]],A:B,2,0)&amp;"("&amp;Table3[[#This Row],[Short]]&amp;")")</f>
        <v/>
      </c>
      <c r="J2127" s="7">
        <f>VLOOKUP(Table3[[#This Row],[Agen id]],Agen!A:C,3,0)</f>
        <v/>
      </c>
      <c r="K2127" s="37">
        <f>TRIM(LEFT(Table3[[#This Row],[Group]],2))</f>
        <v/>
      </c>
      <c r="L2127" s="3" t="inlineStr">
        <is>
          <t>NON SALES</t>
        </is>
      </c>
    </row>
    <row r="2128">
      <c r="A2128" s="5" t="inlineStr">
        <is>
          <t>OP14904</t>
        </is>
      </c>
      <c r="B2128" s="6" t="inlineStr">
        <is>
          <t>ARIF Cell</t>
        </is>
      </c>
      <c r="C2128" s="7" t="inlineStr">
        <is>
          <t>A - Agen</t>
        </is>
      </c>
      <c r="D2128" s="1" t="inlineStr">
        <is>
          <t>OP00002</t>
        </is>
      </c>
      <c r="E2128" s="8" t="n">
        <v>45574.55486111111</v>
      </c>
      <c r="F2128" s="7" t="inlineStr">
        <is>
          <t>AGEN</t>
        </is>
      </c>
      <c r="G2128" s="18" t="inlineStr">
        <is>
          <t>OP14904</t>
        </is>
      </c>
      <c r="H2128" s="19">
        <f>UPPER(Table3[[#This Row],[Agen id]]&amp;"-"&amp;VLOOKUP(Table3[[#This Row],[Agen id]],A:B,2,0)&amp;"("&amp;Table3[[#This Row],[Short]]&amp;")")</f>
        <v/>
      </c>
      <c r="J2128" s="7">
        <f>VLOOKUP(Table3[[#This Row],[Agen id]],Agen!A:C,3,0)</f>
        <v/>
      </c>
      <c r="K2128" s="37">
        <f>TRIM(LEFT(Table3[[#This Row],[Group]],2))</f>
        <v/>
      </c>
      <c r="L2128" s="3" t="inlineStr">
        <is>
          <t>NON SALES</t>
        </is>
      </c>
    </row>
    <row r="2129">
      <c r="A2129" s="5" t="inlineStr">
        <is>
          <t>OP14906</t>
        </is>
      </c>
      <c r="B2129" s="6" t="inlineStr">
        <is>
          <t>Diana rambe</t>
        </is>
      </c>
      <c r="C2129" s="7" t="inlineStr">
        <is>
          <t>A - Agen</t>
        </is>
      </c>
      <c r="D2129" s="1" t="inlineStr">
        <is>
          <t>OP00002</t>
        </is>
      </c>
      <c r="E2129" s="8" t="n">
        <v>45574.65486111111</v>
      </c>
      <c r="F2129" s="7" t="inlineStr">
        <is>
          <t>AGEN</t>
        </is>
      </c>
      <c r="G2129" s="18" t="inlineStr">
        <is>
          <t>OP14906</t>
        </is>
      </c>
      <c r="H2129" s="19">
        <f>UPPER(Table3[[#This Row],[Agen id]]&amp;"-"&amp;VLOOKUP(Table3[[#This Row],[Agen id]],A:B,2,0)&amp;"("&amp;Table3[[#This Row],[Short]]&amp;")")</f>
        <v/>
      </c>
      <c r="J2129" s="7">
        <f>VLOOKUP(Table3[[#This Row],[Agen id]],Agen!A:C,3,0)</f>
        <v/>
      </c>
      <c r="K2129" s="37">
        <f>TRIM(LEFT(Table3[[#This Row],[Group]],2))</f>
        <v/>
      </c>
      <c r="L2129" s="3" t="inlineStr">
        <is>
          <t>NON SALES</t>
        </is>
      </c>
    </row>
    <row r="2130">
      <c r="A2130" s="5" t="inlineStr">
        <is>
          <t>OP14910</t>
        </is>
      </c>
      <c r="B2130" s="6" t="inlineStr">
        <is>
          <t>TOKO BASIT</t>
        </is>
      </c>
      <c r="C2130" s="7" t="inlineStr">
        <is>
          <t>AT1 - Agen Tangerang</t>
        </is>
      </c>
      <c r="D2130" s="1" t="inlineStr">
        <is>
          <t>OP07683</t>
        </is>
      </c>
      <c r="E2130" s="8" t="n">
        <v>45574.69722222222</v>
      </c>
      <c r="F2130" s="7" t="inlineStr">
        <is>
          <t>AGEN</t>
        </is>
      </c>
      <c r="G2130" s="18" t="inlineStr">
        <is>
          <t>OP14910</t>
        </is>
      </c>
      <c r="H2130" s="19">
        <f>UPPER(Table3[[#This Row],[Agen id]]&amp;"-"&amp;VLOOKUP(Table3[[#This Row],[Agen id]],A:B,2,0)&amp;"("&amp;Table3[[#This Row],[Short]]&amp;")")</f>
        <v/>
      </c>
      <c r="J2130" s="7">
        <f>VLOOKUP(Table3[[#This Row],[Agen id]],Agen!A:C,3,0)</f>
        <v/>
      </c>
      <c r="K2130" s="37">
        <f>TRIM(LEFT(Table3[[#This Row],[Group]],2))</f>
        <v/>
      </c>
      <c r="L2130" s="3" t="inlineStr">
        <is>
          <t>NON SALES</t>
        </is>
      </c>
    </row>
    <row r="2131">
      <c r="A2131" s="5" t="inlineStr">
        <is>
          <t>OP14911</t>
        </is>
      </c>
      <c r="B2131" s="6" t="inlineStr">
        <is>
          <t>Farhana</t>
        </is>
      </c>
      <c r="C2131" s="7" t="inlineStr">
        <is>
          <t>A - Agen</t>
        </is>
      </c>
      <c r="D2131" s="1" t="inlineStr">
        <is>
          <t>OP00002</t>
        </is>
      </c>
      <c r="E2131" s="8" t="n">
        <v>45574.72916666666</v>
      </c>
      <c r="F2131" s="7" t="inlineStr">
        <is>
          <t>AGEN</t>
        </is>
      </c>
      <c r="G2131" s="18" t="inlineStr">
        <is>
          <t>OP14911</t>
        </is>
      </c>
      <c r="H2131" s="19">
        <f>UPPER(Table3[[#This Row],[Agen id]]&amp;"-"&amp;VLOOKUP(Table3[[#This Row],[Agen id]],A:B,2,0)&amp;"("&amp;Table3[[#This Row],[Short]]&amp;")")</f>
        <v/>
      </c>
      <c r="J2131" s="7">
        <f>VLOOKUP(Table3[[#This Row],[Agen id]],Agen!A:C,3,0)</f>
        <v/>
      </c>
      <c r="K2131" s="37">
        <f>TRIM(LEFT(Table3[[#This Row],[Group]],2))</f>
        <v/>
      </c>
      <c r="L2131" s="3" t="inlineStr">
        <is>
          <t>NON SALES</t>
        </is>
      </c>
    </row>
    <row r="2132">
      <c r="A2132" s="5" t="inlineStr">
        <is>
          <t>OP14965</t>
        </is>
      </c>
      <c r="B2132" s="6" t="inlineStr">
        <is>
          <t>syifa ponsel</t>
        </is>
      </c>
      <c r="C2132" s="7" t="inlineStr">
        <is>
          <t>AV - Agen Verified</t>
        </is>
      </c>
      <c r="D2132" s="1" t="inlineStr">
        <is>
          <t>OP03216</t>
        </is>
      </c>
      <c r="E2132" s="8" t="n">
        <v>45577.51597222222</v>
      </c>
      <c r="F2132" s="7" t="inlineStr">
        <is>
          <t>DOWNLINE</t>
        </is>
      </c>
      <c r="G2132" s="18" t="inlineStr">
        <is>
          <t>OP00049</t>
        </is>
      </c>
      <c r="H2132" s="19">
        <f>UPPER(Table3[[#This Row],[Agen id]]&amp;"-"&amp;VLOOKUP(Table3[[#This Row],[Agen id]],A:B,2,0)&amp;"("&amp;Table3[[#This Row],[Short]]&amp;")")</f>
        <v/>
      </c>
      <c r="J2132" s="7">
        <f>VLOOKUP(Table3[[#This Row],[Agen id]],Agen!A:C,3,0)</f>
        <v/>
      </c>
      <c r="K2132" s="37">
        <f>TRIM(LEFT(Table3[[#This Row],[Group]],2))</f>
        <v/>
      </c>
      <c r="L2132" s="3" t="inlineStr">
        <is>
          <t>NON SALES</t>
        </is>
      </c>
    </row>
    <row r="2133">
      <c r="A2133" s="5" t="inlineStr">
        <is>
          <t>OP14971</t>
        </is>
      </c>
      <c r="B2133" s="6" t="inlineStr">
        <is>
          <t>Endang</t>
        </is>
      </c>
      <c r="C2133" s="7" t="inlineStr">
        <is>
          <t>AV - Agen Verified</t>
        </is>
      </c>
      <c r="D2133" s="1" t="inlineStr">
        <is>
          <t>OP00002</t>
        </is>
      </c>
      <c r="E2133" s="8" t="n">
        <v>45577.79236111111</v>
      </c>
      <c r="F2133" s="7" t="inlineStr">
        <is>
          <t>AGEN</t>
        </is>
      </c>
      <c r="G2133" s="18" t="inlineStr">
        <is>
          <t>OP14971</t>
        </is>
      </c>
      <c r="H2133" s="19">
        <f>UPPER(Table3[[#This Row],[Agen id]]&amp;"-"&amp;VLOOKUP(Table3[[#This Row],[Agen id]],A:B,2,0)&amp;"("&amp;Table3[[#This Row],[Short]]&amp;")")</f>
        <v/>
      </c>
      <c r="J2133" s="7">
        <f>VLOOKUP(Table3[[#This Row],[Agen id]],Agen!A:C,3,0)</f>
        <v/>
      </c>
      <c r="K2133" s="37">
        <f>TRIM(LEFT(Table3[[#This Row],[Group]],2))</f>
        <v/>
      </c>
      <c r="L2133" s="3" t="inlineStr">
        <is>
          <t>NON SALES</t>
        </is>
      </c>
    </row>
    <row r="2134">
      <c r="A2134" s="5" t="inlineStr">
        <is>
          <t>OP14984</t>
        </is>
      </c>
      <c r="B2134" s="6" t="inlineStr">
        <is>
          <t>novi</t>
        </is>
      </c>
      <c r="C2134" s="7" t="inlineStr">
        <is>
          <t>AV - Agen Verified</t>
        </is>
      </c>
      <c r="D2134" s="1" t="inlineStr">
        <is>
          <t>OP13466</t>
        </is>
      </c>
      <c r="E2134" s="8" t="n">
        <v>45578.79652777778</v>
      </c>
      <c r="F2134" s="7" t="inlineStr">
        <is>
          <t>DOWNLINE</t>
        </is>
      </c>
      <c r="G2134" s="18" t="inlineStr">
        <is>
          <t>OP13466</t>
        </is>
      </c>
      <c r="H2134" s="19">
        <f>UPPER(Table3[[#This Row],[Agen id]]&amp;"-"&amp;VLOOKUP(Table3[[#This Row],[Agen id]],A:B,2,0)&amp;"("&amp;Table3[[#This Row],[Short]]&amp;")")</f>
        <v/>
      </c>
      <c r="J2134" s="7">
        <f>VLOOKUP(Table3[[#This Row],[Agen id]],Agen!A:C,3,0)</f>
        <v/>
      </c>
      <c r="K2134" s="37">
        <f>TRIM(LEFT(Table3[[#This Row],[Group]],2))</f>
        <v/>
      </c>
      <c r="L2134" s="3" t="inlineStr">
        <is>
          <t>NON SALES</t>
        </is>
      </c>
    </row>
    <row r="2135">
      <c r="A2135" s="5" t="inlineStr">
        <is>
          <t>OP14998</t>
        </is>
      </c>
      <c r="B2135" s="6" t="inlineStr">
        <is>
          <t>Andika</t>
        </is>
      </c>
      <c r="C2135" s="7" t="inlineStr">
        <is>
          <t>AV - Agen Verified</t>
        </is>
      </c>
      <c r="D2135" s="1" t="inlineStr">
        <is>
          <t>OP03783</t>
        </is>
      </c>
      <c r="E2135" s="8" t="n">
        <v>45579.64444444444</v>
      </c>
      <c r="F2135" s="7" t="inlineStr">
        <is>
          <t>DOWNLINE</t>
        </is>
      </c>
      <c r="G2135" s="18" t="inlineStr">
        <is>
          <t>OP03699</t>
        </is>
      </c>
      <c r="H2135" s="19">
        <f>UPPER(Table3[[#This Row],[Agen id]]&amp;"-"&amp;VLOOKUP(Table3[[#This Row],[Agen id]],A:B,2,0)&amp;"("&amp;Table3[[#This Row],[Short]]&amp;")")</f>
        <v/>
      </c>
      <c r="J2135" s="7">
        <f>VLOOKUP(Table3[[#This Row],[Agen id]],Agen!A:C,3,0)</f>
        <v/>
      </c>
      <c r="K2135" s="37">
        <f>TRIM(LEFT(Table3[[#This Row],[Group]],2))</f>
        <v/>
      </c>
      <c r="L2135" s="3" t="inlineStr">
        <is>
          <t>NON SALES</t>
        </is>
      </c>
    </row>
    <row r="2136">
      <c r="A2136" s="5" t="inlineStr">
        <is>
          <t>OP14999</t>
        </is>
      </c>
      <c r="B2136" s="6" t="inlineStr">
        <is>
          <t>Novita</t>
        </is>
      </c>
      <c r="C2136" s="7" t="inlineStr">
        <is>
          <t>AV - Agen Verified</t>
        </is>
      </c>
      <c r="D2136" s="1" t="inlineStr">
        <is>
          <t>OP03783</t>
        </is>
      </c>
      <c r="E2136" s="8" t="n">
        <v>45579.64652777778</v>
      </c>
      <c r="F2136" s="7" t="inlineStr">
        <is>
          <t>DOWNLINE</t>
        </is>
      </c>
      <c r="G2136" s="18" t="inlineStr">
        <is>
          <t>OP03699</t>
        </is>
      </c>
      <c r="H2136" s="19">
        <f>UPPER(Table3[[#This Row],[Agen id]]&amp;"-"&amp;VLOOKUP(Table3[[#This Row],[Agen id]],A:B,2,0)&amp;"("&amp;Table3[[#This Row],[Short]]&amp;")")</f>
        <v/>
      </c>
      <c r="J2136" s="7">
        <f>VLOOKUP(Table3[[#This Row],[Agen id]],Agen!A:C,3,0)</f>
        <v/>
      </c>
      <c r="K2136" s="37">
        <f>TRIM(LEFT(Table3[[#This Row],[Group]],2))</f>
        <v/>
      </c>
      <c r="L2136" s="3" t="inlineStr">
        <is>
          <t>NON SALES</t>
        </is>
      </c>
    </row>
    <row r="2137">
      <c r="A2137" s="5" t="inlineStr">
        <is>
          <t>OP15004</t>
        </is>
      </c>
      <c r="B2137" s="6" t="inlineStr">
        <is>
          <t>ABULE CELL</t>
        </is>
      </c>
      <c r="C2137" s="7" t="inlineStr">
        <is>
          <t>AV - Agen Verified</t>
        </is>
      </c>
      <c r="D2137" s="1" t="inlineStr">
        <is>
          <t>OP00002</t>
        </is>
      </c>
      <c r="E2137" s="8" t="n">
        <v>45579.79236111111</v>
      </c>
      <c r="F2137" s="7" t="inlineStr">
        <is>
          <t>AGEN</t>
        </is>
      </c>
      <c r="G2137" s="18" t="inlineStr">
        <is>
          <t>OP15004</t>
        </is>
      </c>
      <c r="H2137" s="19">
        <f>UPPER(Table3[[#This Row],[Agen id]]&amp;"-"&amp;VLOOKUP(Table3[[#This Row],[Agen id]],A:B,2,0)&amp;"("&amp;Table3[[#This Row],[Short]]&amp;")")</f>
        <v/>
      </c>
      <c r="J2137" s="7">
        <f>VLOOKUP(Table3[[#This Row],[Agen id]],Agen!A:C,3,0)</f>
        <v/>
      </c>
      <c r="K2137" s="37">
        <f>TRIM(LEFT(Table3[[#This Row],[Group]],2))</f>
        <v/>
      </c>
      <c r="L2137" s="3" t="inlineStr">
        <is>
          <t>NON SALES</t>
        </is>
      </c>
    </row>
    <row r="2138">
      <c r="A2138" s="5" t="inlineStr">
        <is>
          <t>OP15007</t>
        </is>
      </c>
      <c r="B2138" s="6" t="inlineStr">
        <is>
          <t>WAFI CELL</t>
        </is>
      </c>
      <c r="C2138" s="7" t="inlineStr">
        <is>
          <t>AT1 - Agen Tangerang</t>
        </is>
      </c>
      <c r="D2138" s="1" t="inlineStr">
        <is>
          <t>OP07683</t>
        </is>
      </c>
      <c r="E2138" s="8" t="n">
        <v>45579.88819444444</v>
      </c>
      <c r="F2138" s="7" t="inlineStr">
        <is>
          <t>AGEN</t>
        </is>
      </c>
      <c r="G2138" s="18" t="inlineStr">
        <is>
          <t>OP15007</t>
        </is>
      </c>
      <c r="H2138" s="19">
        <f>UPPER(Table3[[#This Row],[Agen id]]&amp;"-"&amp;VLOOKUP(Table3[[#This Row],[Agen id]],A:B,2,0)&amp;"("&amp;Table3[[#This Row],[Short]]&amp;")")</f>
        <v/>
      </c>
      <c r="J2138" s="7">
        <f>VLOOKUP(Table3[[#This Row],[Agen id]],Agen!A:C,3,0)</f>
        <v/>
      </c>
      <c r="K2138" s="37">
        <f>TRIM(LEFT(Table3[[#This Row],[Group]],2))</f>
        <v/>
      </c>
      <c r="L2138" s="3" t="inlineStr">
        <is>
          <t>NON SALES</t>
        </is>
      </c>
    </row>
    <row r="2139">
      <c r="A2139" s="5" t="inlineStr">
        <is>
          <t>OP15016</t>
        </is>
      </c>
      <c r="B2139" s="6" t="inlineStr">
        <is>
          <t>MIMI CELL</t>
        </is>
      </c>
      <c r="C2139" s="7" t="inlineStr">
        <is>
          <t>AT1 - Agen Tangerang</t>
        </is>
      </c>
      <c r="D2139" s="1" t="inlineStr">
        <is>
          <t>OP07683</t>
        </is>
      </c>
      <c r="E2139" s="8" t="n">
        <v>45580.79166666666</v>
      </c>
      <c r="F2139" s="7" t="inlineStr">
        <is>
          <t>AGEN</t>
        </is>
      </c>
      <c r="G2139" s="18" t="inlineStr">
        <is>
          <t>OP15016</t>
        </is>
      </c>
      <c r="H2139" s="19">
        <f>UPPER(Table3[[#This Row],[Agen id]]&amp;"-"&amp;VLOOKUP(Table3[[#This Row],[Agen id]],A:B,2,0)&amp;"("&amp;Table3[[#This Row],[Short]]&amp;")")</f>
        <v/>
      </c>
      <c r="J2139" s="7">
        <f>VLOOKUP(Table3[[#This Row],[Agen id]],Agen!A:C,3,0)</f>
        <v/>
      </c>
      <c r="K2139" s="37">
        <f>TRIM(LEFT(Table3[[#This Row],[Group]],2))</f>
        <v/>
      </c>
      <c r="L2139" s="3" t="inlineStr">
        <is>
          <t>NON SALES</t>
        </is>
      </c>
    </row>
    <row r="2140">
      <c r="A2140" s="5" t="inlineStr">
        <is>
          <t>OP15029</t>
        </is>
      </c>
      <c r="B2140" s="6" t="inlineStr">
        <is>
          <t>Fah Badar</t>
        </is>
      </c>
      <c r="C2140" s="7" t="inlineStr">
        <is>
          <t>AV - Agen Verified</t>
        </is>
      </c>
      <c r="D2140" s="1" t="inlineStr">
        <is>
          <t>OP00003</t>
        </is>
      </c>
      <c r="E2140" s="8" t="n">
        <v>45581.92986111111</v>
      </c>
      <c r="F2140" s="7" t="inlineStr">
        <is>
          <t>AGEN</t>
        </is>
      </c>
      <c r="G2140" s="18" t="inlineStr">
        <is>
          <t>OP15029</t>
        </is>
      </c>
      <c r="H2140" s="19">
        <f>UPPER(Table3[[#This Row],[Agen id]]&amp;"-"&amp;VLOOKUP(Table3[[#This Row],[Agen id]],A:B,2,0)&amp;"("&amp;Table3[[#This Row],[Short]]&amp;")")</f>
        <v/>
      </c>
      <c r="J2140" s="7">
        <f>VLOOKUP(Table3[[#This Row],[Agen id]],Agen!A:C,3,0)</f>
        <v/>
      </c>
      <c r="K2140" s="37">
        <f>TRIM(LEFT(Table3[[#This Row],[Group]],2))</f>
        <v/>
      </c>
      <c r="L2140" s="3" t="inlineStr">
        <is>
          <t>NON SALES</t>
        </is>
      </c>
    </row>
    <row r="2141">
      <c r="A2141" s="5" t="inlineStr">
        <is>
          <t>OP15054</t>
        </is>
      </c>
      <c r="B2141" s="6" t="inlineStr">
        <is>
          <t>adynda ayu</t>
        </is>
      </c>
      <c r="C2141" s="7" t="inlineStr">
        <is>
          <t>A - Agen</t>
        </is>
      </c>
      <c r="D2141" s="1" t="inlineStr">
        <is>
          <t>OP00002</t>
        </is>
      </c>
      <c r="E2141" s="8" t="n">
        <v>45583.7</v>
      </c>
      <c r="F2141" s="7" t="inlineStr">
        <is>
          <t>AGEN</t>
        </is>
      </c>
      <c r="G2141" s="18" t="inlineStr">
        <is>
          <t>OP15054</t>
        </is>
      </c>
      <c r="H2141" s="19">
        <f>UPPER(Table3[[#This Row],[Agen id]]&amp;"-"&amp;VLOOKUP(Table3[[#This Row],[Agen id]],A:B,2,0)&amp;"("&amp;Table3[[#This Row],[Short]]&amp;")")</f>
        <v/>
      </c>
      <c r="J2141" s="7">
        <f>VLOOKUP(Table3[[#This Row],[Agen id]],Agen!A:C,3,0)</f>
        <v/>
      </c>
      <c r="K2141" s="37">
        <f>TRIM(LEFT(Table3[[#This Row],[Group]],2))</f>
        <v/>
      </c>
      <c r="L2141" s="3" t="inlineStr">
        <is>
          <t>NON SALES</t>
        </is>
      </c>
    </row>
    <row r="2142">
      <c r="A2142" s="5" t="inlineStr">
        <is>
          <t>OP15065</t>
        </is>
      </c>
      <c r="B2142" s="6" t="inlineStr">
        <is>
          <t>Ilham Irwan</t>
        </is>
      </c>
      <c r="C2142" s="7" t="inlineStr">
        <is>
          <t>AV - Agen Verified</t>
        </is>
      </c>
      <c r="D2142" s="1" t="inlineStr">
        <is>
          <t>OP15029</t>
        </is>
      </c>
      <c r="E2142" s="8" t="n">
        <v>45584.64583333334</v>
      </c>
      <c r="F2142" s="7" t="inlineStr">
        <is>
          <t>DOWNLINE</t>
        </is>
      </c>
      <c r="G2142" s="18" t="inlineStr">
        <is>
          <t>OP15029</t>
        </is>
      </c>
      <c r="H2142" s="19">
        <f>UPPER(Table3[[#This Row],[Agen id]]&amp;"-"&amp;VLOOKUP(Table3[[#This Row],[Agen id]],A:B,2,0)&amp;"("&amp;Table3[[#This Row],[Short]]&amp;")")</f>
        <v/>
      </c>
      <c r="J2142" s="7">
        <f>VLOOKUP(Table3[[#This Row],[Agen id]],Agen!A:C,3,0)</f>
        <v/>
      </c>
      <c r="K2142" s="37">
        <f>TRIM(LEFT(Table3[[#This Row],[Group]],2))</f>
        <v/>
      </c>
      <c r="L2142" s="3" t="inlineStr">
        <is>
          <t>NON SALES</t>
        </is>
      </c>
    </row>
    <row r="2143">
      <c r="A2143" s="5" t="inlineStr">
        <is>
          <t>OP15071</t>
        </is>
      </c>
      <c r="B2143" s="6" t="inlineStr">
        <is>
          <t>Ina</t>
        </is>
      </c>
      <c r="C2143" s="7" t="inlineStr">
        <is>
          <t>A - Agen</t>
        </is>
      </c>
      <c r="D2143" s="1" t="inlineStr">
        <is>
          <t>OP00002</t>
        </is>
      </c>
      <c r="E2143" s="8" t="n">
        <v>45585.52083333334</v>
      </c>
      <c r="F2143" s="7" t="inlineStr">
        <is>
          <t>AGEN</t>
        </is>
      </c>
      <c r="G2143" s="18" t="inlineStr">
        <is>
          <t>OP15071</t>
        </is>
      </c>
      <c r="H2143" s="19">
        <f>UPPER(Table3[[#This Row],[Agen id]]&amp;"-"&amp;VLOOKUP(Table3[[#This Row],[Agen id]],A:B,2,0)&amp;"("&amp;Table3[[#This Row],[Short]]&amp;")")</f>
        <v/>
      </c>
      <c r="J2143" s="7">
        <f>VLOOKUP(Table3[[#This Row],[Agen id]],Agen!A:C,3,0)</f>
        <v/>
      </c>
      <c r="K2143" s="37">
        <f>TRIM(LEFT(Table3[[#This Row],[Group]],2))</f>
        <v/>
      </c>
      <c r="L2143" s="3" t="inlineStr">
        <is>
          <t>NON SALES</t>
        </is>
      </c>
    </row>
    <row r="2144">
      <c r="A2144" s="5" t="inlineStr">
        <is>
          <t>OP15072</t>
        </is>
      </c>
      <c r="B2144" s="6" t="inlineStr">
        <is>
          <t>Nur rochim</t>
        </is>
      </c>
      <c r="C2144" s="7" t="inlineStr">
        <is>
          <t>A - Agen</t>
        </is>
      </c>
      <c r="D2144" s="1" t="inlineStr">
        <is>
          <t>OP07413</t>
        </is>
      </c>
      <c r="E2144" s="8" t="n">
        <v>45585.58819444444</v>
      </c>
      <c r="F2144" s="7" t="inlineStr">
        <is>
          <t>DOWNLINE</t>
        </is>
      </c>
      <c r="G2144" s="18" t="inlineStr">
        <is>
          <t>OP07413</t>
        </is>
      </c>
      <c r="H2144" s="19">
        <f>UPPER(Table3[[#This Row],[Agen id]]&amp;"-"&amp;VLOOKUP(Table3[[#This Row],[Agen id]],A:B,2,0)&amp;"("&amp;Table3[[#This Row],[Short]]&amp;")")</f>
        <v/>
      </c>
      <c r="J2144" s="7">
        <f>VLOOKUP(Table3[[#This Row],[Agen id]],Agen!A:C,3,0)</f>
        <v/>
      </c>
      <c r="K2144" s="37">
        <f>TRIM(LEFT(Table3[[#This Row],[Group]],2))</f>
        <v/>
      </c>
      <c r="L2144" s="3" t="inlineStr">
        <is>
          <t>NON SALES</t>
        </is>
      </c>
    </row>
    <row r="2145">
      <c r="A2145" s="5" t="inlineStr">
        <is>
          <t>OP15074</t>
        </is>
      </c>
      <c r="B2145" s="6" t="inlineStr">
        <is>
          <t>junaidi</t>
        </is>
      </c>
      <c r="C2145" s="7" t="inlineStr">
        <is>
          <t>A - Agen</t>
        </is>
      </c>
      <c r="D2145" s="1" t="inlineStr">
        <is>
          <t>OP00002</t>
        </is>
      </c>
      <c r="E2145" s="8" t="n">
        <v>45585.72708333333</v>
      </c>
      <c r="F2145" s="7" t="inlineStr">
        <is>
          <t>AGEN</t>
        </is>
      </c>
      <c r="G2145" s="18" t="inlineStr">
        <is>
          <t>OP15074</t>
        </is>
      </c>
      <c r="H2145" s="19">
        <f>UPPER(Table3[[#This Row],[Agen id]]&amp;"-"&amp;VLOOKUP(Table3[[#This Row],[Agen id]],A:B,2,0)&amp;"("&amp;Table3[[#This Row],[Short]]&amp;")")</f>
        <v/>
      </c>
      <c r="J2145" s="7">
        <f>VLOOKUP(Table3[[#This Row],[Agen id]],Agen!A:C,3,0)</f>
        <v/>
      </c>
      <c r="K2145" s="37">
        <f>TRIM(LEFT(Table3[[#This Row],[Group]],2))</f>
        <v/>
      </c>
      <c r="L2145" s="3" t="inlineStr">
        <is>
          <t>NON SALES</t>
        </is>
      </c>
    </row>
    <row r="2146">
      <c r="A2146" s="5" t="inlineStr">
        <is>
          <t>OP15121</t>
        </is>
      </c>
      <c r="B2146" s="6" t="inlineStr">
        <is>
          <t>Vstore Tech</t>
        </is>
      </c>
      <c r="C2146" s="7" t="inlineStr">
        <is>
          <t>A - Agen</t>
        </is>
      </c>
      <c r="D2146" s="1" t="inlineStr">
        <is>
          <t>OP00002</t>
        </is>
      </c>
      <c r="E2146" s="8" t="n">
        <v>45589.34652777778</v>
      </c>
      <c r="F2146" s="7" t="inlineStr">
        <is>
          <t>AGEN</t>
        </is>
      </c>
      <c r="G2146" s="18" t="inlineStr">
        <is>
          <t>OP15121</t>
        </is>
      </c>
      <c r="H2146" s="19">
        <f>UPPER(Table3[[#This Row],[Agen id]]&amp;"-"&amp;VLOOKUP(Table3[[#This Row],[Agen id]],A:B,2,0)&amp;"("&amp;Table3[[#This Row],[Short]]&amp;")")</f>
        <v/>
      </c>
      <c r="J2146" s="7">
        <f>VLOOKUP(Table3[[#This Row],[Agen id]],Agen!A:C,3,0)</f>
        <v/>
      </c>
      <c r="K2146" s="37">
        <f>TRIM(LEFT(Table3[[#This Row],[Group]],2))</f>
        <v/>
      </c>
      <c r="L2146" s="3" t="inlineStr">
        <is>
          <t>NON SALES</t>
        </is>
      </c>
    </row>
    <row r="2147">
      <c r="A2147" s="5" t="inlineStr">
        <is>
          <t>OP15123</t>
        </is>
      </c>
      <c r="B2147" s="6" t="inlineStr">
        <is>
          <t>Azizah</t>
        </is>
      </c>
      <c r="C2147" s="7" t="inlineStr">
        <is>
          <t>A - Agen</t>
        </is>
      </c>
      <c r="D2147" s="1" t="inlineStr">
        <is>
          <t>OP00002</t>
        </is>
      </c>
      <c r="E2147" s="8" t="n">
        <v>45589.43472222222</v>
      </c>
      <c r="F2147" s="7" t="inlineStr">
        <is>
          <t>AGEN</t>
        </is>
      </c>
      <c r="G2147" s="18" t="inlineStr">
        <is>
          <t>OP15123</t>
        </is>
      </c>
      <c r="H2147" s="19">
        <f>UPPER(Table3[[#This Row],[Agen id]]&amp;"-"&amp;VLOOKUP(Table3[[#This Row],[Agen id]],A:B,2,0)&amp;"("&amp;Table3[[#This Row],[Short]]&amp;")")</f>
        <v/>
      </c>
      <c r="J2147" s="7">
        <f>VLOOKUP(Table3[[#This Row],[Agen id]],Agen!A:C,3,0)</f>
        <v/>
      </c>
      <c r="K2147" s="37">
        <f>TRIM(LEFT(Table3[[#This Row],[Group]],2))</f>
        <v/>
      </c>
      <c r="L2147" s="3" t="inlineStr">
        <is>
          <t>NON SALES</t>
        </is>
      </c>
    </row>
    <row r="2148">
      <c r="A2148" s="5" t="inlineStr">
        <is>
          <t>OP15124</t>
        </is>
      </c>
      <c r="B2148" s="6" t="inlineStr">
        <is>
          <t>salya</t>
        </is>
      </c>
      <c r="C2148" s="7" t="inlineStr">
        <is>
          <t>AV - Agen Verified</t>
        </is>
      </c>
      <c r="D2148" s="1" t="inlineStr">
        <is>
          <t>OP11804</t>
        </is>
      </c>
      <c r="E2148" s="8" t="n">
        <v>45589.44513888889</v>
      </c>
      <c r="F2148" s="7" t="inlineStr">
        <is>
          <t>DOWNLINE</t>
        </is>
      </c>
      <c r="G2148" s="22" t="inlineStr">
        <is>
          <t>OP11804</t>
        </is>
      </c>
      <c r="H2148" s="19">
        <f>UPPER(Table3[[#This Row],[Agen id]]&amp;"-"&amp;VLOOKUP(Table3[[#This Row],[Agen id]],A:B,2,0)&amp;"("&amp;Table3[[#This Row],[Short]]&amp;")")</f>
        <v/>
      </c>
      <c r="J2148" s="7">
        <f>VLOOKUP(Table3[[#This Row],[Agen id]],Agen!A:C,3,0)</f>
        <v/>
      </c>
      <c r="K2148" s="37">
        <f>TRIM(LEFT(Table3[[#This Row],[Group]],2))</f>
        <v/>
      </c>
      <c r="L2148" s="3" t="inlineStr">
        <is>
          <t>NON SALES</t>
        </is>
      </c>
    </row>
    <row r="2149">
      <c r="A2149" s="5" t="inlineStr">
        <is>
          <t>OP15132</t>
        </is>
      </c>
      <c r="B2149" s="6" t="inlineStr">
        <is>
          <t>Muhammad Risman</t>
        </is>
      </c>
      <c r="C2149" s="7" t="inlineStr">
        <is>
          <t>A - Agen</t>
        </is>
      </c>
      <c r="D2149" s="1" t="inlineStr">
        <is>
          <t>OP00002</t>
        </is>
      </c>
      <c r="E2149" s="8" t="n">
        <v>45590.25</v>
      </c>
      <c r="F2149" s="7" t="inlineStr">
        <is>
          <t>AGEN</t>
        </is>
      </c>
      <c r="G2149" s="18" t="inlineStr">
        <is>
          <t>OP15132</t>
        </is>
      </c>
      <c r="H2149" s="19">
        <f>UPPER(Table3[[#This Row],[Agen id]]&amp;"-"&amp;VLOOKUP(Table3[[#This Row],[Agen id]],A:B,2,0)&amp;"("&amp;Table3[[#This Row],[Short]]&amp;")")</f>
        <v/>
      </c>
      <c r="J2149" s="7">
        <f>VLOOKUP(Table3[[#This Row],[Agen id]],Agen!A:C,3,0)</f>
        <v/>
      </c>
      <c r="K2149" s="37">
        <f>TRIM(LEFT(Table3[[#This Row],[Group]],2))</f>
        <v/>
      </c>
      <c r="L2149" s="3" t="inlineStr">
        <is>
          <t>NON SALES</t>
        </is>
      </c>
    </row>
    <row r="2150">
      <c r="A2150" s="5" t="inlineStr">
        <is>
          <t>OP15148</t>
        </is>
      </c>
      <c r="B2150" s="6" t="inlineStr">
        <is>
          <t>Kores Apam</t>
        </is>
      </c>
      <c r="C2150" s="7" t="inlineStr">
        <is>
          <t>A - Agen</t>
        </is>
      </c>
      <c r="D2150" s="1" t="inlineStr">
        <is>
          <t>OP00051</t>
        </is>
      </c>
      <c r="E2150" s="8" t="n">
        <v>45590.80347222222</v>
      </c>
      <c r="F2150" s="7" t="inlineStr">
        <is>
          <t>DOWNLINE</t>
        </is>
      </c>
      <c r="G2150" s="18" t="inlineStr">
        <is>
          <t>OP00051</t>
        </is>
      </c>
      <c r="H2150" s="19">
        <f>UPPER(Table3[[#This Row],[Agen id]]&amp;"-"&amp;VLOOKUP(Table3[[#This Row],[Agen id]],A:B,2,0)&amp;"("&amp;Table3[[#This Row],[Short]]&amp;")")</f>
        <v/>
      </c>
      <c r="J2150" s="7">
        <f>VLOOKUP(Table3[[#This Row],[Agen id]],Agen!A:C,3,0)</f>
        <v/>
      </c>
      <c r="K2150" s="37">
        <f>TRIM(LEFT(Table3[[#This Row],[Group]],2))</f>
        <v/>
      </c>
      <c r="L2150" s="3" t="inlineStr">
        <is>
          <t>NON SALES</t>
        </is>
      </c>
    </row>
    <row r="2151">
      <c r="A2151" s="5" t="inlineStr">
        <is>
          <t>OP15149</t>
        </is>
      </c>
      <c r="B2151" s="6" t="inlineStr">
        <is>
          <t>Royan</t>
        </is>
      </c>
      <c r="C2151" s="7" t="inlineStr">
        <is>
          <t>AV - Agen Verified</t>
        </is>
      </c>
      <c r="D2151" s="1" t="inlineStr">
        <is>
          <t>OP00002</t>
        </is>
      </c>
      <c r="E2151" s="8" t="n">
        <v>45590.83125</v>
      </c>
      <c r="F2151" s="7" t="inlineStr">
        <is>
          <t>AGEN</t>
        </is>
      </c>
      <c r="G2151" s="18" t="inlineStr">
        <is>
          <t>OP15149</t>
        </is>
      </c>
      <c r="H2151" s="19">
        <f>UPPER(Table3[[#This Row],[Agen id]]&amp;"-"&amp;VLOOKUP(Table3[[#This Row],[Agen id]],A:B,2,0)&amp;"("&amp;Table3[[#This Row],[Short]]&amp;")")</f>
        <v/>
      </c>
      <c r="J2151" s="7">
        <f>VLOOKUP(Table3[[#This Row],[Agen id]],Agen!A:C,3,0)</f>
        <v/>
      </c>
      <c r="K2151" s="37">
        <f>TRIM(LEFT(Table3[[#This Row],[Group]],2))</f>
        <v/>
      </c>
      <c r="L2151" s="3" t="inlineStr">
        <is>
          <t>NON SALES</t>
        </is>
      </c>
    </row>
    <row r="2152">
      <c r="A2152" s="5" t="inlineStr">
        <is>
          <t>OP15171</t>
        </is>
      </c>
      <c r="B2152" s="6" t="inlineStr">
        <is>
          <t>Eko Bogum</t>
        </is>
      </c>
      <c r="C2152" s="7" t="inlineStr">
        <is>
          <t>A - Agen</t>
        </is>
      </c>
      <c r="D2152" s="1" t="inlineStr">
        <is>
          <t>OP00655</t>
        </is>
      </c>
      <c r="E2152" s="8" t="n">
        <v>45592.65555555555</v>
      </c>
      <c r="F2152" s="7" t="inlineStr">
        <is>
          <t>DOWNLINE</t>
        </is>
      </c>
      <c r="G2152" s="18" t="inlineStr">
        <is>
          <t>OP00049</t>
        </is>
      </c>
      <c r="H2152" s="19">
        <f>UPPER(Table3[[#This Row],[Agen id]]&amp;"-"&amp;VLOOKUP(Table3[[#This Row],[Agen id]],A:B,2,0)&amp;"("&amp;Table3[[#This Row],[Short]]&amp;")")</f>
        <v/>
      </c>
      <c r="J2152" s="7">
        <f>VLOOKUP(Table3[[#This Row],[Agen id]],Agen!A:C,3,0)</f>
        <v/>
      </c>
      <c r="K2152" s="37">
        <f>TRIM(LEFT(Table3[[#This Row],[Group]],2))</f>
        <v/>
      </c>
      <c r="L2152" s="3" t="inlineStr">
        <is>
          <t>NON SALES</t>
        </is>
      </c>
    </row>
    <row r="2153">
      <c r="A2153" s="5" t="inlineStr">
        <is>
          <t>OP15172</t>
        </is>
      </c>
      <c r="B2153" s="6" t="inlineStr">
        <is>
          <t>saudi ponsel</t>
        </is>
      </c>
      <c r="C2153" s="7" t="inlineStr">
        <is>
          <t>AV - Agen Verified</t>
        </is>
      </c>
      <c r="D2153" s="1" t="inlineStr">
        <is>
          <t>OP03216</t>
        </is>
      </c>
      <c r="E2153" s="8" t="n">
        <v>45592.69305555556</v>
      </c>
      <c r="F2153" s="7" t="inlineStr">
        <is>
          <t>DOWNLINE</t>
        </is>
      </c>
      <c r="G2153" s="18" t="inlineStr">
        <is>
          <t>OP00049</t>
        </is>
      </c>
      <c r="H2153" s="19">
        <f>UPPER(Table3[[#This Row],[Agen id]]&amp;"-"&amp;VLOOKUP(Table3[[#This Row],[Agen id]],A:B,2,0)&amp;"("&amp;Table3[[#This Row],[Short]]&amp;")")</f>
        <v/>
      </c>
      <c r="J2153" s="7">
        <f>VLOOKUP(Table3[[#This Row],[Agen id]],Agen!A:C,3,0)</f>
        <v/>
      </c>
      <c r="K2153" s="37">
        <f>TRIM(LEFT(Table3[[#This Row],[Group]],2))</f>
        <v/>
      </c>
      <c r="L2153" s="3" t="inlineStr">
        <is>
          <t>NON SALES</t>
        </is>
      </c>
    </row>
    <row r="2154">
      <c r="A2154" s="5" t="inlineStr">
        <is>
          <t>OP15175</t>
        </is>
      </c>
      <c r="B2154" s="6" t="inlineStr">
        <is>
          <t>Edi edds</t>
        </is>
      </c>
      <c r="C2154" s="7" t="inlineStr">
        <is>
          <t>A - Agen</t>
        </is>
      </c>
      <c r="D2154" s="1" t="inlineStr">
        <is>
          <t>OP00002</t>
        </is>
      </c>
      <c r="E2154" s="8" t="n">
        <v>45592.72152777778</v>
      </c>
      <c r="F2154" s="7" t="inlineStr">
        <is>
          <t>AGEN</t>
        </is>
      </c>
      <c r="G2154" s="18" t="inlineStr">
        <is>
          <t>OP15175</t>
        </is>
      </c>
      <c r="H2154" s="19">
        <f>UPPER(Table3[[#This Row],[Agen id]]&amp;"-"&amp;VLOOKUP(Table3[[#This Row],[Agen id]],A:B,2,0)&amp;"("&amp;Table3[[#This Row],[Short]]&amp;")")</f>
        <v/>
      </c>
      <c r="J2154" s="7">
        <f>VLOOKUP(Table3[[#This Row],[Agen id]],Agen!A:C,3,0)</f>
        <v/>
      </c>
      <c r="K2154" s="37">
        <f>TRIM(LEFT(Table3[[#This Row],[Group]],2))</f>
        <v/>
      </c>
      <c r="L2154" s="3" t="inlineStr">
        <is>
          <t>NON SALES</t>
        </is>
      </c>
    </row>
    <row r="2155">
      <c r="A2155" s="5" t="inlineStr">
        <is>
          <t>OP15176</t>
        </is>
      </c>
      <c r="B2155" s="6" t="inlineStr">
        <is>
          <t>Tiara kumala sari</t>
        </is>
      </c>
      <c r="C2155" s="7" t="inlineStr">
        <is>
          <t>AV - Agen Verified</t>
        </is>
      </c>
      <c r="D2155" s="1" t="inlineStr">
        <is>
          <t>OP00002</t>
        </is>
      </c>
      <c r="E2155" s="8" t="n">
        <v>45592.73888888889</v>
      </c>
      <c r="F2155" s="7" t="inlineStr">
        <is>
          <t>AGEN</t>
        </is>
      </c>
      <c r="G2155" s="18" t="inlineStr">
        <is>
          <t>OP15176</t>
        </is>
      </c>
      <c r="H2155" s="19">
        <f>UPPER(Table3[[#This Row],[Agen id]]&amp;"-"&amp;VLOOKUP(Table3[[#This Row],[Agen id]],A:B,2,0)&amp;"("&amp;Table3[[#This Row],[Short]]&amp;")")</f>
        <v/>
      </c>
      <c r="J2155" s="7">
        <f>VLOOKUP(Table3[[#This Row],[Agen id]],Agen!A:C,3,0)</f>
        <v/>
      </c>
      <c r="K2155" s="37">
        <f>TRIM(LEFT(Table3[[#This Row],[Group]],2))</f>
        <v/>
      </c>
      <c r="L2155" s="3" t="inlineStr">
        <is>
          <t>NON SALES</t>
        </is>
      </c>
    </row>
    <row r="2156">
      <c r="A2156" s="5" t="inlineStr">
        <is>
          <t>OP15179</t>
        </is>
      </c>
      <c r="B2156" s="6" t="inlineStr">
        <is>
          <t>ERWALDIANSYAH SILALAHI</t>
        </is>
      </c>
      <c r="C2156" s="7" t="inlineStr">
        <is>
          <t>A - Agen</t>
        </is>
      </c>
      <c r="D2156" s="1" t="inlineStr">
        <is>
          <t>OP00002</t>
        </is>
      </c>
      <c r="E2156" s="8" t="n">
        <v>45593.08402777778</v>
      </c>
      <c r="F2156" s="7" t="inlineStr">
        <is>
          <t>AGEN</t>
        </is>
      </c>
      <c r="G2156" s="18" t="inlineStr">
        <is>
          <t>OP15179</t>
        </is>
      </c>
      <c r="H2156" s="19">
        <f>UPPER(Table3[[#This Row],[Agen id]]&amp;"-"&amp;VLOOKUP(Table3[[#This Row],[Agen id]],A:B,2,0)&amp;"("&amp;Table3[[#This Row],[Short]]&amp;")")</f>
        <v/>
      </c>
      <c r="J2156" s="7">
        <f>VLOOKUP(Table3[[#This Row],[Agen id]],Agen!A:C,3,0)</f>
        <v/>
      </c>
      <c r="K2156" s="37">
        <f>TRIM(LEFT(Table3[[#This Row],[Group]],2))</f>
        <v/>
      </c>
      <c r="L2156" s="3" t="inlineStr">
        <is>
          <t>NON SALES</t>
        </is>
      </c>
    </row>
    <row r="2157">
      <c r="A2157" s="5" t="inlineStr">
        <is>
          <t>OP15189</t>
        </is>
      </c>
      <c r="B2157" s="6" t="inlineStr">
        <is>
          <t>NurlinPitaan</t>
        </is>
      </c>
      <c r="C2157" s="7" t="inlineStr">
        <is>
          <t>A - Agen</t>
        </is>
      </c>
      <c r="D2157" s="1" t="inlineStr">
        <is>
          <t>OP00236</t>
        </is>
      </c>
      <c r="E2157" s="8" t="n">
        <v>45594.11736111111</v>
      </c>
      <c r="F2157" s="7" t="inlineStr">
        <is>
          <t>DOWNLINE</t>
        </is>
      </c>
      <c r="G2157" s="18" t="inlineStr">
        <is>
          <t>OP00236</t>
        </is>
      </c>
      <c r="H2157" s="19">
        <f>UPPER(Table3[[#This Row],[Agen id]]&amp;"-"&amp;VLOOKUP(Table3[[#This Row],[Agen id]],A:B,2,0)&amp;"("&amp;Table3[[#This Row],[Short]]&amp;")")</f>
        <v/>
      </c>
      <c r="J2157" s="7">
        <f>VLOOKUP(Table3[[#This Row],[Agen id]],Agen!A:C,3,0)</f>
        <v/>
      </c>
      <c r="K2157" s="37">
        <f>TRIM(LEFT(Table3[[#This Row],[Group]],2))</f>
        <v/>
      </c>
      <c r="L2157" s="3" t="inlineStr">
        <is>
          <t>NON SALES</t>
        </is>
      </c>
    </row>
    <row r="2158">
      <c r="A2158" s="5" t="inlineStr">
        <is>
          <t>OP15195</t>
        </is>
      </c>
      <c r="B2158" s="6" t="inlineStr">
        <is>
          <t>Dina</t>
        </is>
      </c>
      <c r="C2158" s="7" t="inlineStr">
        <is>
          <t>A - Agen</t>
        </is>
      </c>
      <c r="D2158" s="1" t="inlineStr">
        <is>
          <t>OP00615</t>
        </is>
      </c>
      <c r="E2158" s="8" t="n">
        <v>45594.59930555556</v>
      </c>
      <c r="F2158" s="7" t="inlineStr">
        <is>
          <t>DOWNLINE</t>
        </is>
      </c>
      <c r="G2158" s="18" t="inlineStr">
        <is>
          <t>OP00049</t>
        </is>
      </c>
      <c r="H2158" s="19">
        <f>UPPER(Table3[[#This Row],[Agen id]]&amp;"-"&amp;VLOOKUP(Table3[[#This Row],[Agen id]],A:B,2,0)&amp;"("&amp;Table3[[#This Row],[Short]]&amp;")")</f>
        <v/>
      </c>
      <c r="J2158" s="7">
        <f>VLOOKUP(Table3[[#This Row],[Agen id]],Agen!A:C,3,0)</f>
        <v/>
      </c>
      <c r="K2158" s="37">
        <f>TRIM(LEFT(Table3[[#This Row],[Group]],2))</f>
        <v/>
      </c>
      <c r="L2158" s="3" t="inlineStr">
        <is>
          <t>NON SALES</t>
        </is>
      </c>
    </row>
    <row r="2159">
      <c r="A2159" s="5" t="inlineStr">
        <is>
          <t>OP15198</t>
        </is>
      </c>
      <c r="B2159" s="6" t="inlineStr">
        <is>
          <t>Imanuel</t>
        </is>
      </c>
      <c r="C2159" s="7" t="inlineStr">
        <is>
          <t>A - Agen</t>
        </is>
      </c>
      <c r="D2159" s="1" t="inlineStr">
        <is>
          <t>OP00002</t>
        </is>
      </c>
      <c r="E2159" s="8" t="n">
        <v>45594.75972222222</v>
      </c>
      <c r="F2159" s="7" t="inlineStr">
        <is>
          <t>AGEN</t>
        </is>
      </c>
      <c r="G2159" s="18" t="inlineStr">
        <is>
          <t>OP15198</t>
        </is>
      </c>
      <c r="H2159" s="19">
        <f>UPPER(Table3[[#This Row],[Agen id]]&amp;"-"&amp;VLOOKUP(Table3[[#This Row],[Agen id]],A:B,2,0)&amp;"("&amp;Table3[[#This Row],[Short]]&amp;")")</f>
        <v/>
      </c>
      <c r="J2159" s="7">
        <f>VLOOKUP(Table3[[#This Row],[Agen id]],Agen!A:C,3,0)</f>
        <v/>
      </c>
      <c r="K2159" s="37">
        <f>TRIM(LEFT(Table3[[#This Row],[Group]],2))</f>
        <v/>
      </c>
      <c r="L2159" s="3" t="inlineStr">
        <is>
          <t>NON SALES</t>
        </is>
      </c>
    </row>
    <row r="2160">
      <c r="A2160" s="5" t="inlineStr">
        <is>
          <t>OP15207</t>
        </is>
      </c>
      <c r="B2160" s="6" t="inlineStr">
        <is>
          <t>kusuma Cell</t>
        </is>
      </c>
      <c r="C2160" s="7" t="inlineStr">
        <is>
          <t>AB1 - Agen Kab Bogor</t>
        </is>
      </c>
      <c r="D2160" s="1" t="inlineStr">
        <is>
          <t>OP08206</t>
        </is>
      </c>
      <c r="E2160" s="8" t="n">
        <v>45597.41736111111</v>
      </c>
      <c r="F2160" s="7" t="inlineStr">
        <is>
          <t>DOWNLINE</t>
        </is>
      </c>
      <c r="G2160" s="18" t="inlineStr">
        <is>
          <t>OP08206</t>
        </is>
      </c>
      <c r="H2160" s="19">
        <f>UPPER(Table3[[#This Row],[Agen id]]&amp;"-"&amp;VLOOKUP(Table3[[#This Row],[Agen id]],A:B,2,0)&amp;"("&amp;Table3[[#This Row],[Short]]&amp;")")</f>
        <v/>
      </c>
      <c r="J2160" s="7">
        <f>VLOOKUP(Table3[[#This Row],[Agen id]],Agen!A:C,3,0)</f>
        <v/>
      </c>
      <c r="K2160" s="37">
        <f>TRIM(LEFT(Table3[[#This Row],[Group]],2))</f>
        <v/>
      </c>
      <c r="L2160" s="3" t="inlineStr">
        <is>
          <t>NON SALES</t>
        </is>
      </c>
    </row>
    <row r="2161">
      <c r="A2161" s="5" t="inlineStr">
        <is>
          <t>OP15210</t>
        </is>
      </c>
      <c r="B2161" s="6" t="inlineStr">
        <is>
          <t>pak E</t>
        </is>
      </c>
      <c r="C2161" s="7" t="inlineStr">
        <is>
          <t>AV - Agen Verified</t>
        </is>
      </c>
      <c r="D2161" s="1" t="inlineStr">
        <is>
          <t>OP13466</t>
        </is>
      </c>
      <c r="E2161" s="8" t="n">
        <v>45598.58680555555</v>
      </c>
      <c r="F2161" s="7" t="inlineStr">
        <is>
          <t>DOWNLINE</t>
        </is>
      </c>
      <c r="G2161" s="18" t="inlineStr">
        <is>
          <t>OP13466</t>
        </is>
      </c>
      <c r="H2161" s="19">
        <f>UPPER(Table3[[#This Row],[Agen id]]&amp;"-"&amp;VLOOKUP(Table3[[#This Row],[Agen id]],A:B,2,0)&amp;"("&amp;Table3[[#This Row],[Short]]&amp;")")</f>
        <v/>
      </c>
      <c r="J2161" s="7">
        <f>VLOOKUP(Table3[[#This Row],[Agen id]],Agen!A:C,3,0)</f>
        <v/>
      </c>
      <c r="K2161" s="37">
        <f>TRIM(LEFT(Table3[[#This Row],[Group]],2))</f>
        <v/>
      </c>
      <c r="L2161" s="3" t="inlineStr">
        <is>
          <t>NON SALES</t>
        </is>
      </c>
    </row>
    <row r="2162">
      <c r="A2162" s="5" t="inlineStr">
        <is>
          <t>OP15214</t>
        </is>
      </c>
      <c r="B2162" s="6" t="inlineStr">
        <is>
          <t>TOKO DINDA 2</t>
        </is>
      </c>
      <c r="C2162" s="7" t="inlineStr">
        <is>
          <t>AV - Agen Verified</t>
        </is>
      </c>
      <c r="D2162" s="1" t="inlineStr">
        <is>
          <t>OP07683</t>
        </is>
      </c>
      <c r="E2162" s="8" t="n">
        <v>45600.81041666667</v>
      </c>
      <c r="F2162" s="7" t="inlineStr">
        <is>
          <t>AGEN</t>
        </is>
      </c>
      <c r="G2162" s="18" t="inlineStr">
        <is>
          <t>OP15214</t>
        </is>
      </c>
      <c r="H2162" s="19">
        <f>UPPER(Table3[[#This Row],[Agen id]]&amp;"-"&amp;VLOOKUP(Table3[[#This Row],[Agen id]],A:B,2,0)&amp;"("&amp;Table3[[#This Row],[Short]]&amp;")")</f>
        <v/>
      </c>
      <c r="J2162" s="7">
        <f>VLOOKUP(Table3[[#This Row],[Agen id]],Agen!A:C,3,0)</f>
        <v/>
      </c>
      <c r="K2162" s="37">
        <f>TRIM(LEFT(Table3[[#This Row],[Group]],2))</f>
        <v/>
      </c>
      <c r="L2162" s="3" t="inlineStr">
        <is>
          <t>NON SALES</t>
        </is>
      </c>
    </row>
    <row r="2163">
      <c r="A2163" s="5" t="inlineStr">
        <is>
          <t>OP15215</t>
        </is>
      </c>
      <c r="B2163" s="6" t="inlineStr">
        <is>
          <t>IN CELL</t>
        </is>
      </c>
      <c r="C2163" s="7" t="inlineStr">
        <is>
          <t>AT1 - Agen Tangerang</t>
        </is>
      </c>
      <c r="D2163" s="1" t="inlineStr">
        <is>
          <t>OP07683</t>
        </is>
      </c>
      <c r="E2163" s="8" t="n">
        <v>45600.90069444444</v>
      </c>
      <c r="F2163" s="7" t="inlineStr">
        <is>
          <t>AGEN</t>
        </is>
      </c>
      <c r="G2163" s="18" t="inlineStr">
        <is>
          <t>OP15215</t>
        </is>
      </c>
      <c r="H2163" s="19">
        <f>UPPER(Table3[[#This Row],[Agen id]]&amp;"-"&amp;VLOOKUP(Table3[[#This Row],[Agen id]],A:B,2,0)&amp;"("&amp;Table3[[#This Row],[Short]]&amp;")")</f>
        <v/>
      </c>
      <c r="J2163" s="7">
        <f>VLOOKUP(Table3[[#This Row],[Agen id]],Agen!A:C,3,0)</f>
        <v/>
      </c>
      <c r="K2163" s="37">
        <f>TRIM(LEFT(Table3[[#This Row],[Group]],2))</f>
        <v/>
      </c>
      <c r="L2163" s="3" t="inlineStr">
        <is>
          <t>NON SALES</t>
        </is>
      </c>
    </row>
    <row r="2164">
      <c r="A2164" s="5" t="inlineStr">
        <is>
          <t>OP15241</t>
        </is>
      </c>
      <c r="B2164" s="6" t="inlineStr">
        <is>
          <t>TOKO YON 2</t>
        </is>
      </c>
      <c r="C2164" s="7" t="inlineStr">
        <is>
          <t>AT1 - Agen Tangerang</t>
        </is>
      </c>
      <c r="D2164" s="1" t="inlineStr">
        <is>
          <t>OP07683</t>
        </is>
      </c>
      <c r="E2164" s="8" t="n">
        <v>45602.81458333333</v>
      </c>
      <c r="F2164" s="7" t="inlineStr">
        <is>
          <t>AGEN</t>
        </is>
      </c>
      <c r="G2164" s="18" t="inlineStr">
        <is>
          <t>OP15241</t>
        </is>
      </c>
      <c r="H2164" s="19">
        <f>UPPER(Table3[[#This Row],[Agen id]]&amp;"-"&amp;VLOOKUP(Table3[[#This Row],[Agen id]],A:B,2,0)&amp;"("&amp;Table3[[#This Row],[Short]]&amp;")")</f>
        <v/>
      </c>
      <c r="J2164" s="7">
        <f>VLOOKUP(Table3[[#This Row],[Agen id]],Agen!A:C,3,0)</f>
        <v/>
      </c>
      <c r="K2164" s="37">
        <f>TRIM(LEFT(Table3[[#This Row],[Group]],2))</f>
        <v/>
      </c>
      <c r="L2164" s="3" t="inlineStr">
        <is>
          <t>NON SALES</t>
        </is>
      </c>
    </row>
    <row r="2165">
      <c r="A2165" s="5" t="inlineStr">
        <is>
          <t>OP15251</t>
        </is>
      </c>
      <c r="B2165" s="6" t="inlineStr">
        <is>
          <t>Desi Luspiana</t>
        </is>
      </c>
      <c r="C2165" s="7" t="inlineStr">
        <is>
          <t>AV - Agen Verified</t>
        </is>
      </c>
      <c r="D2165" s="1" t="inlineStr">
        <is>
          <t>OP00002</t>
        </is>
      </c>
      <c r="E2165" s="8" t="n">
        <v>45603.41666666666</v>
      </c>
      <c r="F2165" s="7" t="inlineStr">
        <is>
          <t>AGEN</t>
        </is>
      </c>
      <c r="G2165" s="18" t="inlineStr">
        <is>
          <t>OP15251</t>
        </is>
      </c>
      <c r="H2165" s="19">
        <f>UPPER(Table3[[#This Row],[Agen id]]&amp;"-"&amp;VLOOKUP(Table3[[#This Row],[Agen id]],A:B,2,0)&amp;"("&amp;Table3[[#This Row],[Short]]&amp;")")</f>
        <v/>
      </c>
      <c r="J2165" s="7">
        <f>VLOOKUP(Table3[[#This Row],[Agen id]],Agen!A:C,3,0)</f>
        <v/>
      </c>
      <c r="K2165" s="37">
        <f>TRIM(LEFT(Table3[[#This Row],[Group]],2))</f>
        <v/>
      </c>
      <c r="L2165" s="3" t="inlineStr">
        <is>
          <t>NON SALES</t>
        </is>
      </c>
    </row>
    <row r="2166">
      <c r="A2166" s="5" t="inlineStr">
        <is>
          <t>OP15254</t>
        </is>
      </c>
      <c r="B2166" s="6" t="inlineStr">
        <is>
          <t>Waluyo</t>
        </is>
      </c>
      <c r="C2166" s="7" t="inlineStr">
        <is>
          <t>AV - Agen Verified</t>
        </is>
      </c>
      <c r="D2166" s="1" t="inlineStr">
        <is>
          <t>OP00002</t>
        </is>
      </c>
      <c r="E2166" s="8" t="n">
        <v>45603.54375</v>
      </c>
      <c r="F2166" s="7" t="inlineStr">
        <is>
          <t>AGEN</t>
        </is>
      </c>
      <c r="G2166" s="18" t="inlineStr">
        <is>
          <t>OP15254</t>
        </is>
      </c>
      <c r="H2166" s="19">
        <f>UPPER(Table3[[#This Row],[Agen id]]&amp;"-"&amp;VLOOKUP(Table3[[#This Row],[Agen id]],A:B,2,0)&amp;"("&amp;Table3[[#This Row],[Short]]&amp;")")</f>
        <v/>
      </c>
      <c r="J2166" s="7">
        <f>VLOOKUP(Table3[[#This Row],[Agen id]],Agen!A:C,3,0)</f>
        <v/>
      </c>
      <c r="K2166" s="37">
        <f>TRIM(LEFT(Table3[[#This Row],[Group]],2))</f>
        <v/>
      </c>
      <c r="L2166" s="3" t="inlineStr">
        <is>
          <t>NON SALES</t>
        </is>
      </c>
    </row>
    <row r="2167">
      <c r="A2167" s="5" t="inlineStr">
        <is>
          <t>OP15278</t>
        </is>
      </c>
      <c r="B2167" s="6" t="inlineStr">
        <is>
          <t>Azizah Cell</t>
        </is>
      </c>
      <c r="C2167" s="7" t="inlineStr">
        <is>
          <t>A - Agen</t>
        </is>
      </c>
      <c r="D2167" s="1" t="inlineStr">
        <is>
          <t>OP13882</t>
        </is>
      </c>
      <c r="E2167" s="8" t="n">
        <v>45604.70416666667</v>
      </c>
      <c r="F2167" s="7" t="inlineStr">
        <is>
          <t>DOWNLINE</t>
        </is>
      </c>
      <c r="G2167" s="18" t="inlineStr">
        <is>
          <t>OP10941</t>
        </is>
      </c>
      <c r="H2167" s="19">
        <f>UPPER(Table3[[#This Row],[Agen id]]&amp;"-"&amp;VLOOKUP(Table3[[#This Row],[Agen id]],A:B,2,0)&amp;"("&amp;Table3[[#This Row],[Short]]&amp;")")</f>
        <v/>
      </c>
      <c r="J2167" s="7">
        <f>VLOOKUP(Table3[[#This Row],[Agen id]],Agen!A:C,3,0)</f>
        <v/>
      </c>
      <c r="K2167" s="37">
        <f>TRIM(LEFT(Table3[[#This Row],[Group]],2))</f>
        <v/>
      </c>
      <c r="L2167" s="3" t="inlineStr">
        <is>
          <t>NON SALES</t>
        </is>
      </c>
    </row>
    <row r="2168">
      <c r="A2168" s="5" t="inlineStr">
        <is>
          <t>OP15331</t>
        </is>
      </c>
      <c r="B2168" s="6" t="inlineStr">
        <is>
          <t>Gohavi</t>
        </is>
      </c>
      <c r="C2168" s="7" t="inlineStr">
        <is>
          <t>AV - Agen Verified</t>
        </is>
      </c>
      <c r="D2168" s="1" t="inlineStr">
        <is>
          <t>OP00002</t>
        </is>
      </c>
      <c r="E2168" s="8" t="n">
        <v>45606.76736111111</v>
      </c>
      <c r="F2168" s="7" t="inlineStr">
        <is>
          <t>AGEN</t>
        </is>
      </c>
      <c r="G2168" s="18" t="inlineStr">
        <is>
          <t>OP15331</t>
        </is>
      </c>
      <c r="H2168" s="19">
        <f>UPPER(Table3[[#This Row],[Agen id]]&amp;"-"&amp;VLOOKUP(Table3[[#This Row],[Agen id]],A:B,2,0)&amp;"("&amp;Table3[[#This Row],[Short]]&amp;")")</f>
        <v/>
      </c>
      <c r="J2168" s="7">
        <f>VLOOKUP(Table3[[#This Row],[Agen id]],Agen!A:C,3,0)</f>
        <v/>
      </c>
      <c r="K2168" s="37">
        <f>TRIM(LEFT(Table3[[#This Row],[Group]],2))</f>
        <v/>
      </c>
      <c r="L2168" s="3" t="inlineStr">
        <is>
          <t>NON SALES</t>
        </is>
      </c>
    </row>
    <row r="2169">
      <c r="A2169" s="5" t="inlineStr">
        <is>
          <t>OP15351</t>
        </is>
      </c>
      <c r="B2169" s="6" t="inlineStr">
        <is>
          <t>WARUNG5758</t>
        </is>
      </c>
      <c r="C2169" s="7" t="inlineStr">
        <is>
          <t>AT1 - Agen Tangerang</t>
        </is>
      </c>
      <c r="D2169" s="1" t="inlineStr">
        <is>
          <t>OP07683</t>
        </is>
      </c>
      <c r="E2169" s="8" t="n">
        <v>45607.85277777778</v>
      </c>
      <c r="F2169" s="7" t="inlineStr">
        <is>
          <t>AGEN</t>
        </is>
      </c>
      <c r="G2169" s="18" t="inlineStr">
        <is>
          <t>OP15351</t>
        </is>
      </c>
      <c r="H2169" s="19">
        <f>UPPER(Table3[[#This Row],[Agen id]]&amp;"-"&amp;VLOOKUP(Table3[[#This Row],[Agen id]],A:B,2,0)&amp;"("&amp;Table3[[#This Row],[Short]]&amp;")")</f>
        <v/>
      </c>
      <c r="J2169" s="7">
        <f>VLOOKUP(Table3[[#This Row],[Agen id]],Agen!A:C,3,0)</f>
        <v/>
      </c>
      <c r="K2169" s="37">
        <f>TRIM(LEFT(Table3[[#This Row],[Group]],2))</f>
        <v/>
      </c>
      <c r="L2169" s="3" t="inlineStr">
        <is>
          <t>NON SALES</t>
        </is>
      </c>
    </row>
    <row r="2170">
      <c r="A2170" s="5" t="inlineStr">
        <is>
          <t>OP15359</t>
        </is>
      </c>
      <c r="B2170" s="6" t="inlineStr">
        <is>
          <t>Safrida</t>
        </is>
      </c>
      <c r="C2170" s="7" t="inlineStr">
        <is>
          <t>A - Agen</t>
        </is>
      </c>
      <c r="D2170" s="1" t="inlineStr">
        <is>
          <t>OP00002</t>
        </is>
      </c>
      <c r="E2170" s="8" t="n">
        <v>45608.30486111111</v>
      </c>
      <c r="F2170" s="7" t="inlineStr">
        <is>
          <t>AGEN</t>
        </is>
      </c>
      <c r="G2170" s="18" t="inlineStr">
        <is>
          <t>OP15359</t>
        </is>
      </c>
      <c r="H2170" s="19">
        <f>UPPER(Table3[[#This Row],[Agen id]]&amp;"-"&amp;VLOOKUP(Table3[[#This Row],[Agen id]],A:B,2,0)&amp;"("&amp;Table3[[#This Row],[Short]]&amp;")")</f>
        <v/>
      </c>
      <c r="J2170" s="7">
        <f>VLOOKUP(Table3[[#This Row],[Agen id]],Agen!A:C,3,0)</f>
        <v/>
      </c>
      <c r="K2170" s="37">
        <f>TRIM(LEFT(Table3[[#This Row],[Group]],2))</f>
        <v/>
      </c>
      <c r="L2170" s="3" t="inlineStr">
        <is>
          <t>NON SALES</t>
        </is>
      </c>
    </row>
    <row r="2171">
      <c r="A2171" s="5" t="inlineStr">
        <is>
          <t>OP15370</t>
        </is>
      </c>
      <c r="B2171" s="6" t="inlineStr">
        <is>
          <t>Silpiana dewi</t>
        </is>
      </c>
      <c r="C2171" s="7" t="inlineStr">
        <is>
          <t>AT1 - Agen Tangerang</t>
        </is>
      </c>
      <c r="D2171" s="1" t="inlineStr">
        <is>
          <t>OP07683</t>
        </is>
      </c>
      <c r="E2171" s="8" t="n">
        <v>45608.85416666666</v>
      </c>
      <c r="F2171" s="7" t="inlineStr">
        <is>
          <t>AGEN</t>
        </is>
      </c>
      <c r="G2171" s="18" t="inlineStr">
        <is>
          <t>OP15370</t>
        </is>
      </c>
      <c r="H2171" s="19">
        <f>UPPER(Table3[[#This Row],[Agen id]]&amp;"-"&amp;VLOOKUP(Table3[[#This Row],[Agen id]],A:B,2,0)&amp;"("&amp;Table3[[#This Row],[Short]]&amp;")")</f>
        <v/>
      </c>
      <c r="J2171" s="7">
        <f>VLOOKUP(Table3[[#This Row],[Agen id]],Agen!A:C,3,0)</f>
        <v/>
      </c>
      <c r="K2171" s="37">
        <f>TRIM(LEFT(Table3[[#This Row],[Group]],2))</f>
        <v/>
      </c>
      <c r="L2171" s="3" t="inlineStr">
        <is>
          <t>NON SALES</t>
        </is>
      </c>
    </row>
    <row r="2172">
      <c r="A2172" s="5" t="inlineStr">
        <is>
          <t>OP15378</t>
        </is>
      </c>
      <c r="B2172" s="6" t="inlineStr">
        <is>
          <t>Wilona</t>
        </is>
      </c>
      <c r="C2172" s="7" t="inlineStr">
        <is>
          <t>A - Agen</t>
        </is>
      </c>
      <c r="D2172" s="1" t="inlineStr">
        <is>
          <t>OP00002</t>
        </is>
      </c>
      <c r="E2172" s="8" t="n">
        <v>45609.75</v>
      </c>
      <c r="F2172" s="7" t="inlineStr">
        <is>
          <t>AGEN</t>
        </is>
      </c>
      <c r="G2172" s="18" t="inlineStr">
        <is>
          <t>OP15378</t>
        </is>
      </c>
      <c r="H2172" s="19">
        <f>UPPER(Table3[[#This Row],[Agen id]]&amp;"-"&amp;VLOOKUP(Table3[[#This Row],[Agen id]],A:B,2,0)&amp;"("&amp;Table3[[#This Row],[Short]]&amp;")")</f>
        <v/>
      </c>
      <c r="J2172" s="7">
        <f>VLOOKUP(Table3[[#This Row],[Agen id]],Agen!A:C,3,0)</f>
        <v/>
      </c>
      <c r="K2172" s="37">
        <f>TRIM(LEFT(Table3[[#This Row],[Group]],2))</f>
        <v/>
      </c>
      <c r="L2172" s="3" t="inlineStr">
        <is>
          <t>NON SALES</t>
        </is>
      </c>
    </row>
    <row r="2173">
      <c r="A2173" s="5" t="inlineStr">
        <is>
          <t>OP15384</t>
        </is>
      </c>
      <c r="B2173" s="6" t="inlineStr">
        <is>
          <t>Herna</t>
        </is>
      </c>
      <c r="C2173" s="7" t="inlineStr">
        <is>
          <t>A - Agen</t>
        </is>
      </c>
      <c r="D2173" s="1" t="inlineStr">
        <is>
          <t>OP00002</t>
        </is>
      </c>
      <c r="E2173" s="8" t="n">
        <v>45609.83194444444</v>
      </c>
      <c r="F2173" s="7" t="inlineStr">
        <is>
          <t>AGEN</t>
        </is>
      </c>
      <c r="G2173" s="18" t="inlineStr">
        <is>
          <t>OP15384</t>
        </is>
      </c>
      <c r="H2173" s="19">
        <f>UPPER(Table3[[#This Row],[Agen id]]&amp;"-"&amp;VLOOKUP(Table3[[#This Row],[Agen id]],A:B,2,0)&amp;"("&amp;Table3[[#This Row],[Short]]&amp;")")</f>
        <v/>
      </c>
      <c r="J2173" s="7">
        <f>VLOOKUP(Table3[[#This Row],[Agen id]],Agen!A:C,3,0)</f>
        <v/>
      </c>
      <c r="K2173" s="37">
        <f>TRIM(LEFT(Table3[[#This Row],[Group]],2))</f>
        <v/>
      </c>
      <c r="L2173" s="3" t="inlineStr">
        <is>
          <t>NON SALES</t>
        </is>
      </c>
    </row>
    <row r="2174">
      <c r="A2174" s="5" t="inlineStr">
        <is>
          <t>OP15396</t>
        </is>
      </c>
      <c r="B2174" s="6" t="inlineStr">
        <is>
          <t>JEECEEL</t>
        </is>
      </c>
      <c r="C2174" s="7" t="inlineStr">
        <is>
          <t>MK - Marketing</t>
        </is>
      </c>
      <c r="D2174" s="1" t="inlineStr">
        <is>
          <t>OP07683</t>
        </is>
      </c>
      <c r="E2174" s="8" t="n">
        <v>45610.5375</v>
      </c>
      <c r="F2174" s="7" t="inlineStr">
        <is>
          <t>AGEN</t>
        </is>
      </c>
      <c r="G2174" s="18" t="inlineStr">
        <is>
          <t>OP15396</t>
        </is>
      </c>
      <c r="H2174" s="19">
        <f>UPPER(Table3[[#This Row],[Agen id]]&amp;"-"&amp;VLOOKUP(Table3[[#This Row],[Agen id]],A:B,2,0)&amp;"("&amp;Table3[[#This Row],[Short]]&amp;")")</f>
        <v/>
      </c>
      <c r="J2174" s="7">
        <f>VLOOKUP(Table3[[#This Row],[Agen id]],Agen!A:C,3,0)</f>
        <v/>
      </c>
      <c r="K2174" s="37">
        <f>TRIM(LEFT(Table3[[#This Row],[Group]],2))</f>
        <v/>
      </c>
      <c r="L2174" s="3" t="inlineStr">
        <is>
          <t>NON SALES</t>
        </is>
      </c>
    </row>
    <row r="2175">
      <c r="A2175" s="5" t="inlineStr">
        <is>
          <t>OP15429</t>
        </is>
      </c>
      <c r="B2175" s="6" t="inlineStr">
        <is>
          <t>Mbak Ciput Cell</t>
        </is>
      </c>
      <c r="C2175" s="7" t="inlineStr">
        <is>
          <t>AV - Agen Verified</t>
        </is>
      </c>
      <c r="D2175" s="1" t="inlineStr">
        <is>
          <t>OP00002</t>
        </is>
      </c>
      <c r="E2175" s="8" t="n">
        <v>45611.75208333333</v>
      </c>
      <c r="F2175" s="7" t="inlineStr">
        <is>
          <t>AGEN</t>
        </is>
      </c>
      <c r="G2175" s="18" t="inlineStr">
        <is>
          <t>OP15429</t>
        </is>
      </c>
      <c r="H2175" s="19">
        <f>UPPER(Table3[[#This Row],[Agen id]]&amp;"-"&amp;VLOOKUP(Table3[[#This Row],[Agen id]],A:B,2,0)&amp;"("&amp;Table3[[#This Row],[Short]]&amp;")")</f>
        <v/>
      </c>
      <c r="J2175" s="7">
        <f>VLOOKUP(Table3[[#This Row],[Agen id]],Agen!A:C,3,0)</f>
        <v/>
      </c>
      <c r="K2175" s="37">
        <f>TRIM(LEFT(Table3[[#This Row],[Group]],2))</f>
        <v/>
      </c>
      <c r="L2175" s="3" t="inlineStr">
        <is>
          <t>NON SALES</t>
        </is>
      </c>
    </row>
    <row r="2176">
      <c r="A2176" s="5" t="inlineStr">
        <is>
          <t>OP15442</t>
        </is>
      </c>
      <c r="B2176" s="6" t="inlineStr">
        <is>
          <t>TOKO DINDA 3</t>
        </is>
      </c>
      <c r="C2176" s="7" t="inlineStr">
        <is>
          <t>AT1 - Agen Tangerang</t>
        </is>
      </c>
      <c r="D2176" s="1" t="inlineStr">
        <is>
          <t>OP07683</t>
        </is>
      </c>
      <c r="E2176" s="8" t="n">
        <v>45612.65416666667</v>
      </c>
      <c r="F2176" s="7" t="inlineStr">
        <is>
          <t>AGEN</t>
        </is>
      </c>
      <c r="G2176" s="18" t="inlineStr">
        <is>
          <t>OP15442</t>
        </is>
      </c>
      <c r="H2176" s="19">
        <f>UPPER(Table3[[#This Row],[Agen id]]&amp;"-"&amp;VLOOKUP(Table3[[#This Row],[Agen id]],A:B,2,0)&amp;"("&amp;Table3[[#This Row],[Short]]&amp;")")</f>
        <v/>
      </c>
      <c r="J2176" s="7">
        <f>VLOOKUP(Table3[[#This Row],[Agen id]],Agen!A:C,3,0)</f>
        <v/>
      </c>
      <c r="K2176" s="37">
        <f>TRIM(LEFT(Table3[[#This Row],[Group]],2))</f>
        <v/>
      </c>
      <c r="L2176" s="3" t="inlineStr">
        <is>
          <t>NON SALES</t>
        </is>
      </c>
    </row>
    <row r="2177">
      <c r="A2177" s="5" t="inlineStr">
        <is>
          <t>OP15463</t>
        </is>
      </c>
      <c r="B2177" s="6" t="inlineStr">
        <is>
          <t>FARACELL</t>
        </is>
      </c>
      <c r="C2177" s="7" t="inlineStr">
        <is>
          <t>AV - Agen Verified</t>
        </is>
      </c>
      <c r="D2177" s="1" t="inlineStr">
        <is>
          <t>OP01054</t>
        </is>
      </c>
      <c r="E2177" s="8" t="n">
        <v>45613.86597222222</v>
      </c>
      <c r="F2177" s="7" t="inlineStr">
        <is>
          <t>DOWNLINE</t>
        </is>
      </c>
      <c r="G2177" s="22" t="inlineStr">
        <is>
          <t>OP01054</t>
        </is>
      </c>
      <c r="H2177" s="19">
        <f>UPPER(Table3[[#This Row],[Agen id]]&amp;"-"&amp;VLOOKUP(Table3[[#This Row],[Agen id]],A:B,2,0)&amp;"("&amp;Table3[[#This Row],[Short]]&amp;")")</f>
        <v/>
      </c>
      <c r="J2177" s="7">
        <f>VLOOKUP(Table3[[#This Row],[Agen id]],Agen!A:C,3,0)</f>
        <v/>
      </c>
      <c r="K2177" s="37">
        <f>TRIM(LEFT(Table3[[#This Row],[Group]],2))</f>
        <v/>
      </c>
      <c r="L2177" s="3" t="inlineStr">
        <is>
          <t>NON SALES</t>
        </is>
      </c>
    </row>
    <row r="2178">
      <c r="A2178" s="5" t="inlineStr">
        <is>
          <t>OP15541</t>
        </is>
      </c>
      <c r="B2178" s="6" t="inlineStr">
        <is>
          <t>Borneo</t>
        </is>
      </c>
      <c r="C2178" s="7" t="inlineStr">
        <is>
          <t>AV - Agen Verified</t>
        </is>
      </c>
      <c r="D2178" s="1" t="inlineStr">
        <is>
          <t>OP13466</t>
        </is>
      </c>
      <c r="E2178" s="8" t="n">
        <v>45618.32847222222</v>
      </c>
      <c r="F2178" s="7" t="inlineStr">
        <is>
          <t>DOWNLINE</t>
        </is>
      </c>
      <c r="G2178" s="18" t="inlineStr">
        <is>
          <t>OP13466</t>
        </is>
      </c>
      <c r="H2178" s="19">
        <f>UPPER(Table3[[#This Row],[Agen id]]&amp;"-"&amp;VLOOKUP(Table3[[#This Row],[Agen id]],A:B,2,0)&amp;"("&amp;Table3[[#This Row],[Short]]&amp;")")</f>
        <v/>
      </c>
      <c r="J2178" s="7">
        <f>VLOOKUP(Table3[[#This Row],[Agen id]],Agen!A:C,3,0)</f>
        <v/>
      </c>
      <c r="K2178" s="37">
        <f>TRIM(LEFT(Table3[[#This Row],[Group]],2))</f>
        <v/>
      </c>
      <c r="L2178" s="3" t="inlineStr">
        <is>
          <t>NON SALES</t>
        </is>
      </c>
    </row>
    <row r="2179">
      <c r="A2179" s="5" t="inlineStr">
        <is>
          <t>OP15555</t>
        </is>
      </c>
      <c r="B2179" s="6" t="inlineStr">
        <is>
          <t>Mawa</t>
        </is>
      </c>
      <c r="C2179" s="7" t="inlineStr">
        <is>
          <t>A - Agen</t>
        </is>
      </c>
      <c r="D2179" s="1" t="inlineStr">
        <is>
          <t>OP04946</t>
        </is>
      </c>
      <c r="E2179" s="8" t="n">
        <v>45619.73888888889</v>
      </c>
      <c r="F2179" s="7" t="inlineStr">
        <is>
          <t>DOWNLINE</t>
        </is>
      </c>
      <c r="G2179" s="18" t="inlineStr">
        <is>
          <t>OP00996</t>
        </is>
      </c>
      <c r="H2179" s="19">
        <f>UPPER(Table3[[#This Row],[Agen id]]&amp;"-"&amp;VLOOKUP(Table3[[#This Row],[Agen id]],A:B,2,0)&amp;"("&amp;Table3[[#This Row],[Short]]&amp;")")</f>
        <v/>
      </c>
      <c r="J2179" s="7">
        <f>VLOOKUP(Table3[[#This Row],[Agen id]],Agen!A:C,3,0)</f>
        <v/>
      </c>
      <c r="K2179" s="37">
        <f>TRIM(LEFT(Table3[[#This Row],[Group]],2))</f>
        <v/>
      </c>
      <c r="L2179" s="3" t="inlineStr">
        <is>
          <t>NON SALES</t>
        </is>
      </c>
    </row>
    <row r="2180">
      <c r="A2180" s="5" t="inlineStr">
        <is>
          <t>OP15569</t>
        </is>
      </c>
      <c r="B2180" s="6" t="inlineStr">
        <is>
          <t>Anis</t>
        </is>
      </c>
      <c r="C2180" s="7" t="inlineStr">
        <is>
          <t>A - Agen</t>
        </is>
      </c>
      <c r="D2180" s="1" t="inlineStr">
        <is>
          <t>OP00891</t>
        </is>
      </c>
      <c r="E2180" s="8" t="n">
        <v>45620.57222222222</v>
      </c>
      <c r="F2180" s="7" t="inlineStr">
        <is>
          <t>DOWNLINE</t>
        </is>
      </c>
      <c r="G2180" s="22" t="inlineStr">
        <is>
          <t>OP00891</t>
        </is>
      </c>
      <c r="H2180" s="19">
        <f>UPPER(Table3[[#This Row],[Agen id]]&amp;"-"&amp;VLOOKUP(Table3[[#This Row],[Agen id]],A:B,2,0)&amp;"("&amp;Table3[[#This Row],[Short]]&amp;")")</f>
        <v/>
      </c>
      <c r="J2180" s="7">
        <f>VLOOKUP(Table3[[#This Row],[Agen id]],Agen!A:C,3,0)</f>
        <v/>
      </c>
      <c r="K2180" s="37">
        <f>TRIM(LEFT(Table3[[#This Row],[Group]],2))</f>
        <v/>
      </c>
      <c r="L2180" s="3" t="inlineStr">
        <is>
          <t>NON SALES</t>
        </is>
      </c>
    </row>
    <row r="2181">
      <c r="A2181" s="5" t="inlineStr">
        <is>
          <t>OP15578</t>
        </is>
      </c>
      <c r="B2181" s="6" t="inlineStr">
        <is>
          <t>GADGET FLASH CELL</t>
        </is>
      </c>
      <c r="C2181" s="7" t="inlineStr">
        <is>
          <t>AT1 - Agen Tangerang</t>
        </is>
      </c>
      <c r="D2181" s="1" t="inlineStr">
        <is>
          <t>OP07683</t>
        </is>
      </c>
      <c r="E2181" s="8" t="n">
        <v>45620.93263888889</v>
      </c>
      <c r="F2181" s="7" t="inlineStr">
        <is>
          <t>AGEN</t>
        </is>
      </c>
      <c r="G2181" s="7" t="inlineStr">
        <is>
          <t>OP15578</t>
        </is>
      </c>
      <c r="H2181" s="19">
        <f>UPPER(Table3[[#This Row],[Agen id]]&amp;"-"&amp;VLOOKUP(Table3[[#This Row],[Agen id]],A:B,2,0)&amp;"("&amp;Table3[[#This Row],[Short]]&amp;")")</f>
        <v/>
      </c>
      <c r="J2181" s="7">
        <f>VLOOKUP(Table3[[#This Row],[Agen id]],Agen!A:C,3,0)</f>
        <v/>
      </c>
      <c r="K2181" s="37">
        <f>TRIM(LEFT(Table3[[#This Row],[Group]],2))</f>
        <v/>
      </c>
      <c r="L2181" s="3" t="inlineStr">
        <is>
          <t>NON SALES</t>
        </is>
      </c>
    </row>
    <row r="2182">
      <c r="A2182" s="5" t="inlineStr">
        <is>
          <t>OP15587</t>
        </is>
      </c>
      <c r="B2182" s="6" t="inlineStr">
        <is>
          <t>Nurjiatil Isma</t>
        </is>
      </c>
      <c r="C2182" s="7" t="inlineStr">
        <is>
          <t>AV - Agen Verified</t>
        </is>
      </c>
      <c r="D2182" s="1" t="inlineStr">
        <is>
          <t>OP03146</t>
        </is>
      </c>
      <c r="E2182" s="8" t="n">
        <v>45621.80833333333</v>
      </c>
      <c r="F2182" s="7" t="inlineStr">
        <is>
          <t>DOWNLINE</t>
        </is>
      </c>
      <c r="G2182" s="22" t="inlineStr">
        <is>
          <t>OP03146</t>
        </is>
      </c>
      <c r="H2182" s="19">
        <f>UPPER(Table3[[#This Row],[Agen id]]&amp;"-"&amp;VLOOKUP(Table3[[#This Row],[Agen id]],A:B,2,0)&amp;"("&amp;Table3[[#This Row],[Short]]&amp;")")</f>
        <v/>
      </c>
      <c r="J2182" s="7">
        <f>VLOOKUP(Table3[[#This Row],[Agen id]],Agen!A:C,3,0)</f>
        <v/>
      </c>
      <c r="K2182" s="37">
        <f>TRIM(LEFT(Table3[[#This Row],[Group]],2))</f>
        <v/>
      </c>
      <c r="L2182" s="3" t="inlineStr">
        <is>
          <t>NON SALES</t>
        </is>
      </c>
    </row>
    <row r="2183">
      <c r="A2183" s="5" t="inlineStr">
        <is>
          <t>OP15658</t>
        </is>
      </c>
      <c r="B2183" s="6" t="inlineStr">
        <is>
          <t>BAHLUL CELL</t>
        </is>
      </c>
      <c r="C2183" s="7" t="inlineStr">
        <is>
          <t>AV - Agen Verified</t>
        </is>
      </c>
      <c r="D2183" s="1" t="inlineStr">
        <is>
          <t>OP00002</t>
        </is>
      </c>
      <c r="E2183" s="8" t="n">
        <v>45625.52986111111</v>
      </c>
      <c r="F2183" s="7" t="inlineStr">
        <is>
          <t>AGEN</t>
        </is>
      </c>
      <c r="G2183" s="18" t="inlineStr">
        <is>
          <t>OP15658</t>
        </is>
      </c>
      <c r="H2183" s="19">
        <f>UPPER(Table3[[#This Row],[Agen id]]&amp;"-"&amp;VLOOKUP(Table3[[#This Row],[Agen id]],A:B,2,0)&amp;"("&amp;Table3[[#This Row],[Short]]&amp;")")</f>
        <v/>
      </c>
      <c r="J2183" s="7">
        <f>VLOOKUP(Table3[[#This Row],[Agen id]],Agen!A:C,3,0)</f>
        <v/>
      </c>
      <c r="K2183" s="37">
        <f>TRIM(LEFT(Table3[[#This Row],[Group]],2))</f>
        <v/>
      </c>
      <c r="L2183" s="3" t="inlineStr">
        <is>
          <t>NON SALES</t>
        </is>
      </c>
    </row>
    <row r="2184">
      <c r="A2184" s="5" t="inlineStr">
        <is>
          <t>OP15666</t>
        </is>
      </c>
      <c r="B2184" s="6" t="inlineStr">
        <is>
          <t>Yani</t>
        </is>
      </c>
      <c r="C2184" s="7" t="inlineStr">
        <is>
          <t>A - Agen</t>
        </is>
      </c>
      <c r="D2184" s="1" t="inlineStr">
        <is>
          <t>OP00891</t>
        </is>
      </c>
      <c r="E2184" s="8" t="n">
        <v>45627.7625</v>
      </c>
      <c r="F2184" s="7" t="inlineStr">
        <is>
          <t>DOWNLINE</t>
        </is>
      </c>
      <c r="G2184" s="22" t="inlineStr">
        <is>
          <t>OP00891</t>
        </is>
      </c>
      <c r="H2184" s="19">
        <f>UPPER(Table3[[#This Row],[Agen id]]&amp;"-"&amp;VLOOKUP(Table3[[#This Row],[Agen id]],A:B,2,0)&amp;"("&amp;Table3[[#This Row],[Short]]&amp;")")</f>
        <v/>
      </c>
      <c r="J2184" s="7">
        <f>VLOOKUP(Table3[[#This Row],[Agen id]],Agen!A:C,3,0)</f>
        <v/>
      </c>
      <c r="K2184" s="37">
        <f>TRIM(LEFT(Table3[[#This Row],[Group]],2))</f>
        <v/>
      </c>
      <c r="L2184" s="3" t="inlineStr">
        <is>
          <t>NON SALES</t>
        </is>
      </c>
    </row>
    <row r="2185">
      <c r="A2185" s="5" t="inlineStr">
        <is>
          <t>OP15667</t>
        </is>
      </c>
      <c r="B2185" s="6" t="inlineStr">
        <is>
          <t>Selviana noetef</t>
        </is>
      </c>
      <c r="C2185" s="7" t="inlineStr">
        <is>
          <t>AV - Agen Verified</t>
        </is>
      </c>
      <c r="D2185" s="1" t="inlineStr">
        <is>
          <t>OP03630</t>
        </is>
      </c>
      <c r="E2185" s="8" t="n">
        <v>45629.79652777778</v>
      </c>
      <c r="F2185" s="7" t="inlineStr">
        <is>
          <t>DOWNLINE</t>
        </is>
      </c>
      <c r="G2185" s="18" t="inlineStr">
        <is>
          <t>OP03630</t>
        </is>
      </c>
      <c r="H2185" s="19">
        <f>UPPER(Table3[[#This Row],[Agen id]]&amp;"-"&amp;VLOOKUP(Table3[[#This Row],[Agen id]],A:B,2,0)&amp;"("&amp;Table3[[#This Row],[Short]]&amp;")")</f>
        <v/>
      </c>
      <c r="J2185" s="7">
        <f>VLOOKUP(Table3[[#This Row],[Agen id]],Agen!A:C,3,0)</f>
        <v/>
      </c>
      <c r="K2185" s="37">
        <f>TRIM(LEFT(Table3[[#This Row],[Group]],2))</f>
        <v/>
      </c>
      <c r="L2185" s="3" t="inlineStr">
        <is>
          <t>NON SALES</t>
        </is>
      </c>
    </row>
    <row r="2186">
      <c r="A2186" s="5" t="inlineStr">
        <is>
          <t>OP15668</t>
        </is>
      </c>
      <c r="B2186" s="6" t="inlineStr">
        <is>
          <t>PATIMAH</t>
        </is>
      </c>
      <c r="C2186" s="7" t="inlineStr">
        <is>
          <t>AV - Agen Verified</t>
        </is>
      </c>
      <c r="D2186" s="1" t="inlineStr">
        <is>
          <t>OP00002</t>
        </is>
      </c>
      <c r="E2186" s="8" t="n">
        <v>45630.55</v>
      </c>
      <c r="F2186" s="7" t="inlineStr">
        <is>
          <t>AGEN</t>
        </is>
      </c>
      <c r="G2186" s="18" t="inlineStr">
        <is>
          <t>OP15668</t>
        </is>
      </c>
      <c r="H2186" s="19">
        <f>UPPER(Table3[[#This Row],[Agen id]]&amp;"-"&amp;VLOOKUP(Table3[[#This Row],[Agen id]],A:B,2,0)&amp;"("&amp;Table3[[#This Row],[Short]]&amp;")")</f>
        <v/>
      </c>
      <c r="J2186" s="7">
        <f>VLOOKUP(Table3[[#This Row],[Agen id]],Agen!A:C,3,0)</f>
        <v/>
      </c>
      <c r="K2186" s="37">
        <f>TRIM(LEFT(Table3[[#This Row],[Group]],2))</f>
        <v/>
      </c>
      <c r="L2186" s="3" t="inlineStr">
        <is>
          <t>NON SALES</t>
        </is>
      </c>
    </row>
    <row r="2187">
      <c r="A2187" s="5" t="inlineStr">
        <is>
          <t>OP15669</t>
        </is>
      </c>
      <c r="B2187" s="6" t="inlineStr">
        <is>
          <t>Sondang Irawati Silalahi</t>
        </is>
      </c>
      <c r="C2187" s="7" t="inlineStr">
        <is>
          <t>AV - Agen Verified</t>
        </is>
      </c>
      <c r="D2187" s="1" t="inlineStr">
        <is>
          <t>OP13615</t>
        </is>
      </c>
      <c r="E2187" s="8" t="n">
        <v>45630.69652777778</v>
      </c>
      <c r="F2187" s="7" t="inlineStr">
        <is>
          <t>DOWNLINE</t>
        </is>
      </c>
      <c r="G2187" s="18" t="inlineStr">
        <is>
          <t>OP01449</t>
        </is>
      </c>
      <c r="H2187" s="19">
        <f>UPPER(Table3[[#This Row],[Agen id]]&amp;"-"&amp;VLOOKUP(Table3[[#This Row],[Agen id]],A:B,2,0)&amp;"("&amp;Table3[[#This Row],[Short]]&amp;")")</f>
        <v/>
      </c>
      <c r="J2187" s="7">
        <f>VLOOKUP(Table3[[#This Row],[Agen id]],Agen!A:C,3,0)</f>
        <v/>
      </c>
      <c r="K2187" s="37">
        <f>TRIM(LEFT(Table3[[#This Row],[Group]],2))</f>
        <v/>
      </c>
      <c r="L2187" s="3" t="inlineStr">
        <is>
          <t>NON SALES</t>
        </is>
      </c>
    </row>
    <row r="2188">
      <c r="A2188" s="5" t="inlineStr">
        <is>
          <t>OP15742</t>
        </is>
      </c>
      <c r="B2188" s="6" t="inlineStr">
        <is>
          <t>Dina</t>
        </is>
      </c>
      <c r="C2188" s="7" t="inlineStr">
        <is>
          <t>AV - Agen Verified</t>
        </is>
      </c>
      <c r="D2188" s="1" t="inlineStr">
        <is>
          <t>OP14408</t>
        </is>
      </c>
      <c r="E2188" s="8" t="n">
        <v>45634.675</v>
      </c>
      <c r="F2188" s="7" t="inlineStr">
        <is>
          <t>DOWNLINE</t>
        </is>
      </c>
      <c r="G2188" s="18" t="inlineStr">
        <is>
          <t>OP07075</t>
        </is>
      </c>
      <c r="H2188" s="19">
        <f>UPPER(Table3[[#This Row],[Agen id]]&amp;"-"&amp;VLOOKUP(Table3[[#This Row],[Agen id]],A:B,2,0)&amp;"("&amp;Table3[[#This Row],[Short]]&amp;")")</f>
        <v/>
      </c>
      <c r="J2188" s="7">
        <f>VLOOKUP(Table3[[#This Row],[Agen id]],Agen!A:C,3,0)</f>
        <v/>
      </c>
      <c r="K2188" s="37">
        <f>TRIM(LEFT(Table3[[#This Row],[Group]],2))</f>
        <v/>
      </c>
      <c r="L2188" s="3" t="inlineStr">
        <is>
          <t>NON SALES</t>
        </is>
      </c>
    </row>
    <row r="2189">
      <c r="A2189" s="5" t="inlineStr">
        <is>
          <t>OP15777</t>
        </is>
      </c>
      <c r="B2189" s="6" t="inlineStr">
        <is>
          <t>suryani</t>
        </is>
      </c>
      <c r="C2189" s="7" t="inlineStr">
        <is>
          <t>AV - Agen Verified</t>
        </is>
      </c>
      <c r="D2189" s="1" t="inlineStr">
        <is>
          <t>OP13466</t>
        </is>
      </c>
      <c r="E2189" s="8" t="n">
        <v>45635.79027777778</v>
      </c>
      <c r="F2189" s="7" t="inlineStr">
        <is>
          <t>DOWNLINE</t>
        </is>
      </c>
      <c r="G2189" s="18" t="inlineStr">
        <is>
          <t>OP13466</t>
        </is>
      </c>
      <c r="H2189" s="19">
        <f>UPPER(Table3[[#This Row],[Agen id]]&amp;"-"&amp;VLOOKUP(Table3[[#This Row],[Agen id]],A:B,2,0)&amp;"("&amp;Table3[[#This Row],[Short]]&amp;")")</f>
        <v/>
      </c>
      <c r="J2189" s="7">
        <f>VLOOKUP(Table3[[#This Row],[Agen id]],Agen!A:C,3,0)</f>
        <v/>
      </c>
      <c r="K2189" s="37">
        <f>TRIM(LEFT(Table3[[#This Row],[Group]],2))</f>
        <v/>
      </c>
      <c r="L2189" s="3" t="inlineStr">
        <is>
          <t>NON SALES</t>
        </is>
      </c>
    </row>
    <row r="2190">
      <c r="A2190" s="5" t="inlineStr">
        <is>
          <t>OP15782</t>
        </is>
      </c>
      <c r="B2190" s="6" t="inlineStr">
        <is>
          <t>Aine cell</t>
        </is>
      </c>
      <c r="C2190" s="7" t="inlineStr">
        <is>
          <t>A - Agen</t>
        </is>
      </c>
      <c r="D2190" s="1" t="inlineStr">
        <is>
          <t>OP00002</t>
        </is>
      </c>
      <c r="E2190" s="8" t="n">
        <v>45635.84166666667</v>
      </c>
      <c r="F2190" s="7" t="inlineStr">
        <is>
          <t>AGEN</t>
        </is>
      </c>
      <c r="G2190" s="18" t="inlineStr">
        <is>
          <t>OP15782</t>
        </is>
      </c>
      <c r="H2190" s="19">
        <f>UPPER(Table3[[#This Row],[Agen id]]&amp;"-"&amp;VLOOKUP(Table3[[#This Row],[Agen id]],A:B,2,0)&amp;"("&amp;Table3[[#This Row],[Short]]&amp;")")</f>
        <v/>
      </c>
      <c r="J2190" s="7">
        <f>VLOOKUP(Table3[[#This Row],[Agen id]],Agen!A:C,3,0)</f>
        <v/>
      </c>
      <c r="K2190" s="37">
        <f>TRIM(LEFT(Table3[[#This Row],[Group]],2))</f>
        <v/>
      </c>
      <c r="L2190" s="3" t="inlineStr">
        <is>
          <t>NON SALES</t>
        </is>
      </c>
    </row>
    <row r="2191">
      <c r="A2191" s="5" t="inlineStr">
        <is>
          <t>OP15790</t>
        </is>
      </c>
      <c r="B2191" s="6" t="inlineStr">
        <is>
          <t>Bobeng</t>
        </is>
      </c>
      <c r="C2191" s="7" t="inlineStr">
        <is>
          <t>AV - Agen Verified</t>
        </is>
      </c>
      <c r="D2191" s="1" t="inlineStr">
        <is>
          <t>OP00002</t>
        </is>
      </c>
      <c r="E2191" s="8" t="n">
        <v>45635.87847222222</v>
      </c>
      <c r="F2191" s="7" t="inlineStr">
        <is>
          <t>AGEN</t>
        </is>
      </c>
      <c r="G2191" s="18" t="inlineStr">
        <is>
          <t>OP15790</t>
        </is>
      </c>
      <c r="H2191" s="19">
        <f>UPPER(Table3[[#This Row],[Agen id]]&amp;"-"&amp;VLOOKUP(Table3[[#This Row],[Agen id]],A:B,2,0)&amp;"("&amp;Table3[[#This Row],[Short]]&amp;")")</f>
        <v/>
      </c>
      <c r="J2191" s="7">
        <f>VLOOKUP(Table3[[#This Row],[Agen id]],Agen!A:C,3,0)</f>
        <v/>
      </c>
      <c r="K2191" s="37">
        <f>TRIM(LEFT(Table3[[#This Row],[Group]],2))</f>
        <v/>
      </c>
      <c r="L2191" s="3" t="inlineStr">
        <is>
          <t>NON SALES</t>
        </is>
      </c>
    </row>
    <row r="2192">
      <c r="A2192" s="5" t="inlineStr">
        <is>
          <t>OP15797</t>
        </is>
      </c>
      <c r="B2192" s="6" t="inlineStr">
        <is>
          <t>Sayu</t>
        </is>
      </c>
      <c r="C2192" s="7" t="inlineStr">
        <is>
          <t>A - Agen</t>
        </is>
      </c>
      <c r="D2192" s="1" t="inlineStr">
        <is>
          <t>OP00002</t>
        </is>
      </c>
      <c r="E2192" s="8" t="n">
        <v>45635.93263888889</v>
      </c>
      <c r="F2192" s="7" t="inlineStr">
        <is>
          <t>AGEN</t>
        </is>
      </c>
      <c r="G2192" s="18" t="inlineStr">
        <is>
          <t>OP15797</t>
        </is>
      </c>
      <c r="H2192" s="19">
        <f>UPPER(Table3[[#This Row],[Agen id]]&amp;"-"&amp;VLOOKUP(Table3[[#This Row],[Agen id]],A:B,2,0)&amp;"("&amp;Table3[[#This Row],[Short]]&amp;")")</f>
        <v/>
      </c>
      <c r="J2192" s="7">
        <f>VLOOKUP(Table3[[#This Row],[Agen id]],Agen!A:C,3,0)</f>
        <v/>
      </c>
      <c r="K2192" s="37">
        <f>TRIM(LEFT(Table3[[#This Row],[Group]],2))</f>
        <v/>
      </c>
      <c r="L2192" s="3" t="inlineStr">
        <is>
          <t>NON SALES</t>
        </is>
      </c>
    </row>
    <row r="2193">
      <c r="A2193" s="5" t="inlineStr">
        <is>
          <t>OP15807</t>
        </is>
      </c>
      <c r="B2193" s="6" t="inlineStr">
        <is>
          <t>Imam</t>
        </is>
      </c>
      <c r="C2193" s="7" t="inlineStr">
        <is>
          <t>A - Agen</t>
        </is>
      </c>
      <c r="D2193" s="1" t="inlineStr">
        <is>
          <t>OP00002</t>
        </is>
      </c>
      <c r="E2193" s="8" t="n">
        <v>45636.35902777778</v>
      </c>
      <c r="F2193" s="7" t="inlineStr">
        <is>
          <t>AGEN</t>
        </is>
      </c>
      <c r="G2193" s="18" t="inlineStr">
        <is>
          <t>OP15807</t>
        </is>
      </c>
      <c r="H2193" s="19">
        <f>UPPER(Table3[[#This Row],[Agen id]]&amp;"-"&amp;VLOOKUP(Table3[[#This Row],[Agen id]],A:B,2,0)&amp;"("&amp;Table3[[#This Row],[Short]]&amp;")")</f>
        <v/>
      </c>
      <c r="J2193" s="7">
        <f>VLOOKUP(Table3[[#This Row],[Agen id]],Agen!A:C,3,0)</f>
        <v/>
      </c>
      <c r="K2193" s="37">
        <f>TRIM(LEFT(Table3[[#This Row],[Group]],2))</f>
        <v/>
      </c>
      <c r="L2193" s="3" t="inlineStr">
        <is>
          <t>NON SALES</t>
        </is>
      </c>
    </row>
    <row r="2194">
      <c r="A2194" s="5" t="inlineStr">
        <is>
          <t>OP15841</t>
        </is>
      </c>
      <c r="B2194" s="6" t="inlineStr">
        <is>
          <t>Mamah Indra</t>
        </is>
      </c>
      <c r="C2194" s="7" t="inlineStr">
        <is>
          <t>AT1 - Agen Tangerang</t>
        </is>
      </c>
      <c r="D2194" s="1" t="inlineStr">
        <is>
          <t>OP07683</t>
        </is>
      </c>
      <c r="E2194" s="8" t="n">
        <v>45637.84791666667</v>
      </c>
      <c r="F2194" s="7" t="inlineStr">
        <is>
          <t>AGEN</t>
        </is>
      </c>
      <c r="G2194" s="18" t="inlineStr">
        <is>
          <t>OP15841</t>
        </is>
      </c>
      <c r="H2194" s="19">
        <f>UPPER(Table3[[#This Row],[Agen id]]&amp;"-"&amp;VLOOKUP(Table3[[#This Row],[Agen id]],A:B,2,0)&amp;"("&amp;Table3[[#This Row],[Short]]&amp;")")</f>
        <v/>
      </c>
      <c r="J2194" s="7">
        <f>VLOOKUP(Table3[[#This Row],[Agen id]],Agen!A:C,3,0)</f>
        <v/>
      </c>
      <c r="K2194" s="37">
        <f>TRIM(LEFT(Table3[[#This Row],[Group]],2))</f>
        <v/>
      </c>
      <c r="L2194" s="3" t="inlineStr">
        <is>
          <t>NON SALES</t>
        </is>
      </c>
    </row>
    <row r="2195">
      <c r="A2195" s="5" t="inlineStr">
        <is>
          <t>OP15853</t>
        </is>
      </c>
      <c r="B2195" s="6" t="inlineStr">
        <is>
          <t>Mustika</t>
        </is>
      </c>
      <c r="C2195" s="7" t="inlineStr">
        <is>
          <t>A - Agen</t>
        </is>
      </c>
      <c r="D2195" s="1" t="inlineStr">
        <is>
          <t>OP00002</t>
        </is>
      </c>
      <c r="E2195" s="8" t="n">
        <v>45637.94444444445</v>
      </c>
      <c r="F2195" s="7" t="inlineStr">
        <is>
          <t>AGEN</t>
        </is>
      </c>
      <c r="G2195" s="18" t="inlineStr">
        <is>
          <t>OP15853</t>
        </is>
      </c>
      <c r="H2195" s="19">
        <f>UPPER(Table3[[#This Row],[Agen id]]&amp;"-"&amp;VLOOKUP(Table3[[#This Row],[Agen id]],A:B,2,0)&amp;"("&amp;Table3[[#This Row],[Short]]&amp;")")</f>
        <v/>
      </c>
      <c r="J2195" s="7">
        <f>VLOOKUP(Table3[[#This Row],[Agen id]],Agen!A:C,3,0)</f>
        <v/>
      </c>
      <c r="K2195" s="37">
        <f>TRIM(LEFT(Table3[[#This Row],[Group]],2))</f>
        <v/>
      </c>
      <c r="L2195" s="3" t="inlineStr">
        <is>
          <t>NON SALES</t>
        </is>
      </c>
    </row>
    <row r="2196">
      <c r="A2196" s="5" t="inlineStr">
        <is>
          <t>OP15905</t>
        </is>
      </c>
      <c r="B2196" s="6" t="inlineStr">
        <is>
          <t>Elvi Lesmana</t>
        </is>
      </c>
      <c r="C2196" s="7" t="inlineStr">
        <is>
          <t>AV - Agen Verified</t>
        </is>
      </c>
      <c r="D2196" s="1" t="inlineStr">
        <is>
          <t>OP00002</t>
        </is>
      </c>
      <c r="E2196" s="8" t="n">
        <v>45640.78402777778</v>
      </c>
      <c r="F2196" s="7" t="inlineStr">
        <is>
          <t>AGEN</t>
        </is>
      </c>
      <c r="G2196" s="18" t="inlineStr">
        <is>
          <t>OP15905</t>
        </is>
      </c>
      <c r="H2196" s="19">
        <f>UPPER(Table3[[#This Row],[Agen id]]&amp;"-"&amp;VLOOKUP(Table3[[#This Row],[Agen id]],A:B,2,0)&amp;"("&amp;Table3[[#This Row],[Short]]&amp;")")</f>
        <v/>
      </c>
      <c r="J2196" s="7">
        <f>VLOOKUP(Table3[[#This Row],[Agen id]],Agen!A:C,3,0)</f>
        <v/>
      </c>
      <c r="K2196" s="37">
        <f>TRIM(LEFT(Table3[[#This Row],[Group]],2))</f>
        <v/>
      </c>
      <c r="L2196" s="3" t="inlineStr">
        <is>
          <t>NON SALES</t>
        </is>
      </c>
    </row>
    <row r="2197">
      <c r="A2197" s="5" t="inlineStr">
        <is>
          <t>OP15923</t>
        </is>
      </c>
      <c r="B2197" s="6" t="inlineStr">
        <is>
          <t>IMA MSI</t>
        </is>
      </c>
      <c r="C2197" s="7" t="inlineStr">
        <is>
          <t>AV - Agen Verified</t>
        </is>
      </c>
      <c r="D2197" s="1" t="inlineStr">
        <is>
          <t>OP15668</t>
        </is>
      </c>
      <c r="E2197" s="8" t="n">
        <v>45641.47013888889</v>
      </c>
      <c r="F2197" s="7" t="inlineStr">
        <is>
          <t>DOWNLINE</t>
        </is>
      </c>
      <c r="G2197" s="18" t="inlineStr">
        <is>
          <t>OP15668</t>
        </is>
      </c>
      <c r="H2197" s="19">
        <f>UPPER(Table3[[#This Row],[Agen id]]&amp;"-"&amp;VLOOKUP(Table3[[#This Row],[Agen id]],A:B,2,0)&amp;"("&amp;Table3[[#This Row],[Short]]&amp;")")</f>
        <v/>
      </c>
      <c r="J2197" s="7">
        <f>VLOOKUP(Table3[[#This Row],[Agen id]],Agen!A:C,3,0)</f>
        <v/>
      </c>
      <c r="K2197" s="37">
        <f>TRIM(LEFT(Table3[[#This Row],[Group]],2))</f>
        <v/>
      </c>
      <c r="L2197" s="3" t="inlineStr">
        <is>
          <t>NON SALES</t>
        </is>
      </c>
    </row>
    <row r="2198">
      <c r="A2198" s="5" t="inlineStr">
        <is>
          <t>OP15924</t>
        </is>
      </c>
      <c r="B2198" s="6" t="inlineStr">
        <is>
          <t>melinda</t>
        </is>
      </c>
      <c r="C2198" s="7" t="inlineStr">
        <is>
          <t>AV - Agen Verified</t>
        </is>
      </c>
      <c r="D2198" s="1" t="inlineStr">
        <is>
          <t>OP03216</t>
        </is>
      </c>
      <c r="E2198" s="8" t="n">
        <v>45641.47638888889</v>
      </c>
      <c r="F2198" s="7" t="inlineStr">
        <is>
          <t>DOWNLINE</t>
        </is>
      </c>
      <c r="G2198" s="18" t="inlineStr">
        <is>
          <t>OP00049</t>
        </is>
      </c>
      <c r="H2198" s="19">
        <f>UPPER(Table3[[#This Row],[Agen id]]&amp;"-"&amp;VLOOKUP(Table3[[#This Row],[Agen id]],A:B,2,0)&amp;"("&amp;Table3[[#This Row],[Short]]&amp;")")</f>
        <v/>
      </c>
      <c r="J2198" s="7">
        <f>VLOOKUP(Table3[[#This Row],[Agen id]],Agen!A:C,3,0)</f>
        <v/>
      </c>
      <c r="K2198" s="37">
        <f>TRIM(LEFT(Table3[[#This Row],[Group]],2))</f>
        <v/>
      </c>
      <c r="L2198" s="3" t="inlineStr">
        <is>
          <t>NON SALES</t>
        </is>
      </c>
    </row>
    <row r="2199">
      <c r="A2199" s="5" t="inlineStr">
        <is>
          <t>OP15969</t>
        </is>
      </c>
      <c r="B2199" s="6" t="inlineStr">
        <is>
          <t>Sudibaik pane</t>
        </is>
      </c>
      <c r="C2199" s="7" t="inlineStr">
        <is>
          <t>A - Agen</t>
        </is>
      </c>
      <c r="D2199" s="1" t="inlineStr">
        <is>
          <t>OP00002</t>
        </is>
      </c>
      <c r="E2199" s="8" t="n">
        <v>45643.61597222222</v>
      </c>
      <c r="F2199" s="7" t="inlineStr">
        <is>
          <t>AGEN</t>
        </is>
      </c>
      <c r="G2199" s="18" t="inlineStr">
        <is>
          <t>OP15969</t>
        </is>
      </c>
      <c r="H2199" s="19">
        <f>UPPER(Table3[[#This Row],[Agen id]]&amp;"-"&amp;VLOOKUP(Table3[[#This Row],[Agen id]],A:B,2,0)&amp;"("&amp;Table3[[#This Row],[Short]]&amp;")")</f>
        <v/>
      </c>
      <c r="J2199" s="7">
        <f>VLOOKUP(Table3[[#This Row],[Agen id]],Agen!A:C,3,0)</f>
        <v/>
      </c>
      <c r="K2199" s="37">
        <f>TRIM(LEFT(Table3[[#This Row],[Group]],2))</f>
        <v/>
      </c>
      <c r="L2199" s="3" t="inlineStr">
        <is>
          <t>NON SALES</t>
        </is>
      </c>
    </row>
    <row r="2200">
      <c r="A2200" s="5" t="inlineStr">
        <is>
          <t>OP15972</t>
        </is>
      </c>
      <c r="B2200" s="6" t="inlineStr">
        <is>
          <t>Rahma</t>
        </is>
      </c>
      <c r="C2200" s="7" t="inlineStr">
        <is>
          <t>AV - Agen Verified</t>
        </is>
      </c>
      <c r="D2200" s="1" t="inlineStr">
        <is>
          <t>OP00002</t>
        </is>
      </c>
      <c r="E2200" s="8" t="n">
        <v>45643.68194444444</v>
      </c>
      <c r="F2200" s="7" t="inlineStr">
        <is>
          <t>AGEN</t>
        </is>
      </c>
      <c r="G2200" s="18" t="inlineStr">
        <is>
          <t>OP15972</t>
        </is>
      </c>
      <c r="H2200" s="19">
        <f>UPPER(Table3[[#This Row],[Agen id]]&amp;"-"&amp;VLOOKUP(Table3[[#This Row],[Agen id]],A:B,2,0)&amp;"("&amp;Table3[[#This Row],[Short]]&amp;")")</f>
        <v/>
      </c>
      <c r="J2200" s="7">
        <f>VLOOKUP(Table3[[#This Row],[Agen id]],Agen!A:C,3,0)</f>
        <v/>
      </c>
      <c r="K2200" s="37">
        <f>TRIM(LEFT(Table3[[#This Row],[Group]],2))</f>
        <v/>
      </c>
      <c r="L2200" s="3" t="inlineStr">
        <is>
          <t>NON SALES</t>
        </is>
      </c>
    </row>
    <row r="2201">
      <c r="A2201" s="5" t="inlineStr">
        <is>
          <t>OP15995</t>
        </is>
      </c>
      <c r="B2201" s="6" t="inlineStr">
        <is>
          <t>ISHAK</t>
        </is>
      </c>
      <c r="C2201" s="7" t="inlineStr">
        <is>
          <t>A - Agen</t>
        </is>
      </c>
      <c r="D2201" s="1" t="inlineStr">
        <is>
          <t>OP00002</t>
        </is>
      </c>
      <c r="E2201" s="8" t="n">
        <v>45644.51944444444</v>
      </c>
      <c r="F2201" s="7" t="inlineStr">
        <is>
          <t>AGEN</t>
        </is>
      </c>
      <c r="G2201" s="18" t="inlineStr">
        <is>
          <t>OP15995</t>
        </is>
      </c>
      <c r="H2201" s="19">
        <f>UPPER(Table3[[#This Row],[Agen id]]&amp;"-"&amp;VLOOKUP(Table3[[#This Row],[Agen id]],A:B,2,0)&amp;"("&amp;Table3[[#This Row],[Short]]&amp;")")</f>
        <v/>
      </c>
      <c r="J2201" s="7">
        <f>VLOOKUP(Table3[[#This Row],[Agen id]],Agen!A:C,3,0)</f>
        <v/>
      </c>
      <c r="K2201" s="37">
        <f>TRIM(LEFT(Table3[[#This Row],[Group]],2))</f>
        <v/>
      </c>
      <c r="L2201" s="3" t="inlineStr">
        <is>
          <t>NON SALES</t>
        </is>
      </c>
    </row>
    <row r="2202">
      <c r="A2202" s="5" t="inlineStr">
        <is>
          <t>OP15996</t>
        </is>
      </c>
      <c r="B2202" s="6" t="inlineStr">
        <is>
          <t>suling</t>
        </is>
      </c>
      <c r="C2202" s="7" t="inlineStr">
        <is>
          <t>A - Agen</t>
        </is>
      </c>
      <c r="D2202" s="1" t="inlineStr">
        <is>
          <t>OP00002</t>
        </is>
      </c>
      <c r="E2202" s="8" t="n">
        <v>45644.54444444444</v>
      </c>
      <c r="F2202" s="7" t="inlineStr">
        <is>
          <t>AGEN</t>
        </is>
      </c>
      <c r="G2202" s="18" t="inlineStr">
        <is>
          <t>OP15996</t>
        </is>
      </c>
      <c r="H2202" s="19">
        <f>UPPER(Table3[[#This Row],[Agen id]]&amp;"-"&amp;VLOOKUP(Table3[[#This Row],[Agen id]],A:B,2,0)&amp;"("&amp;Table3[[#This Row],[Short]]&amp;")")</f>
        <v/>
      </c>
      <c r="J2202" s="7">
        <f>VLOOKUP(Table3[[#This Row],[Agen id]],Agen!A:C,3,0)</f>
        <v/>
      </c>
      <c r="K2202" s="37">
        <f>TRIM(LEFT(Table3[[#This Row],[Group]],2))</f>
        <v/>
      </c>
      <c r="L2202" s="3" t="inlineStr">
        <is>
          <t>NON SALES</t>
        </is>
      </c>
    </row>
    <row r="2203">
      <c r="A2203" s="5" t="inlineStr">
        <is>
          <t>OP16000</t>
        </is>
      </c>
      <c r="B2203" s="6" t="inlineStr">
        <is>
          <t>Ashi</t>
        </is>
      </c>
      <c r="C2203" s="7" t="inlineStr">
        <is>
          <t>A - Agen</t>
        </is>
      </c>
      <c r="D2203" s="1" t="inlineStr">
        <is>
          <t>OP00002</t>
        </is>
      </c>
      <c r="E2203" s="8" t="n">
        <v>45644.64583333334</v>
      </c>
      <c r="F2203" s="7" t="inlineStr">
        <is>
          <t>AGEN</t>
        </is>
      </c>
      <c r="G2203" s="18" t="inlineStr">
        <is>
          <t>OP16000</t>
        </is>
      </c>
      <c r="H2203" s="19">
        <f>UPPER(Table3[[#This Row],[Agen id]]&amp;"-"&amp;VLOOKUP(Table3[[#This Row],[Agen id]],A:B,2,0)&amp;"("&amp;Table3[[#This Row],[Short]]&amp;")")</f>
        <v/>
      </c>
      <c r="J2203" s="7">
        <f>VLOOKUP(Table3[[#This Row],[Agen id]],Agen!A:C,3,0)</f>
        <v/>
      </c>
      <c r="K2203" s="37">
        <f>TRIM(LEFT(Table3[[#This Row],[Group]],2))</f>
        <v/>
      </c>
      <c r="L2203" s="3" t="inlineStr">
        <is>
          <t>NON SALES</t>
        </is>
      </c>
    </row>
    <row r="2204">
      <c r="A2204" s="5" t="inlineStr">
        <is>
          <t>OP16008</t>
        </is>
      </c>
      <c r="B2204" s="6" t="inlineStr">
        <is>
          <t>Andi</t>
        </is>
      </c>
      <c r="C2204" s="7" t="inlineStr">
        <is>
          <t>A - Agen</t>
        </is>
      </c>
      <c r="D2204" s="1" t="inlineStr">
        <is>
          <t>OP00002</t>
        </is>
      </c>
      <c r="E2204" s="8" t="n">
        <v>45644.92638888889</v>
      </c>
      <c r="F2204" s="7" t="inlineStr">
        <is>
          <t>AGEN</t>
        </is>
      </c>
      <c r="G2204" s="18" t="inlineStr">
        <is>
          <t>OP16008</t>
        </is>
      </c>
      <c r="H2204" s="19">
        <f>UPPER(Table3[[#This Row],[Agen id]]&amp;"-"&amp;VLOOKUP(Table3[[#This Row],[Agen id]],A:B,2,0)&amp;"("&amp;Table3[[#This Row],[Short]]&amp;")")</f>
        <v/>
      </c>
      <c r="J2204" s="7">
        <f>VLOOKUP(Table3[[#This Row],[Agen id]],Agen!A:C,3,0)</f>
        <v/>
      </c>
      <c r="K2204" s="37">
        <f>TRIM(LEFT(Table3[[#This Row],[Group]],2))</f>
        <v/>
      </c>
      <c r="L2204" s="3" t="inlineStr">
        <is>
          <t>NON SALES</t>
        </is>
      </c>
    </row>
    <row r="2205">
      <c r="A2205" s="5" t="inlineStr">
        <is>
          <t>OP16010</t>
        </is>
      </c>
      <c r="B2205" s="6" t="inlineStr">
        <is>
          <t>Ichsan</t>
        </is>
      </c>
      <c r="C2205" s="7" t="inlineStr">
        <is>
          <t>A - Agen</t>
        </is>
      </c>
      <c r="D2205" s="1" t="inlineStr">
        <is>
          <t>OP00002</t>
        </is>
      </c>
      <c r="E2205" s="8" t="n">
        <v>45645.58263888889</v>
      </c>
      <c r="F2205" s="7" t="inlineStr">
        <is>
          <t>AGEN</t>
        </is>
      </c>
      <c r="G2205" s="18" t="inlineStr">
        <is>
          <t>OP16010</t>
        </is>
      </c>
      <c r="H2205" s="19">
        <f>UPPER(Table3[[#This Row],[Agen id]]&amp;"-"&amp;VLOOKUP(Table3[[#This Row],[Agen id]],A:B,2,0)&amp;"("&amp;Table3[[#This Row],[Short]]&amp;")")</f>
        <v/>
      </c>
      <c r="J2205" s="7">
        <f>VLOOKUP(Table3[[#This Row],[Agen id]],Agen!A:C,3,0)</f>
        <v/>
      </c>
      <c r="K2205" s="37">
        <f>TRIM(LEFT(Table3[[#This Row],[Group]],2))</f>
        <v/>
      </c>
      <c r="L2205" s="3" t="inlineStr">
        <is>
          <t>NON SALES</t>
        </is>
      </c>
    </row>
    <row r="2206">
      <c r="A2206" s="5" t="inlineStr">
        <is>
          <t>OP16011</t>
        </is>
      </c>
      <c r="B2206" s="6" t="inlineStr">
        <is>
          <t>Febrianto</t>
        </is>
      </c>
      <c r="C2206" s="7" t="inlineStr">
        <is>
          <t>A - Agen</t>
        </is>
      </c>
      <c r="D2206" s="1" t="inlineStr">
        <is>
          <t>OP00576</t>
        </is>
      </c>
      <c r="E2206" s="8" t="n">
        <v>45645.67152777778</v>
      </c>
      <c r="F2206" s="7" t="inlineStr">
        <is>
          <t>DOWNLINE</t>
        </is>
      </c>
      <c r="G2206" s="18" t="inlineStr">
        <is>
          <t>OP00049</t>
        </is>
      </c>
      <c r="H2206" s="19">
        <f>UPPER(Table3[[#This Row],[Agen id]]&amp;"-"&amp;VLOOKUP(Table3[[#This Row],[Agen id]],A:B,2,0)&amp;"("&amp;Table3[[#This Row],[Short]]&amp;")")</f>
        <v/>
      </c>
      <c r="J2206" s="7">
        <f>VLOOKUP(Table3[[#This Row],[Agen id]],Agen!A:C,3,0)</f>
        <v/>
      </c>
      <c r="K2206" s="37">
        <f>TRIM(LEFT(Table3[[#This Row],[Group]],2))</f>
        <v/>
      </c>
      <c r="L2206" s="3" t="inlineStr">
        <is>
          <t>NON SALES</t>
        </is>
      </c>
    </row>
    <row r="2207">
      <c r="A2207" s="5" t="inlineStr">
        <is>
          <t>OP16021</t>
        </is>
      </c>
      <c r="B2207" s="6" t="inlineStr">
        <is>
          <t>LOPAY CELL 3</t>
        </is>
      </c>
      <c r="C2207" s="7" t="inlineStr">
        <is>
          <t>AT1 - Agen Tangerang</t>
        </is>
      </c>
      <c r="D2207" s="1" t="inlineStr">
        <is>
          <t>OP07683</t>
        </is>
      </c>
      <c r="E2207" s="8" t="n">
        <v>45645.97152777778</v>
      </c>
      <c r="F2207" s="7" t="inlineStr">
        <is>
          <t>AGEN</t>
        </is>
      </c>
      <c r="G2207" s="18" t="inlineStr">
        <is>
          <t>OP16021</t>
        </is>
      </c>
      <c r="H2207" s="19">
        <f>UPPER(Table3[[#This Row],[Agen id]]&amp;"-"&amp;VLOOKUP(Table3[[#This Row],[Agen id]],A:B,2,0)&amp;"("&amp;Table3[[#This Row],[Short]]&amp;")")</f>
        <v/>
      </c>
      <c r="J2207" s="7">
        <f>VLOOKUP(Table3[[#This Row],[Agen id]],Agen!A:C,3,0)</f>
        <v/>
      </c>
      <c r="K2207" s="37">
        <f>TRIM(LEFT(Table3[[#This Row],[Group]],2))</f>
        <v/>
      </c>
      <c r="L2207" s="3" t="inlineStr">
        <is>
          <t>NON SALES</t>
        </is>
      </c>
    </row>
    <row r="2208">
      <c r="A2208" s="5" t="inlineStr">
        <is>
          <t>OP16030</t>
        </is>
      </c>
      <c r="B2208" s="6" t="inlineStr">
        <is>
          <t>Anthy</t>
        </is>
      </c>
      <c r="C2208" s="7" t="inlineStr">
        <is>
          <t>A - Agen</t>
        </is>
      </c>
      <c r="D2208" s="1" t="inlineStr">
        <is>
          <t>OP00002</t>
        </is>
      </c>
      <c r="E2208" s="8" t="n">
        <v>45646.68263888889</v>
      </c>
      <c r="F2208" s="7" t="inlineStr">
        <is>
          <t>AGEN</t>
        </is>
      </c>
      <c r="G2208" s="18" t="inlineStr">
        <is>
          <t>OP16030</t>
        </is>
      </c>
      <c r="H2208" s="19">
        <f>UPPER(Table3[[#This Row],[Agen id]]&amp;"-"&amp;VLOOKUP(Table3[[#This Row],[Agen id]],A:B,2,0)&amp;"("&amp;Table3[[#This Row],[Short]]&amp;")")</f>
        <v/>
      </c>
      <c r="J2208" s="7">
        <f>VLOOKUP(Table3[[#This Row],[Agen id]],Agen!A:C,3,0)</f>
        <v/>
      </c>
      <c r="K2208" s="37">
        <f>TRIM(LEFT(Table3[[#This Row],[Group]],2))</f>
        <v/>
      </c>
      <c r="L2208" s="3" t="inlineStr">
        <is>
          <t>NON SALES</t>
        </is>
      </c>
    </row>
    <row r="2209">
      <c r="A2209" s="5" t="inlineStr">
        <is>
          <t>OP16031</t>
        </is>
      </c>
      <c r="B2209" s="6" t="inlineStr">
        <is>
          <t>Hanan17</t>
        </is>
      </c>
      <c r="C2209" s="7" t="inlineStr">
        <is>
          <t>A - Agen</t>
        </is>
      </c>
      <c r="D2209" s="1" t="inlineStr">
        <is>
          <t>OP00002</t>
        </is>
      </c>
      <c r="E2209" s="8" t="n">
        <v>45646.74027777778</v>
      </c>
      <c r="F2209" s="7" t="inlineStr">
        <is>
          <t>AGEN</t>
        </is>
      </c>
      <c r="G2209" s="18" t="inlineStr">
        <is>
          <t>OP16031</t>
        </is>
      </c>
      <c r="H2209" s="19">
        <f>UPPER(Table3[[#This Row],[Agen id]]&amp;"-"&amp;VLOOKUP(Table3[[#This Row],[Agen id]],A:B,2,0)&amp;"("&amp;Table3[[#This Row],[Short]]&amp;")")</f>
        <v/>
      </c>
      <c r="J2209" s="7">
        <f>VLOOKUP(Table3[[#This Row],[Agen id]],Agen!A:C,3,0)</f>
        <v/>
      </c>
      <c r="K2209" s="37">
        <f>TRIM(LEFT(Table3[[#This Row],[Group]],2))</f>
        <v/>
      </c>
      <c r="L2209" s="3" t="inlineStr">
        <is>
          <t>NON SALES</t>
        </is>
      </c>
    </row>
    <row r="2210">
      <c r="A2210" s="5" t="inlineStr">
        <is>
          <t>OP16033</t>
        </is>
      </c>
      <c r="B2210" s="6" t="inlineStr">
        <is>
          <t>Nadiya</t>
        </is>
      </c>
      <c r="C2210" s="7" t="inlineStr">
        <is>
          <t>A - Agen</t>
        </is>
      </c>
      <c r="D2210" s="1" t="inlineStr">
        <is>
          <t>OP00002</t>
        </is>
      </c>
      <c r="E2210" s="8" t="n">
        <v>45646.79861111111</v>
      </c>
      <c r="F2210" s="7" t="inlineStr">
        <is>
          <t>AGEN</t>
        </is>
      </c>
      <c r="G2210" s="18" t="inlineStr">
        <is>
          <t>OP16033</t>
        </is>
      </c>
      <c r="H2210" s="19">
        <f>UPPER(Table3[[#This Row],[Agen id]]&amp;"-"&amp;VLOOKUP(Table3[[#This Row],[Agen id]],A:B,2,0)&amp;"("&amp;Table3[[#This Row],[Short]]&amp;")")</f>
        <v/>
      </c>
      <c r="J2210" s="7">
        <f>VLOOKUP(Table3[[#This Row],[Agen id]],Agen!A:C,3,0)</f>
        <v/>
      </c>
      <c r="K2210" s="37">
        <f>TRIM(LEFT(Table3[[#This Row],[Group]],2))</f>
        <v/>
      </c>
      <c r="L2210" s="3" t="inlineStr">
        <is>
          <t>NON SALES</t>
        </is>
      </c>
    </row>
    <row r="2211">
      <c r="A2211" s="5" t="inlineStr">
        <is>
          <t>OP16034</t>
        </is>
      </c>
      <c r="B2211" s="6" t="inlineStr">
        <is>
          <t>Fajarhadisaputra</t>
        </is>
      </c>
      <c r="C2211" s="7" t="inlineStr">
        <is>
          <t>A - Agen</t>
        </is>
      </c>
      <c r="D2211" s="1" t="inlineStr">
        <is>
          <t>OP00002</t>
        </is>
      </c>
      <c r="E2211" s="8" t="n">
        <v>45646.81875</v>
      </c>
      <c r="F2211" s="7" t="inlineStr">
        <is>
          <t>AGEN</t>
        </is>
      </c>
      <c r="G2211" s="18" t="inlineStr">
        <is>
          <t>OP16034</t>
        </is>
      </c>
      <c r="H2211" s="19">
        <f>UPPER(Table3[[#This Row],[Agen id]]&amp;"-"&amp;VLOOKUP(Table3[[#This Row],[Agen id]],A:B,2,0)&amp;"("&amp;Table3[[#This Row],[Short]]&amp;")")</f>
        <v/>
      </c>
      <c r="J2211" s="7">
        <f>VLOOKUP(Table3[[#This Row],[Agen id]],Agen!A:C,3,0)</f>
        <v/>
      </c>
      <c r="K2211" s="37">
        <f>TRIM(LEFT(Table3[[#This Row],[Group]],2))</f>
        <v/>
      </c>
      <c r="L2211" s="3" t="inlineStr">
        <is>
          <t>NON SALES</t>
        </is>
      </c>
    </row>
    <row r="2212">
      <c r="A2212" s="5" t="inlineStr">
        <is>
          <t>OP16036</t>
        </is>
      </c>
      <c r="B2212" s="6" t="inlineStr">
        <is>
          <t>Fahrizal nanda</t>
        </is>
      </c>
      <c r="C2212" s="7" t="inlineStr">
        <is>
          <t>A - Agen</t>
        </is>
      </c>
      <c r="D2212" s="1" t="inlineStr">
        <is>
          <t>OP00002</t>
        </is>
      </c>
      <c r="E2212" s="8" t="n">
        <v>45647.05138888889</v>
      </c>
      <c r="F2212" s="7" t="inlineStr">
        <is>
          <t>AGEN</t>
        </is>
      </c>
      <c r="G2212" s="18" t="inlineStr">
        <is>
          <t>OP16036</t>
        </is>
      </c>
      <c r="H2212" s="19">
        <f>UPPER(Table3[[#This Row],[Agen id]]&amp;"-"&amp;VLOOKUP(Table3[[#This Row],[Agen id]],A:B,2,0)&amp;"("&amp;Table3[[#This Row],[Short]]&amp;")")</f>
        <v/>
      </c>
      <c r="J2212" s="7">
        <f>VLOOKUP(Table3[[#This Row],[Agen id]],Agen!A:C,3,0)</f>
        <v/>
      </c>
      <c r="K2212" s="37">
        <f>TRIM(LEFT(Table3[[#This Row],[Group]],2))</f>
        <v/>
      </c>
      <c r="L2212" s="3" t="inlineStr">
        <is>
          <t>NON SALES</t>
        </is>
      </c>
    </row>
    <row r="2213">
      <c r="A2213" s="5" t="inlineStr">
        <is>
          <t>OP16038</t>
        </is>
      </c>
      <c r="B2213" s="6" t="inlineStr">
        <is>
          <t>Patok</t>
        </is>
      </c>
      <c r="C2213" s="7" t="inlineStr">
        <is>
          <t>A - Agen</t>
        </is>
      </c>
      <c r="D2213" s="1" t="inlineStr">
        <is>
          <t>OP00002</t>
        </is>
      </c>
      <c r="E2213" s="8" t="n">
        <v>45647.1625</v>
      </c>
      <c r="F2213" s="7" t="inlineStr">
        <is>
          <t>AGEN</t>
        </is>
      </c>
      <c r="G2213" s="18" t="inlineStr">
        <is>
          <t>OP16038</t>
        </is>
      </c>
      <c r="H2213" s="19">
        <f>UPPER(Table3[[#This Row],[Agen id]]&amp;"-"&amp;VLOOKUP(Table3[[#This Row],[Agen id]],A:B,2,0)&amp;"("&amp;Table3[[#This Row],[Short]]&amp;")")</f>
        <v/>
      </c>
      <c r="J2213" s="7">
        <f>VLOOKUP(Table3[[#This Row],[Agen id]],Agen!A:C,3,0)</f>
        <v/>
      </c>
      <c r="K2213" s="37">
        <f>TRIM(LEFT(Table3[[#This Row],[Group]],2))</f>
        <v/>
      </c>
      <c r="L2213" s="3" t="inlineStr">
        <is>
          <t>NON SALES</t>
        </is>
      </c>
    </row>
    <row r="2214">
      <c r="A2214" s="5" t="inlineStr">
        <is>
          <t>OP16039</t>
        </is>
      </c>
      <c r="B2214" s="6" t="inlineStr">
        <is>
          <t>Iin manek</t>
        </is>
      </c>
      <c r="C2214" s="7" t="inlineStr">
        <is>
          <t>A - Agen</t>
        </is>
      </c>
      <c r="D2214" s="1" t="inlineStr">
        <is>
          <t>OP00002</t>
        </is>
      </c>
      <c r="E2214" s="8" t="n">
        <v>45647.54166666666</v>
      </c>
      <c r="F2214" s="7" t="inlineStr">
        <is>
          <t>AGEN</t>
        </is>
      </c>
      <c r="G2214" s="18" t="inlineStr">
        <is>
          <t>OP16039</t>
        </is>
      </c>
      <c r="H2214" s="19">
        <f>UPPER(Table3[[#This Row],[Agen id]]&amp;"-"&amp;VLOOKUP(Table3[[#This Row],[Agen id]],A:B,2,0)&amp;"("&amp;Table3[[#This Row],[Short]]&amp;")")</f>
        <v/>
      </c>
      <c r="J2214" s="7">
        <f>VLOOKUP(Table3[[#This Row],[Agen id]],Agen!A:C,3,0)</f>
        <v/>
      </c>
      <c r="K2214" s="37">
        <f>TRIM(LEFT(Table3[[#This Row],[Group]],2))</f>
        <v/>
      </c>
      <c r="L2214" s="3" t="inlineStr">
        <is>
          <t>NON SALES</t>
        </is>
      </c>
    </row>
    <row r="2215">
      <c r="A2215" s="5" t="inlineStr">
        <is>
          <t>OP16040</t>
        </is>
      </c>
      <c r="B2215" s="6" t="inlineStr">
        <is>
          <t>Supriono</t>
        </is>
      </c>
      <c r="C2215" s="7" t="inlineStr">
        <is>
          <t>A - Agen</t>
        </is>
      </c>
      <c r="D2215" s="1" t="inlineStr">
        <is>
          <t>OP00002</t>
        </is>
      </c>
      <c r="E2215" s="8" t="n">
        <v>45647.81736111111</v>
      </c>
      <c r="F2215" s="7" t="inlineStr">
        <is>
          <t>AGEN</t>
        </is>
      </c>
      <c r="G2215" s="18" t="inlineStr">
        <is>
          <t>OP16040</t>
        </is>
      </c>
      <c r="H2215" s="19">
        <f>UPPER(Table3[[#This Row],[Agen id]]&amp;"-"&amp;VLOOKUP(Table3[[#This Row],[Agen id]],A:B,2,0)&amp;"("&amp;Table3[[#This Row],[Short]]&amp;")")</f>
        <v/>
      </c>
      <c r="J2215" s="7">
        <f>VLOOKUP(Table3[[#This Row],[Agen id]],Agen!A:C,3,0)</f>
        <v/>
      </c>
      <c r="K2215" s="37">
        <f>TRIM(LEFT(Table3[[#This Row],[Group]],2))</f>
        <v/>
      </c>
      <c r="L2215" s="3" t="inlineStr">
        <is>
          <t>NON SALES</t>
        </is>
      </c>
    </row>
    <row r="2216">
      <c r="A2216" s="5" t="inlineStr">
        <is>
          <t>OP16041</t>
        </is>
      </c>
      <c r="B2216" s="6" t="inlineStr">
        <is>
          <t>Iki</t>
        </is>
      </c>
      <c r="C2216" s="7" t="inlineStr">
        <is>
          <t>A - Agen</t>
        </is>
      </c>
      <c r="D2216" s="1" t="inlineStr">
        <is>
          <t>OP00002</t>
        </is>
      </c>
      <c r="E2216" s="8" t="n">
        <v>45647.86111111111</v>
      </c>
      <c r="F2216" s="7" t="inlineStr">
        <is>
          <t>AGEN</t>
        </is>
      </c>
      <c r="G2216" s="18" t="inlineStr">
        <is>
          <t>OP16041</t>
        </is>
      </c>
      <c r="H2216" s="19">
        <f>UPPER(Table3[[#This Row],[Agen id]]&amp;"-"&amp;VLOOKUP(Table3[[#This Row],[Agen id]],A:B,2,0)&amp;"("&amp;Table3[[#This Row],[Short]]&amp;")")</f>
        <v/>
      </c>
      <c r="J2216" s="7">
        <f>VLOOKUP(Table3[[#This Row],[Agen id]],Agen!A:C,3,0)</f>
        <v/>
      </c>
      <c r="K2216" s="37">
        <f>TRIM(LEFT(Table3[[#This Row],[Group]],2))</f>
        <v/>
      </c>
      <c r="L2216" s="3" t="inlineStr">
        <is>
          <t>NON SALES</t>
        </is>
      </c>
    </row>
    <row r="2217">
      <c r="A2217" s="5" t="inlineStr">
        <is>
          <t>OP16042</t>
        </is>
      </c>
      <c r="B2217" s="6" t="inlineStr">
        <is>
          <t>Rahma Yani</t>
        </is>
      </c>
      <c r="C2217" s="7" t="inlineStr">
        <is>
          <t>A - Agen</t>
        </is>
      </c>
      <c r="D2217" s="1" t="inlineStr">
        <is>
          <t>OP00002</t>
        </is>
      </c>
      <c r="E2217" s="8" t="n">
        <v>45647.86736111111</v>
      </c>
      <c r="F2217" s="7" t="inlineStr">
        <is>
          <t>AGEN</t>
        </is>
      </c>
      <c r="G2217" s="18" t="inlineStr">
        <is>
          <t>OP16042</t>
        </is>
      </c>
      <c r="H2217" s="19">
        <f>UPPER(Table3[[#This Row],[Agen id]]&amp;"-"&amp;VLOOKUP(Table3[[#This Row],[Agen id]],A:B,2,0)&amp;"("&amp;Table3[[#This Row],[Short]]&amp;")")</f>
        <v/>
      </c>
      <c r="J2217" s="7">
        <f>VLOOKUP(Table3[[#This Row],[Agen id]],Agen!A:C,3,0)</f>
        <v/>
      </c>
      <c r="K2217" s="37">
        <f>TRIM(LEFT(Table3[[#This Row],[Group]],2))</f>
        <v/>
      </c>
      <c r="L2217" s="3" t="inlineStr">
        <is>
          <t>NON SALES</t>
        </is>
      </c>
    </row>
    <row r="2218">
      <c r="A2218" s="5" t="inlineStr">
        <is>
          <t>OP16043</t>
        </is>
      </c>
      <c r="B2218" s="6" t="inlineStr">
        <is>
          <t>Saiful</t>
        </is>
      </c>
      <c r="C2218" s="7" t="inlineStr">
        <is>
          <t>A - Agen</t>
        </is>
      </c>
      <c r="D2218" s="1" t="inlineStr">
        <is>
          <t>OP07075</t>
        </is>
      </c>
      <c r="E2218" s="8" t="n">
        <v>45647.91319444445</v>
      </c>
      <c r="F2218" s="7" t="inlineStr">
        <is>
          <t>DOWNLINE</t>
        </is>
      </c>
      <c r="G2218" s="18" t="inlineStr">
        <is>
          <t>OP07075</t>
        </is>
      </c>
      <c r="H2218" s="19">
        <f>UPPER(Table3[[#This Row],[Agen id]]&amp;"-"&amp;VLOOKUP(Table3[[#This Row],[Agen id]],A:B,2,0)&amp;"("&amp;Table3[[#This Row],[Short]]&amp;")")</f>
        <v/>
      </c>
      <c r="J2218" s="7">
        <f>VLOOKUP(Table3[[#This Row],[Agen id]],Agen!A:C,3,0)</f>
        <v/>
      </c>
      <c r="K2218" s="37">
        <f>TRIM(LEFT(Table3[[#This Row],[Group]],2))</f>
        <v/>
      </c>
      <c r="L2218" s="3" t="inlineStr">
        <is>
          <t>NON SALES</t>
        </is>
      </c>
    </row>
    <row r="2219">
      <c r="A2219" s="5" t="inlineStr">
        <is>
          <t>OP16045</t>
        </is>
      </c>
      <c r="B2219" s="6" t="inlineStr">
        <is>
          <t>Endri</t>
        </is>
      </c>
      <c r="C2219" s="7" t="inlineStr">
        <is>
          <t>A - Agen</t>
        </is>
      </c>
      <c r="D2219" s="1" t="inlineStr">
        <is>
          <t>OP00002</t>
        </is>
      </c>
      <c r="E2219" s="8" t="n">
        <v>45648.06041666667</v>
      </c>
      <c r="F2219" s="7" t="inlineStr">
        <is>
          <t>AGEN</t>
        </is>
      </c>
      <c r="G2219" s="18" t="inlineStr">
        <is>
          <t>OP16045</t>
        </is>
      </c>
      <c r="H2219" s="19">
        <f>UPPER(Table3[[#This Row],[Agen id]]&amp;"-"&amp;VLOOKUP(Table3[[#This Row],[Agen id]],A:B,2,0)&amp;"("&amp;Table3[[#This Row],[Short]]&amp;")")</f>
        <v/>
      </c>
      <c r="J2219" s="7">
        <f>VLOOKUP(Table3[[#This Row],[Agen id]],Agen!A:C,3,0)</f>
        <v/>
      </c>
      <c r="K2219" s="37">
        <f>TRIM(LEFT(Table3[[#This Row],[Group]],2))</f>
        <v/>
      </c>
      <c r="L2219" s="3" t="inlineStr">
        <is>
          <t>NON SALES</t>
        </is>
      </c>
    </row>
    <row r="2220">
      <c r="A2220" s="5" t="inlineStr">
        <is>
          <t>OP16046</t>
        </is>
      </c>
      <c r="B2220" s="6" t="inlineStr">
        <is>
          <t>Karolus Johan</t>
        </is>
      </c>
      <c r="C2220" s="7" t="inlineStr">
        <is>
          <t>A - Agen</t>
        </is>
      </c>
      <c r="D2220" s="1" t="inlineStr">
        <is>
          <t>OP00002</t>
        </is>
      </c>
      <c r="E2220" s="8" t="n">
        <v>45648.25972222222</v>
      </c>
      <c r="F2220" s="7" t="inlineStr">
        <is>
          <t>AGEN</t>
        </is>
      </c>
      <c r="G2220" s="18" t="inlineStr">
        <is>
          <t>OP16046</t>
        </is>
      </c>
      <c r="H2220" s="19">
        <f>UPPER(Table3[[#This Row],[Agen id]]&amp;"-"&amp;VLOOKUP(Table3[[#This Row],[Agen id]],A:B,2,0)&amp;"("&amp;Table3[[#This Row],[Short]]&amp;")")</f>
        <v/>
      </c>
      <c r="J2220" s="7">
        <f>VLOOKUP(Table3[[#This Row],[Agen id]],Agen!A:C,3,0)</f>
        <v/>
      </c>
      <c r="K2220" s="37">
        <f>TRIM(LEFT(Table3[[#This Row],[Group]],2))</f>
        <v/>
      </c>
      <c r="L2220" s="3" t="inlineStr">
        <is>
          <t>NON SALES</t>
        </is>
      </c>
    </row>
    <row r="2221">
      <c r="A2221" s="5" t="inlineStr">
        <is>
          <t>OP16047</t>
        </is>
      </c>
      <c r="B2221" s="6" t="inlineStr">
        <is>
          <t>Raja</t>
        </is>
      </c>
      <c r="C2221" s="7" t="inlineStr">
        <is>
          <t>A - Agen</t>
        </is>
      </c>
      <c r="D2221" s="1" t="inlineStr">
        <is>
          <t>OP00002</t>
        </is>
      </c>
      <c r="E2221" s="8" t="n">
        <v>45648.40208333333</v>
      </c>
      <c r="F2221" s="7" t="inlineStr">
        <is>
          <t>AGEN</t>
        </is>
      </c>
      <c r="G2221" s="18" t="inlineStr">
        <is>
          <t>OP16047</t>
        </is>
      </c>
      <c r="H2221" s="19">
        <f>UPPER(Table3[[#This Row],[Agen id]]&amp;"-"&amp;VLOOKUP(Table3[[#This Row],[Agen id]],A:B,2,0)&amp;"("&amp;Table3[[#This Row],[Short]]&amp;")")</f>
        <v/>
      </c>
      <c r="J2221" s="7">
        <f>VLOOKUP(Table3[[#This Row],[Agen id]],Agen!A:C,3,0)</f>
        <v/>
      </c>
      <c r="K2221" s="37">
        <f>TRIM(LEFT(Table3[[#This Row],[Group]],2))</f>
        <v/>
      </c>
      <c r="L2221" s="3" t="inlineStr">
        <is>
          <t>NON SALES</t>
        </is>
      </c>
    </row>
    <row r="2222">
      <c r="A2222" s="5" t="inlineStr">
        <is>
          <t>OP16048</t>
        </is>
      </c>
      <c r="B2222" s="6" t="inlineStr">
        <is>
          <t>dian</t>
        </is>
      </c>
      <c r="C2222" s="7" t="inlineStr">
        <is>
          <t>A - Agen</t>
        </is>
      </c>
      <c r="D2222" s="1" t="inlineStr">
        <is>
          <t>OP00002</t>
        </is>
      </c>
      <c r="E2222" s="8" t="n">
        <v>45648.51319444444</v>
      </c>
      <c r="F2222" s="7" t="inlineStr">
        <is>
          <t>AGEN</t>
        </is>
      </c>
      <c r="G2222" s="18" t="inlineStr">
        <is>
          <t>OP16048</t>
        </is>
      </c>
      <c r="H2222" s="19">
        <f>UPPER(Table3[[#This Row],[Agen id]]&amp;"-"&amp;VLOOKUP(Table3[[#This Row],[Agen id]],A:B,2,0)&amp;"("&amp;Table3[[#This Row],[Short]]&amp;")")</f>
        <v/>
      </c>
      <c r="J2222" s="7">
        <f>VLOOKUP(Table3[[#This Row],[Agen id]],Agen!A:C,3,0)</f>
        <v/>
      </c>
      <c r="K2222" s="37">
        <f>TRIM(LEFT(Table3[[#This Row],[Group]],2))</f>
        <v/>
      </c>
      <c r="L2222" s="3" t="inlineStr">
        <is>
          <t>NON SALES</t>
        </is>
      </c>
    </row>
    <row r="2223">
      <c r="A2223" s="5" t="inlineStr">
        <is>
          <t>OP16049</t>
        </is>
      </c>
      <c r="B2223" s="6" t="inlineStr">
        <is>
          <t>Yanti safitri</t>
        </is>
      </c>
      <c r="C2223" s="7" t="inlineStr">
        <is>
          <t>A - Agen</t>
        </is>
      </c>
      <c r="D2223" s="1" t="inlineStr">
        <is>
          <t>OP00615</t>
        </is>
      </c>
      <c r="E2223" s="8" t="n">
        <v>45648.60208333333</v>
      </c>
      <c r="F2223" s="7" t="inlineStr">
        <is>
          <t>DOWNLINE</t>
        </is>
      </c>
      <c r="G2223" s="18" t="inlineStr">
        <is>
          <t>OP00049</t>
        </is>
      </c>
      <c r="H2223" s="19">
        <f>UPPER(Table3[[#This Row],[Agen id]]&amp;"-"&amp;VLOOKUP(Table3[[#This Row],[Agen id]],A:B,2,0)&amp;"("&amp;Table3[[#This Row],[Short]]&amp;")")</f>
        <v/>
      </c>
      <c r="J2223" s="7">
        <f>VLOOKUP(Table3[[#This Row],[Agen id]],Agen!A:C,3,0)</f>
        <v/>
      </c>
      <c r="K2223" s="37">
        <f>TRIM(LEFT(Table3[[#This Row],[Group]],2))</f>
        <v/>
      </c>
      <c r="L2223" s="3" t="inlineStr">
        <is>
          <t>NON SALES</t>
        </is>
      </c>
    </row>
    <row r="2224">
      <c r="A2224" s="5" t="inlineStr">
        <is>
          <t>OP16050</t>
        </is>
      </c>
      <c r="B2224" s="6" t="inlineStr">
        <is>
          <t>Hasan</t>
        </is>
      </c>
      <c r="C2224" s="7" t="inlineStr">
        <is>
          <t>A - Agen</t>
        </is>
      </c>
      <c r="D2224" s="1" t="inlineStr">
        <is>
          <t>OP00002</t>
        </is>
      </c>
      <c r="E2224" s="8" t="n">
        <v>45648.625</v>
      </c>
      <c r="F2224" s="7" t="inlineStr">
        <is>
          <t>AGEN</t>
        </is>
      </c>
      <c r="G2224" s="18" t="inlineStr">
        <is>
          <t>OP16050</t>
        </is>
      </c>
      <c r="H2224" s="19">
        <f>UPPER(Table3[[#This Row],[Agen id]]&amp;"-"&amp;VLOOKUP(Table3[[#This Row],[Agen id]],A:B,2,0)&amp;"("&amp;Table3[[#This Row],[Short]]&amp;")")</f>
        <v/>
      </c>
      <c r="J2224" s="7">
        <f>VLOOKUP(Table3[[#This Row],[Agen id]],Agen!A:C,3,0)</f>
        <v/>
      </c>
      <c r="K2224" s="37">
        <f>TRIM(LEFT(Table3[[#This Row],[Group]],2))</f>
        <v/>
      </c>
      <c r="L2224" s="3" t="inlineStr">
        <is>
          <t>NON SALES</t>
        </is>
      </c>
    </row>
    <row r="2225">
      <c r="A2225" s="5" t="inlineStr">
        <is>
          <t>OP16051</t>
        </is>
      </c>
      <c r="B2225" s="6" t="inlineStr">
        <is>
          <t>Arifin</t>
        </is>
      </c>
      <c r="C2225" s="7" t="inlineStr">
        <is>
          <t>A - Agen</t>
        </is>
      </c>
      <c r="D2225" s="1" t="inlineStr">
        <is>
          <t>OP00002</t>
        </is>
      </c>
      <c r="E2225" s="8" t="n">
        <v>45648.7375</v>
      </c>
      <c r="F2225" s="7" t="inlineStr">
        <is>
          <t>AGEN</t>
        </is>
      </c>
      <c r="G2225" s="18" t="inlineStr">
        <is>
          <t>OP16051</t>
        </is>
      </c>
      <c r="H2225" s="19">
        <f>UPPER(Table3[[#This Row],[Agen id]]&amp;"-"&amp;VLOOKUP(Table3[[#This Row],[Agen id]],A:B,2,0)&amp;"("&amp;Table3[[#This Row],[Short]]&amp;")")</f>
        <v/>
      </c>
      <c r="J2225" s="7">
        <f>VLOOKUP(Table3[[#This Row],[Agen id]],Agen!A:C,3,0)</f>
        <v/>
      </c>
      <c r="K2225" s="37">
        <f>TRIM(LEFT(Table3[[#This Row],[Group]],2))</f>
        <v/>
      </c>
      <c r="L2225" s="3" t="inlineStr">
        <is>
          <t>NON SALES</t>
        </is>
      </c>
    </row>
    <row r="2226">
      <c r="A2226" s="5" t="inlineStr">
        <is>
          <t>OP16052</t>
        </is>
      </c>
      <c r="B2226" s="6" t="inlineStr">
        <is>
          <t>Mammeng</t>
        </is>
      </c>
      <c r="C2226" s="7" t="inlineStr">
        <is>
          <t>A - Agen</t>
        </is>
      </c>
      <c r="D2226" s="1" t="inlineStr">
        <is>
          <t>OP00002</t>
        </is>
      </c>
      <c r="E2226" s="8" t="n">
        <v>45648.74444444444</v>
      </c>
      <c r="F2226" s="7" t="inlineStr">
        <is>
          <t>AGEN</t>
        </is>
      </c>
      <c r="G2226" s="18" t="inlineStr">
        <is>
          <t>OP16052</t>
        </is>
      </c>
      <c r="H2226" s="19">
        <f>UPPER(Table3[[#This Row],[Agen id]]&amp;"-"&amp;VLOOKUP(Table3[[#This Row],[Agen id]],A:B,2,0)&amp;"("&amp;Table3[[#This Row],[Short]]&amp;")")</f>
        <v/>
      </c>
      <c r="J2226" s="7">
        <f>VLOOKUP(Table3[[#This Row],[Agen id]],Agen!A:C,3,0)</f>
        <v/>
      </c>
      <c r="K2226" s="37">
        <f>TRIM(LEFT(Table3[[#This Row],[Group]],2))</f>
        <v/>
      </c>
      <c r="L2226" s="3" t="inlineStr">
        <is>
          <t>NON SALES</t>
        </is>
      </c>
    </row>
    <row r="2227">
      <c r="A2227" s="5" t="inlineStr">
        <is>
          <t>OP16053</t>
        </is>
      </c>
      <c r="B2227" s="6" t="inlineStr">
        <is>
          <t>Rahmat</t>
        </is>
      </c>
      <c r="C2227" s="7" t="inlineStr">
        <is>
          <t>A - Agen</t>
        </is>
      </c>
      <c r="D2227" s="1" t="inlineStr">
        <is>
          <t>OP00002</t>
        </is>
      </c>
      <c r="E2227" s="8" t="n">
        <v>45648.74861111111</v>
      </c>
      <c r="F2227" s="7" t="inlineStr">
        <is>
          <t>AGEN</t>
        </is>
      </c>
      <c r="G2227" s="18" t="inlineStr">
        <is>
          <t>OP16053</t>
        </is>
      </c>
      <c r="H2227" s="19">
        <f>UPPER(Table3[[#This Row],[Agen id]]&amp;"-"&amp;VLOOKUP(Table3[[#This Row],[Agen id]],A:B,2,0)&amp;"("&amp;Table3[[#This Row],[Short]]&amp;")")</f>
        <v/>
      </c>
      <c r="J2227" s="7">
        <f>VLOOKUP(Table3[[#This Row],[Agen id]],Agen!A:C,3,0)</f>
        <v/>
      </c>
      <c r="K2227" s="37">
        <f>TRIM(LEFT(Table3[[#This Row],[Group]],2))</f>
        <v/>
      </c>
      <c r="L2227" s="3" t="inlineStr">
        <is>
          <t>NON SALES</t>
        </is>
      </c>
    </row>
    <row r="2228">
      <c r="A2228" s="5" t="inlineStr">
        <is>
          <t>OP16054</t>
        </is>
      </c>
      <c r="B2228" s="6" t="inlineStr">
        <is>
          <t>Firman kidz</t>
        </is>
      </c>
      <c r="C2228" s="7" t="inlineStr">
        <is>
          <t>A - Agen</t>
        </is>
      </c>
      <c r="D2228" s="1" t="inlineStr">
        <is>
          <t>OP00002</t>
        </is>
      </c>
      <c r="E2228" s="8" t="n">
        <v>45648.88611111111</v>
      </c>
      <c r="F2228" s="7" t="inlineStr">
        <is>
          <t>AGEN</t>
        </is>
      </c>
      <c r="G2228" s="18" t="inlineStr">
        <is>
          <t>OP16054</t>
        </is>
      </c>
      <c r="H2228" s="19">
        <f>UPPER(Table3[[#This Row],[Agen id]]&amp;"-"&amp;VLOOKUP(Table3[[#This Row],[Agen id]],A:B,2,0)&amp;"("&amp;Table3[[#This Row],[Short]]&amp;")")</f>
        <v/>
      </c>
      <c r="J2228" s="7">
        <f>VLOOKUP(Table3[[#This Row],[Agen id]],Agen!A:C,3,0)</f>
        <v/>
      </c>
      <c r="K2228" s="37">
        <f>TRIM(LEFT(Table3[[#This Row],[Group]],2))</f>
        <v/>
      </c>
      <c r="L2228" s="3" t="inlineStr">
        <is>
          <t>NON SALES</t>
        </is>
      </c>
    </row>
    <row r="2229">
      <c r="A2229" s="5" t="inlineStr">
        <is>
          <t>OP16055</t>
        </is>
      </c>
      <c r="B2229" s="6" t="inlineStr">
        <is>
          <t>Cipluk</t>
        </is>
      </c>
      <c r="C2229" s="7" t="inlineStr">
        <is>
          <t>A - Agen</t>
        </is>
      </c>
      <c r="D2229" s="1" t="inlineStr">
        <is>
          <t>OP00002</t>
        </is>
      </c>
      <c r="E2229" s="8" t="n">
        <v>45648.92152777778</v>
      </c>
      <c r="F2229" s="7" t="inlineStr">
        <is>
          <t>AGEN</t>
        </is>
      </c>
      <c r="G2229" s="18" t="inlineStr">
        <is>
          <t>OP16055</t>
        </is>
      </c>
      <c r="H2229" s="19">
        <f>UPPER(Table3[[#This Row],[Agen id]]&amp;"-"&amp;VLOOKUP(Table3[[#This Row],[Agen id]],A:B,2,0)&amp;"("&amp;Table3[[#This Row],[Short]]&amp;")")</f>
        <v/>
      </c>
      <c r="J2229" s="7">
        <f>VLOOKUP(Table3[[#This Row],[Agen id]],Agen!A:C,3,0)</f>
        <v/>
      </c>
      <c r="K2229" s="37">
        <f>TRIM(LEFT(Table3[[#This Row],[Group]],2))</f>
        <v/>
      </c>
      <c r="L2229" s="3" t="inlineStr">
        <is>
          <t>NON SALES</t>
        </is>
      </c>
    </row>
    <row r="2230">
      <c r="A2230" s="5" t="inlineStr">
        <is>
          <t>OP16056</t>
        </is>
      </c>
      <c r="B2230" s="6" t="inlineStr">
        <is>
          <t>Kredivo</t>
        </is>
      </c>
      <c r="C2230" s="7" t="inlineStr">
        <is>
          <t>A - Agen</t>
        </is>
      </c>
      <c r="D2230" s="1" t="inlineStr">
        <is>
          <t>OP00002</t>
        </is>
      </c>
      <c r="E2230" s="8" t="n">
        <v>45648.95347222222</v>
      </c>
      <c r="F2230" s="7" t="inlineStr">
        <is>
          <t>AGEN</t>
        </is>
      </c>
      <c r="G2230" s="18" t="inlineStr">
        <is>
          <t>OP16056</t>
        </is>
      </c>
      <c r="H2230" s="19">
        <f>UPPER(Table3[[#This Row],[Agen id]]&amp;"-"&amp;VLOOKUP(Table3[[#This Row],[Agen id]],A:B,2,0)&amp;"("&amp;Table3[[#This Row],[Short]]&amp;")")</f>
        <v/>
      </c>
      <c r="J2230" s="7">
        <f>VLOOKUP(Table3[[#This Row],[Agen id]],Agen!A:C,3,0)</f>
        <v/>
      </c>
      <c r="K2230" s="37">
        <f>TRIM(LEFT(Table3[[#This Row],[Group]],2))</f>
        <v/>
      </c>
      <c r="L2230" s="3" t="inlineStr">
        <is>
          <t>NON SALES</t>
        </is>
      </c>
    </row>
    <row r="2231">
      <c r="A2231" s="5" t="inlineStr">
        <is>
          <t>OP16059</t>
        </is>
      </c>
      <c r="B2231" s="6" t="inlineStr">
        <is>
          <t>Sabar</t>
        </is>
      </c>
      <c r="C2231" s="7" t="inlineStr">
        <is>
          <t>A - Agen</t>
        </is>
      </c>
      <c r="D2231" s="1" t="inlineStr">
        <is>
          <t>OP00002</t>
        </is>
      </c>
      <c r="E2231" s="8" t="n">
        <v>45649.16527777778</v>
      </c>
      <c r="F2231" s="7" t="inlineStr">
        <is>
          <t>AGEN</t>
        </is>
      </c>
      <c r="G2231" s="18" t="inlineStr">
        <is>
          <t>OP16059</t>
        </is>
      </c>
      <c r="H2231" s="19">
        <f>UPPER(Table3[[#This Row],[Agen id]]&amp;"-"&amp;VLOOKUP(Table3[[#This Row],[Agen id]],A:B,2,0)&amp;"("&amp;Table3[[#This Row],[Short]]&amp;")")</f>
        <v/>
      </c>
      <c r="J2231" s="7">
        <f>VLOOKUP(Table3[[#This Row],[Agen id]],Agen!A:C,3,0)</f>
        <v/>
      </c>
      <c r="K2231" s="37">
        <f>TRIM(LEFT(Table3[[#This Row],[Group]],2))</f>
        <v/>
      </c>
      <c r="L2231" s="3" t="inlineStr">
        <is>
          <t>NON SALES</t>
        </is>
      </c>
    </row>
    <row r="2232">
      <c r="A2232" s="5" t="inlineStr">
        <is>
          <t>OP16067</t>
        </is>
      </c>
      <c r="B2232" s="6" t="inlineStr">
        <is>
          <t>TOKO SULTAN</t>
        </is>
      </c>
      <c r="C2232" s="7" t="inlineStr">
        <is>
          <t>AT1 - Agen Tangerang</t>
        </is>
      </c>
      <c r="D2232" s="1" t="inlineStr">
        <is>
          <t>OP07683</t>
        </is>
      </c>
      <c r="E2232" s="8" t="n">
        <v>45649.88958333333</v>
      </c>
      <c r="F2232" s="7" t="inlineStr">
        <is>
          <t>AGEN</t>
        </is>
      </c>
      <c r="G2232" s="18" t="inlineStr">
        <is>
          <t>OP16067</t>
        </is>
      </c>
      <c r="H2232" s="19">
        <f>UPPER(Table3[[#This Row],[Agen id]]&amp;"-"&amp;VLOOKUP(Table3[[#This Row],[Agen id]],A:B,2,0)&amp;"("&amp;Table3[[#This Row],[Short]]&amp;")")</f>
        <v/>
      </c>
      <c r="J2232" s="7">
        <f>VLOOKUP(Table3[[#This Row],[Agen id]],Agen!A:C,3,0)</f>
        <v/>
      </c>
      <c r="K2232" s="37">
        <f>TRIM(LEFT(Table3[[#This Row],[Group]],2))</f>
        <v/>
      </c>
      <c r="L2232" s="3" t="inlineStr">
        <is>
          <t>NON SALES</t>
        </is>
      </c>
    </row>
    <row r="2233">
      <c r="A2233" s="5" t="inlineStr">
        <is>
          <t>OP16074</t>
        </is>
      </c>
      <c r="B2233" s="6" t="inlineStr">
        <is>
          <t>Fitria</t>
        </is>
      </c>
      <c r="C2233" s="7" t="inlineStr">
        <is>
          <t>AV - Agen Verified</t>
        </is>
      </c>
      <c r="D2233" s="1" t="inlineStr">
        <is>
          <t>OP05672</t>
        </is>
      </c>
      <c r="E2233" s="8" t="n">
        <v>45650.28333333333</v>
      </c>
      <c r="F2233" s="7" t="inlineStr">
        <is>
          <t>DOWNLINE</t>
        </is>
      </c>
      <c r="G2233" s="18" t="inlineStr">
        <is>
          <t>OP04523</t>
        </is>
      </c>
      <c r="H2233" s="19">
        <f>UPPER(Table3[[#This Row],[Agen id]]&amp;"-"&amp;VLOOKUP(Table3[[#This Row],[Agen id]],A:B,2,0)&amp;"("&amp;Table3[[#This Row],[Short]]&amp;")")</f>
        <v/>
      </c>
      <c r="J2233" s="7">
        <f>VLOOKUP(Table3[[#This Row],[Agen id]],Agen!A:C,3,0)</f>
        <v/>
      </c>
      <c r="K2233" s="37">
        <f>TRIM(LEFT(Table3[[#This Row],[Group]],2))</f>
        <v/>
      </c>
      <c r="L2233" s="3" t="inlineStr">
        <is>
          <t>NON SALES</t>
        </is>
      </c>
    </row>
    <row r="2234">
      <c r="A2234" s="5" t="inlineStr">
        <is>
          <t>OP16125</t>
        </is>
      </c>
      <c r="B2234" s="6" t="inlineStr">
        <is>
          <t>Nur asiah</t>
        </is>
      </c>
      <c r="C2234" s="7" t="inlineStr">
        <is>
          <t>A - Agen</t>
        </is>
      </c>
      <c r="D2234" s="1" t="inlineStr">
        <is>
          <t>OP00002</t>
        </is>
      </c>
      <c r="E2234" s="8" t="n">
        <v>45653.30555555555</v>
      </c>
      <c r="F2234" s="7" t="inlineStr">
        <is>
          <t>AGEN</t>
        </is>
      </c>
      <c r="G2234" s="18" t="inlineStr">
        <is>
          <t>OP16125</t>
        </is>
      </c>
      <c r="H2234" s="19">
        <f>UPPER(Table3[[#This Row],[Agen id]]&amp;"-"&amp;VLOOKUP(Table3[[#This Row],[Agen id]],A:B,2,0)&amp;"("&amp;Table3[[#This Row],[Short]]&amp;")")</f>
        <v/>
      </c>
      <c r="J2234" s="7">
        <f>VLOOKUP(Table3[[#This Row],[Agen id]],Agen!A:C,3,0)</f>
        <v/>
      </c>
      <c r="K2234" s="37">
        <f>TRIM(LEFT(Table3[[#This Row],[Group]],2))</f>
        <v/>
      </c>
      <c r="L2234" s="3" t="inlineStr">
        <is>
          <t>NON SALES</t>
        </is>
      </c>
    </row>
    <row r="2235">
      <c r="A2235" s="5" t="inlineStr">
        <is>
          <t>OP16144</t>
        </is>
      </c>
      <c r="B2235" s="6" t="inlineStr">
        <is>
          <t>Nuralpiah</t>
        </is>
      </c>
      <c r="C2235" s="7" t="inlineStr">
        <is>
          <t>A - Agen</t>
        </is>
      </c>
      <c r="D2235" s="1" t="inlineStr">
        <is>
          <t>OP08228</t>
        </is>
      </c>
      <c r="E2235" s="8" t="n">
        <v>45654.38888888889</v>
      </c>
      <c r="F2235" s="7" t="inlineStr">
        <is>
          <t>DOWNLINE</t>
        </is>
      </c>
      <c r="G2235" s="18" t="inlineStr">
        <is>
          <t>OP08228</t>
        </is>
      </c>
      <c r="H2235" s="19">
        <f>UPPER(Table3[[#This Row],[Agen id]]&amp;"-"&amp;VLOOKUP(Table3[[#This Row],[Agen id]],A:B,2,0)&amp;"("&amp;Table3[[#This Row],[Short]]&amp;")")</f>
        <v/>
      </c>
      <c r="J2235" s="7">
        <f>VLOOKUP(Table3[[#This Row],[Agen id]],Agen!A:C,3,0)</f>
        <v/>
      </c>
      <c r="K2235" s="37">
        <f>TRIM(LEFT(Table3[[#This Row],[Group]],2))</f>
        <v/>
      </c>
      <c r="L2235" s="3" t="inlineStr">
        <is>
          <t>NON SALES</t>
        </is>
      </c>
    </row>
    <row r="2236">
      <c r="A2236" s="5" t="inlineStr">
        <is>
          <t>OP16159</t>
        </is>
      </c>
      <c r="B2236" s="6" t="inlineStr">
        <is>
          <t>Muriah</t>
        </is>
      </c>
      <c r="C2236" s="7" t="inlineStr">
        <is>
          <t>AV - Agen Verified</t>
        </is>
      </c>
      <c r="D2236" s="1" t="inlineStr">
        <is>
          <t>OP00002</t>
        </is>
      </c>
      <c r="E2236" s="8" t="n">
        <v>45655.32638888889</v>
      </c>
      <c r="F2236" s="7" t="inlineStr">
        <is>
          <t>AGEN</t>
        </is>
      </c>
      <c r="G2236" s="18" t="inlineStr">
        <is>
          <t>OP16159</t>
        </is>
      </c>
      <c r="H2236" s="19">
        <f>UPPER(Table3[[#This Row],[Agen id]]&amp;"-"&amp;VLOOKUP(Table3[[#This Row],[Agen id]],A:B,2,0)&amp;"("&amp;Table3[[#This Row],[Short]]&amp;")")</f>
        <v/>
      </c>
      <c r="J2236" s="7">
        <f>VLOOKUP(Table3[[#This Row],[Agen id]],Agen!A:C,3,0)</f>
        <v/>
      </c>
      <c r="K2236" s="37">
        <f>TRIM(LEFT(Table3[[#This Row],[Group]],2))</f>
        <v/>
      </c>
      <c r="L2236" s="3" t="inlineStr">
        <is>
          <t>NON SALES</t>
        </is>
      </c>
    </row>
    <row r="2237">
      <c r="A2237" s="5" t="inlineStr">
        <is>
          <t>OP16177</t>
        </is>
      </c>
      <c r="B2237" s="6" t="inlineStr">
        <is>
          <t>NAIDA</t>
        </is>
      </c>
      <c r="C2237" s="7" t="inlineStr">
        <is>
          <t>AV - Agen Verified</t>
        </is>
      </c>
      <c r="D2237" s="1" t="inlineStr">
        <is>
          <t>OP15668</t>
        </is>
      </c>
      <c r="E2237" s="8" t="n">
        <v>45658.43472222222</v>
      </c>
      <c r="F2237" s="7" t="inlineStr">
        <is>
          <t>DOWNLINE</t>
        </is>
      </c>
      <c r="G2237" s="18" t="inlineStr">
        <is>
          <t>OP15668</t>
        </is>
      </c>
      <c r="H2237" s="19">
        <f>UPPER(Table3[[#This Row],[Agen id]]&amp;"-"&amp;VLOOKUP(Table3[[#This Row],[Agen id]],A:B,2,0)&amp;"("&amp;Table3[[#This Row],[Short]]&amp;")")</f>
        <v/>
      </c>
      <c r="J2237" s="7">
        <f>VLOOKUP(Table3[[#This Row],[Agen id]],Agen!A:C,3,0)</f>
        <v/>
      </c>
      <c r="K2237" s="37">
        <f>TRIM(LEFT(Table3[[#This Row],[Group]],2))</f>
        <v/>
      </c>
      <c r="L2237" s="3" t="inlineStr">
        <is>
          <t>NON SALES</t>
        </is>
      </c>
    </row>
    <row r="2238">
      <c r="A2238" s="5" t="inlineStr">
        <is>
          <t>OP16178</t>
        </is>
      </c>
      <c r="B2238" s="6" t="inlineStr">
        <is>
          <t>Fiyah</t>
        </is>
      </c>
      <c r="C2238" s="7" t="inlineStr">
        <is>
          <t>AV - Agen Verified</t>
        </is>
      </c>
      <c r="D2238" s="1" t="inlineStr">
        <is>
          <t>OP00002</t>
        </is>
      </c>
      <c r="E2238" s="8" t="n">
        <v>45658.76736111111</v>
      </c>
      <c r="F2238" s="7" t="inlineStr">
        <is>
          <t>AGEN</t>
        </is>
      </c>
      <c r="G2238" s="18" t="inlineStr">
        <is>
          <t>OP16178</t>
        </is>
      </c>
      <c r="H2238" s="19">
        <f>UPPER(Table3[[#This Row],[Agen id]]&amp;"-"&amp;VLOOKUP(Table3[[#This Row],[Agen id]],A:B,2,0)&amp;"("&amp;Table3[[#This Row],[Short]]&amp;")")</f>
        <v/>
      </c>
      <c r="J2238" s="7">
        <f>VLOOKUP(Table3[[#This Row],[Agen id]],Agen!A:C,3,0)</f>
        <v/>
      </c>
      <c r="K2238" s="37">
        <f>TRIM(LEFT(Table3[[#This Row],[Group]],2))</f>
        <v/>
      </c>
      <c r="L2238" s="3" t="inlineStr">
        <is>
          <t>NON SALES</t>
        </is>
      </c>
    </row>
    <row r="2239">
      <c r="A2239" s="5" t="inlineStr">
        <is>
          <t>OP16187</t>
        </is>
      </c>
      <c r="B2239" s="6" t="inlineStr">
        <is>
          <t>Budi waluyo</t>
        </is>
      </c>
      <c r="C2239" s="7" t="inlineStr">
        <is>
          <t>A - Agen</t>
        </is>
      </c>
      <c r="D2239" s="1" t="inlineStr">
        <is>
          <t>OP00002</t>
        </is>
      </c>
      <c r="E2239" s="8" t="n">
        <v>45660.31180555555</v>
      </c>
      <c r="F2239" s="7" t="inlineStr">
        <is>
          <t>AGEN</t>
        </is>
      </c>
      <c r="G2239" s="18" t="inlineStr">
        <is>
          <t>OP16187</t>
        </is>
      </c>
      <c r="H2239" s="19">
        <f>UPPER(Table3[[#This Row],[Agen id]]&amp;"-"&amp;VLOOKUP(Table3[[#This Row],[Agen id]],A:B,2,0)&amp;"("&amp;Table3[[#This Row],[Short]]&amp;")")</f>
        <v/>
      </c>
      <c r="J2239" s="7">
        <f>VLOOKUP(Table3[[#This Row],[Agen id]],Agen!A:C,3,0)</f>
        <v/>
      </c>
      <c r="K2239" s="37">
        <f>TRIM(LEFT(Table3[[#This Row],[Group]],2))</f>
        <v/>
      </c>
      <c r="L2239" s="3" t="inlineStr">
        <is>
          <t>NON SALES</t>
        </is>
      </c>
    </row>
    <row r="2240">
      <c r="A2240" s="5" t="inlineStr">
        <is>
          <t>OP16257</t>
        </is>
      </c>
      <c r="B2240" s="6" t="inlineStr">
        <is>
          <t>ulfa cell</t>
        </is>
      </c>
      <c r="C2240" s="7" t="inlineStr">
        <is>
          <t>AV - Agen Verified</t>
        </is>
      </c>
      <c r="D2240" s="1" t="inlineStr">
        <is>
          <t>OP15668</t>
        </is>
      </c>
      <c r="E2240" s="8" t="n">
        <v>45662.40277777778</v>
      </c>
      <c r="F2240" s="7" t="inlineStr">
        <is>
          <t>DOWNLINE</t>
        </is>
      </c>
      <c r="G2240" s="18" t="inlineStr">
        <is>
          <t>OP15668</t>
        </is>
      </c>
      <c r="H2240" s="19">
        <f>UPPER(Table3[[#This Row],[Agen id]]&amp;"-"&amp;VLOOKUP(Table3[[#This Row],[Agen id]],A:B,2,0)&amp;"("&amp;Table3[[#This Row],[Short]]&amp;")")</f>
        <v/>
      </c>
      <c r="J2240" s="7">
        <f>VLOOKUP(Table3[[#This Row],[Agen id]],Agen!A:C,3,0)</f>
        <v/>
      </c>
      <c r="K2240" s="37">
        <f>TRIM(LEFT(Table3[[#This Row],[Group]],2))</f>
        <v/>
      </c>
      <c r="L2240" s="3" t="inlineStr">
        <is>
          <t>NON SALES</t>
        </is>
      </c>
    </row>
    <row r="2241">
      <c r="A2241" s="5" t="inlineStr">
        <is>
          <t>OP16290</t>
        </is>
      </c>
      <c r="B2241" s="6" t="inlineStr">
        <is>
          <t>Alberto</t>
        </is>
      </c>
      <c r="C2241" s="7" t="inlineStr">
        <is>
          <t>A - Agen</t>
        </is>
      </c>
      <c r="D2241" s="1" t="inlineStr">
        <is>
          <t>OP00002</t>
        </is>
      </c>
      <c r="E2241" s="8" t="n">
        <v>45662.96666666667</v>
      </c>
      <c r="F2241" s="7" t="inlineStr">
        <is>
          <t>AGEN</t>
        </is>
      </c>
      <c r="G2241" s="18" t="inlineStr">
        <is>
          <t>OP16290</t>
        </is>
      </c>
      <c r="H2241" s="19">
        <f>UPPER(Table3[[#This Row],[Agen id]]&amp;"-"&amp;VLOOKUP(Table3[[#This Row],[Agen id]],A:B,2,0)&amp;"("&amp;Table3[[#This Row],[Short]]&amp;")")</f>
        <v/>
      </c>
      <c r="J2241" s="7">
        <f>VLOOKUP(Table3[[#This Row],[Agen id]],Agen!A:C,3,0)</f>
        <v/>
      </c>
      <c r="K2241" s="37">
        <f>TRIM(LEFT(Table3[[#This Row],[Group]],2))</f>
        <v/>
      </c>
      <c r="L2241" s="3" t="inlineStr">
        <is>
          <t>NON SALES</t>
        </is>
      </c>
    </row>
    <row r="2242">
      <c r="A2242" s="5" t="inlineStr">
        <is>
          <t>OP16292</t>
        </is>
      </c>
      <c r="B2242" s="6" t="inlineStr">
        <is>
          <t>Judika Simangunsong</t>
        </is>
      </c>
      <c r="C2242" s="7" t="inlineStr">
        <is>
          <t>A - Agen</t>
        </is>
      </c>
      <c r="D2242" s="1" t="inlineStr">
        <is>
          <t>OP13615</t>
        </is>
      </c>
      <c r="E2242" s="8" t="n">
        <v>45663.43541666667</v>
      </c>
      <c r="F2242" s="7" t="inlineStr">
        <is>
          <t>DOWNLINE</t>
        </is>
      </c>
      <c r="G2242" s="18" t="inlineStr">
        <is>
          <t>OP01449</t>
        </is>
      </c>
      <c r="H2242" s="19">
        <f>UPPER(Table3[[#This Row],[Agen id]]&amp;"-"&amp;VLOOKUP(Table3[[#This Row],[Agen id]],A:B,2,0)&amp;"("&amp;Table3[[#This Row],[Short]]&amp;")")</f>
        <v/>
      </c>
      <c r="J2242" s="7">
        <f>VLOOKUP(Table3[[#This Row],[Agen id]],Agen!A:C,3,0)</f>
        <v/>
      </c>
      <c r="K2242" s="37">
        <f>TRIM(LEFT(Table3[[#This Row],[Group]],2))</f>
        <v/>
      </c>
      <c r="L2242" s="3" t="inlineStr">
        <is>
          <t>NON SALES</t>
        </is>
      </c>
    </row>
    <row r="2243">
      <c r="A2243" s="5" t="inlineStr">
        <is>
          <t>OP16323</t>
        </is>
      </c>
      <c r="B2243" s="6" t="inlineStr">
        <is>
          <t>Walada</t>
        </is>
      </c>
      <c r="C2243" s="7" t="inlineStr">
        <is>
          <t>AV - Agen Verified</t>
        </is>
      </c>
      <c r="D2243" s="1" t="inlineStr">
        <is>
          <t>OP00002</t>
        </is>
      </c>
      <c r="E2243" s="8" t="n">
        <v>45663.9125</v>
      </c>
      <c r="F2243" s="7" t="inlineStr">
        <is>
          <t>AGEN</t>
        </is>
      </c>
      <c r="G2243" s="18" t="inlineStr">
        <is>
          <t>OP16323</t>
        </is>
      </c>
      <c r="H2243" s="19">
        <f>UPPER(Table3[[#This Row],[Agen id]]&amp;"-"&amp;VLOOKUP(Table3[[#This Row],[Agen id]],A:B,2,0)&amp;"("&amp;Table3[[#This Row],[Short]]&amp;")")</f>
        <v/>
      </c>
      <c r="J2243" s="7">
        <f>VLOOKUP(Table3[[#This Row],[Agen id]],Agen!A:C,3,0)</f>
        <v/>
      </c>
      <c r="K2243" s="37">
        <f>TRIM(LEFT(Table3[[#This Row],[Group]],2))</f>
        <v/>
      </c>
      <c r="L2243" s="3" t="inlineStr">
        <is>
          <t>NON SALES</t>
        </is>
      </c>
    </row>
    <row r="2244">
      <c r="A2244" s="5" t="inlineStr">
        <is>
          <t>OP16351</t>
        </is>
      </c>
      <c r="B2244" s="6" t="inlineStr">
        <is>
          <t>24 CELLULAR 4</t>
        </is>
      </c>
      <c r="C2244" s="7" t="inlineStr">
        <is>
          <t>MK - Marketing</t>
        </is>
      </c>
      <c r="D2244" s="1" t="inlineStr">
        <is>
          <t>OP07489</t>
        </is>
      </c>
      <c r="E2244" s="8" t="n">
        <v>45664.48680555556</v>
      </c>
      <c r="F2244" s="7" t="inlineStr">
        <is>
          <t>DOWNLINE</t>
        </is>
      </c>
      <c r="G2244" s="18" t="inlineStr">
        <is>
          <t>OP07489</t>
        </is>
      </c>
      <c r="H2244" s="19">
        <f>UPPER(Table3[[#This Row],[Agen id]]&amp;"-"&amp;VLOOKUP(Table3[[#This Row],[Agen id]],A:B,2,0)&amp;"("&amp;Table3[[#This Row],[Short]]&amp;")")</f>
        <v/>
      </c>
      <c r="J2244" s="7">
        <f>VLOOKUP(Table3[[#This Row],[Agen id]],Agen!A:C,3,0)</f>
        <v/>
      </c>
      <c r="K2244" s="37">
        <f>TRIM(LEFT(Table3[[#This Row],[Group]],2))</f>
        <v/>
      </c>
      <c r="L2244" s="3" t="inlineStr">
        <is>
          <t>NON SALES</t>
        </is>
      </c>
    </row>
    <row r="2245">
      <c r="A2245" s="5" t="inlineStr">
        <is>
          <t>OP16398</t>
        </is>
      </c>
      <c r="B2245" s="6" t="inlineStr">
        <is>
          <t>toko shaka</t>
        </is>
      </c>
      <c r="C2245" s="7" t="inlineStr">
        <is>
          <t>AV - Agen Verified</t>
        </is>
      </c>
      <c r="D2245" s="1" t="inlineStr">
        <is>
          <t>OP03216</t>
        </is>
      </c>
      <c r="E2245" s="8" t="n">
        <v>45665.36111111111</v>
      </c>
      <c r="F2245" s="7" t="inlineStr">
        <is>
          <t>DOWNLINE</t>
        </is>
      </c>
      <c r="G2245" s="18" t="inlineStr">
        <is>
          <t>OP00049</t>
        </is>
      </c>
      <c r="H2245" s="19">
        <f>UPPER(Table3[[#This Row],[Agen id]]&amp;"-"&amp;VLOOKUP(Table3[[#This Row],[Agen id]],A:B,2,0)&amp;"("&amp;Table3[[#This Row],[Short]]&amp;")")</f>
        <v/>
      </c>
      <c r="J2245" s="7">
        <f>VLOOKUP(Table3[[#This Row],[Agen id]],Agen!A:C,3,0)</f>
        <v/>
      </c>
      <c r="K2245" s="37">
        <f>TRIM(LEFT(Table3[[#This Row],[Group]],2))</f>
        <v/>
      </c>
      <c r="L2245" s="3" t="inlineStr">
        <is>
          <t>NON SALES</t>
        </is>
      </c>
    </row>
    <row r="2246">
      <c r="A2246" s="5" t="inlineStr">
        <is>
          <t>OP16403</t>
        </is>
      </c>
      <c r="B2246" s="6" t="inlineStr">
        <is>
          <t>Nama Avika</t>
        </is>
      </c>
      <c r="C2246" s="7" t="inlineStr">
        <is>
          <t>A - Agen</t>
        </is>
      </c>
      <c r="D2246" s="1" t="inlineStr">
        <is>
          <t>OP00002</t>
        </is>
      </c>
      <c r="E2246" s="8" t="n">
        <v>45665.70625</v>
      </c>
      <c r="F2246" s="7" t="inlineStr">
        <is>
          <t>AGEN</t>
        </is>
      </c>
      <c r="G2246" s="18" t="inlineStr">
        <is>
          <t>OP16403</t>
        </is>
      </c>
      <c r="H2246" s="19">
        <f>UPPER(Table3[[#This Row],[Agen id]]&amp;"-"&amp;VLOOKUP(Table3[[#This Row],[Agen id]],A:B,2,0)&amp;"("&amp;Table3[[#This Row],[Short]]&amp;")")</f>
        <v/>
      </c>
      <c r="J2246" s="7">
        <f>VLOOKUP(Table3[[#This Row],[Agen id]],Agen!A:C,3,0)</f>
        <v/>
      </c>
      <c r="K2246" s="37">
        <f>TRIM(LEFT(Table3[[#This Row],[Group]],2))</f>
        <v/>
      </c>
      <c r="L2246" s="3" t="inlineStr">
        <is>
          <t>NON SALES</t>
        </is>
      </c>
    </row>
    <row r="2247">
      <c r="A2247" s="5" t="inlineStr">
        <is>
          <t>OP16448</t>
        </is>
      </c>
      <c r="B2247" s="6" t="inlineStr">
        <is>
          <t>Saihan</t>
        </is>
      </c>
      <c r="C2247" s="7" t="inlineStr">
        <is>
          <t>A - Agen</t>
        </is>
      </c>
      <c r="D2247" s="1" t="inlineStr">
        <is>
          <t>OP00002</t>
        </is>
      </c>
      <c r="E2247" s="8" t="n">
        <v>45666.79375</v>
      </c>
      <c r="F2247" s="7" t="inlineStr">
        <is>
          <t>AGEN</t>
        </is>
      </c>
      <c r="G2247" s="18" t="inlineStr">
        <is>
          <t>OP16448</t>
        </is>
      </c>
      <c r="H2247" s="19">
        <f>UPPER(Table3[[#This Row],[Agen id]]&amp;"-"&amp;VLOOKUP(Table3[[#This Row],[Agen id]],A:B,2,0)&amp;"("&amp;Table3[[#This Row],[Short]]&amp;")")</f>
        <v/>
      </c>
      <c r="J2247" s="7">
        <f>VLOOKUP(Table3[[#This Row],[Agen id]],Agen!A:C,3,0)</f>
        <v/>
      </c>
      <c r="K2247" s="37">
        <f>TRIM(LEFT(Table3[[#This Row],[Group]],2))</f>
        <v/>
      </c>
      <c r="L2247" s="3" t="inlineStr">
        <is>
          <t>NON SALES</t>
        </is>
      </c>
    </row>
    <row r="2248">
      <c r="A2248" s="5" t="inlineStr">
        <is>
          <t>OP16487</t>
        </is>
      </c>
      <c r="B2248" s="6" t="inlineStr">
        <is>
          <t>yulia</t>
        </is>
      </c>
      <c r="C2248" s="7" t="inlineStr">
        <is>
          <t>AV - Agen Verified</t>
        </is>
      </c>
      <c r="D2248" s="1" t="inlineStr">
        <is>
          <t>OP15668</t>
        </is>
      </c>
      <c r="E2248" s="8" t="n">
        <v>45667.55625</v>
      </c>
      <c r="F2248" s="7" t="inlineStr">
        <is>
          <t>DOWNLINE</t>
        </is>
      </c>
      <c r="G2248" s="18" t="inlineStr">
        <is>
          <t>OP15668</t>
        </is>
      </c>
      <c r="H2248" s="19">
        <f>UPPER(Table3[[#This Row],[Agen id]]&amp;"-"&amp;VLOOKUP(Table3[[#This Row],[Agen id]],A:B,2,0)&amp;"("&amp;Table3[[#This Row],[Short]]&amp;")")</f>
        <v/>
      </c>
      <c r="J2248" s="7">
        <f>VLOOKUP(Table3[[#This Row],[Agen id]],Agen!A:C,3,0)</f>
        <v/>
      </c>
      <c r="K2248" s="37">
        <f>TRIM(LEFT(Table3[[#This Row],[Group]],2))</f>
        <v/>
      </c>
      <c r="L2248" s="3" t="inlineStr">
        <is>
          <t>NON SALES</t>
        </is>
      </c>
    </row>
    <row r="2249">
      <c r="A2249" s="5" t="inlineStr">
        <is>
          <t>OP16529</t>
        </is>
      </c>
      <c r="B2249" s="6" t="inlineStr">
        <is>
          <t>sindihariska</t>
        </is>
      </c>
      <c r="C2249" s="7" t="inlineStr">
        <is>
          <t>A - Agen</t>
        </is>
      </c>
      <c r="D2249" s="1" t="inlineStr">
        <is>
          <t>OP00002</t>
        </is>
      </c>
      <c r="E2249" s="8" t="n">
        <v>45668.75625</v>
      </c>
      <c r="F2249" s="7" t="inlineStr">
        <is>
          <t>AGEN</t>
        </is>
      </c>
      <c r="G2249" s="18" t="inlineStr">
        <is>
          <t>OP16529</t>
        </is>
      </c>
      <c r="H2249" s="19">
        <f>UPPER(Table3[[#This Row],[Agen id]]&amp;"-"&amp;VLOOKUP(Table3[[#This Row],[Agen id]],A:B,2,0)&amp;"("&amp;Table3[[#This Row],[Short]]&amp;")")</f>
        <v/>
      </c>
      <c r="J2249" s="7">
        <f>VLOOKUP(Table3[[#This Row],[Agen id]],Agen!A:C,3,0)</f>
        <v/>
      </c>
      <c r="K2249" s="37">
        <f>TRIM(LEFT(Table3[[#This Row],[Group]],2))</f>
        <v/>
      </c>
      <c r="L2249" s="3" t="inlineStr">
        <is>
          <t>NON SALES</t>
        </is>
      </c>
    </row>
    <row r="2250">
      <c r="A2250" s="5" t="inlineStr">
        <is>
          <t>OP16578</t>
        </is>
      </c>
      <c r="B2250" s="6" t="inlineStr">
        <is>
          <t>Imam tamami</t>
        </is>
      </c>
      <c r="C2250" s="7" t="inlineStr">
        <is>
          <t>A - Agen</t>
        </is>
      </c>
      <c r="D2250" s="1" t="inlineStr">
        <is>
          <t>OP00615</t>
        </is>
      </c>
      <c r="E2250" s="8" t="n">
        <v>45669.97222222222</v>
      </c>
      <c r="F2250" s="7" t="inlineStr">
        <is>
          <t>DOWNLINE</t>
        </is>
      </c>
      <c r="G2250" s="18" t="inlineStr">
        <is>
          <t>OP00049</t>
        </is>
      </c>
      <c r="H2250" s="19">
        <f>UPPER(Table3[[#This Row],[Agen id]]&amp;"-"&amp;VLOOKUP(Table3[[#This Row],[Agen id]],A:B,2,0)&amp;"("&amp;Table3[[#This Row],[Short]]&amp;")")</f>
        <v/>
      </c>
      <c r="J2250" s="7">
        <f>VLOOKUP(Table3[[#This Row],[Agen id]],Agen!A:C,3,0)</f>
        <v/>
      </c>
      <c r="K2250" s="37">
        <f>TRIM(LEFT(Table3[[#This Row],[Group]],2))</f>
        <v/>
      </c>
      <c r="L2250" s="3" t="inlineStr">
        <is>
          <t>NON SALES</t>
        </is>
      </c>
    </row>
    <row r="2251">
      <c r="A2251" s="5" t="inlineStr">
        <is>
          <t>OP16663</t>
        </is>
      </c>
      <c r="B2251" s="6" t="inlineStr">
        <is>
          <t>Alfian</t>
        </is>
      </c>
      <c r="C2251" s="7" t="inlineStr">
        <is>
          <t>A - Agen</t>
        </is>
      </c>
      <c r="D2251" s="1" t="inlineStr">
        <is>
          <t>OP00002</t>
        </is>
      </c>
      <c r="E2251" s="8" t="n">
        <v>45672.63888888889</v>
      </c>
      <c r="F2251" s="7" t="inlineStr">
        <is>
          <t>AGEN</t>
        </is>
      </c>
      <c r="G2251" s="18" t="inlineStr">
        <is>
          <t>OP16663</t>
        </is>
      </c>
      <c r="H2251" s="19">
        <f>UPPER(Table3[[#This Row],[Agen id]]&amp;"-"&amp;VLOOKUP(Table3[[#This Row],[Agen id]],A:B,2,0)&amp;"("&amp;Table3[[#This Row],[Short]]&amp;")")</f>
        <v/>
      </c>
      <c r="J2251" s="7">
        <f>VLOOKUP(Table3[[#This Row],[Agen id]],Agen!A:C,3,0)</f>
        <v/>
      </c>
      <c r="K2251" s="37">
        <f>TRIM(LEFT(Table3[[#This Row],[Group]],2))</f>
        <v/>
      </c>
      <c r="L2251" s="3" t="inlineStr">
        <is>
          <t>NON SALES</t>
        </is>
      </c>
    </row>
    <row r="2252">
      <c r="A2252" s="5" t="inlineStr">
        <is>
          <t>OP16706</t>
        </is>
      </c>
      <c r="B2252" s="6" t="inlineStr">
        <is>
          <t>raja cell</t>
        </is>
      </c>
      <c r="C2252" s="7" t="inlineStr">
        <is>
          <t>A - Agen</t>
        </is>
      </c>
      <c r="D2252" s="1" t="inlineStr">
        <is>
          <t>OP15072</t>
        </is>
      </c>
      <c r="E2252" s="8" t="n">
        <v>45673.87361111111</v>
      </c>
      <c r="F2252" s="7" t="inlineStr">
        <is>
          <t>DOWNLINE</t>
        </is>
      </c>
      <c r="G2252" s="18" t="inlineStr">
        <is>
          <t>OP00996</t>
        </is>
      </c>
      <c r="H2252" s="19">
        <f>UPPER(Table3[[#This Row],[Agen id]]&amp;"-"&amp;VLOOKUP(Table3[[#This Row],[Agen id]],A:B,2,0)&amp;"("&amp;Table3[[#This Row],[Short]]&amp;")")</f>
        <v/>
      </c>
      <c r="J2252" s="7">
        <f>VLOOKUP(Table3[[#This Row],[Agen id]],Agen!A:C,3,0)</f>
        <v/>
      </c>
      <c r="K2252" s="37">
        <f>TRIM(LEFT(Table3[[#This Row],[Group]],2))</f>
        <v/>
      </c>
      <c r="L2252" s="3" t="inlineStr">
        <is>
          <t>NON SALES</t>
        </is>
      </c>
    </row>
    <row r="2253">
      <c r="A2253" s="5" t="inlineStr">
        <is>
          <t>OP16735</t>
        </is>
      </c>
      <c r="B2253" s="6" t="inlineStr">
        <is>
          <t>Rizal Laia</t>
        </is>
      </c>
      <c r="C2253" s="7" t="inlineStr">
        <is>
          <t>A - Agen</t>
        </is>
      </c>
      <c r="D2253" s="1" t="inlineStr">
        <is>
          <t>OP00002</t>
        </is>
      </c>
      <c r="E2253" s="8" t="n">
        <v>45674.99861111111</v>
      </c>
      <c r="F2253" s="7" t="inlineStr">
        <is>
          <t>AGEN</t>
        </is>
      </c>
      <c r="G2253" s="18" t="inlineStr">
        <is>
          <t>OP16735</t>
        </is>
      </c>
      <c r="H2253" s="19">
        <f>UPPER(Table3[[#This Row],[Agen id]]&amp;"-"&amp;VLOOKUP(Table3[[#This Row],[Agen id]],A:B,2,0)&amp;"("&amp;Table3[[#This Row],[Short]]&amp;")")</f>
        <v/>
      </c>
      <c r="J2253" s="7">
        <f>VLOOKUP(Table3[[#This Row],[Agen id]],Agen!A:C,3,0)</f>
        <v/>
      </c>
      <c r="K2253" s="37">
        <f>TRIM(LEFT(Table3[[#This Row],[Group]],2))</f>
        <v/>
      </c>
      <c r="L2253" s="3" t="inlineStr">
        <is>
          <t>NON SALES</t>
        </is>
      </c>
    </row>
    <row r="2254">
      <c r="A2254" s="5" t="inlineStr">
        <is>
          <t>OP16760</t>
        </is>
      </c>
      <c r="B2254" s="6" t="inlineStr">
        <is>
          <t>Juniadi syahputra</t>
        </is>
      </c>
      <c r="C2254" s="7" t="inlineStr">
        <is>
          <t>A - Agen</t>
        </is>
      </c>
      <c r="D2254" s="1" t="inlineStr">
        <is>
          <t>OP00002</t>
        </is>
      </c>
      <c r="E2254" s="8" t="n">
        <v>45675.87152777778</v>
      </c>
      <c r="F2254" s="7" t="inlineStr">
        <is>
          <t>AGEN</t>
        </is>
      </c>
      <c r="G2254" s="18" t="inlineStr">
        <is>
          <t>OP16760</t>
        </is>
      </c>
      <c r="H2254" s="19">
        <f>UPPER(Table3[[#This Row],[Agen id]]&amp;"-"&amp;VLOOKUP(Table3[[#This Row],[Agen id]],A:B,2,0)&amp;"("&amp;Table3[[#This Row],[Short]]&amp;")")</f>
        <v/>
      </c>
      <c r="J2254" s="7">
        <f>VLOOKUP(Table3[[#This Row],[Agen id]],Agen!A:C,3,0)</f>
        <v/>
      </c>
      <c r="K2254" s="37">
        <f>TRIM(LEFT(Table3[[#This Row],[Group]],2))</f>
        <v/>
      </c>
      <c r="L2254" s="3" t="inlineStr">
        <is>
          <t>NON SALES</t>
        </is>
      </c>
    </row>
    <row r="2255">
      <c r="A2255" s="5" t="inlineStr">
        <is>
          <t>OP16765</t>
        </is>
      </c>
      <c r="B2255" s="6" t="inlineStr">
        <is>
          <t>SUMBER RIZQI8</t>
        </is>
      </c>
      <c r="C2255" s="7" t="inlineStr">
        <is>
          <t>AV - Agen Verified</t>
        </is>
      </c>
      <c r="D2255" s="1" t="inlineStr">
        <is>
          <t>OP00003</t>
        </is>
      </c>
      <c r="E2255" s="8" t="n">
        <v>45676.27986111111</v>
      </c>
      <c r="F2255" s="7" t="inlineStr">
        <is>
          <t>AGEN</t>
        </is>
      </c>
      <c r="G2255" s="18" t="inlineStr">
        <is>
          <t>OP16765</t>
        </is>
      </c>
      <c r="H2255" s="19">
        <f>UPPER(Table3[[#This Row],[Agen id]]&amp;"-"&amp;VLOOKUP(Table3[[#This Row],[Agen id]],A:B,2,0)&amp;"("&amp;Table3[[#This Row],[Short]]&amp;")")</f>
        <v/>
      </c>
      <c r="J2255" s="7">
        <f>VLOOKUP(Table3[[#This Row],[Agen id]],Agen!A:C,3,0)</f>
        <v/>
      </c>
      <c r="K2255" s="37">
        <f>TRIM(LEFT(Table3[[#This Row],[Group]],2))</f>
        <v/>
      </c>
      <c r="L2255" s="3" t="inlineStr">
        <is>
          <t>NON SALES</t>
        </is>
      </c>
    </row>
    <row r="2256">
      <c r="A2256" s="5" t="inlineStr">
        <is>
          <t>OP16832</t>
        </is>
      </c>
      <c r="B2256" s="6" t="inlineStr">
        <is>
          <t>Chara Ginting</t>
        </is>
      </c>
      <c r="C2256" s="7" t="inlineStr">
        <is>
          <t>A - Agen</t>
        </is>
      </c>
      <c r="D2256" s="1" t="inlineStr">
        <is>
          <t>OP00002</t>
        </is>
      </c>
      <c r="E2256" s="8" t="n">
        <v>45678.78125</v>
      </c>
      <c r="F2256" s="7" t="inlineStr">
        <is>
          <t>AGEN</t>
        </is>
      </c>
      <c r="G2256" s="18" t="inlineStr">
        <is>
          <t>OP16832</t>
        </is>
      </c>
      <c r="H2256" s="19">
        <f>UPPER(Table3[[#This Row],[Agen id]]&amp;"-"&amp;VLOOKUP(Table3[[#This Row],[Agen id]],A:B,2,0)&amp;"("&amp;Table3[[#This Row],[Short]]&amp;")")</f>
        <v/>
      </c>
      <c r="J2256" s="7">
        <f>VLOOKUP(Table3[[#This Row],[Agen id]],Agen!A:C,3,0)</f>
        <v/>
      </c>
      <c r="K2256" s="37">
        <f>TRIM(LEFT(Table3[[#This Row],[Group]],2))</f>
        <v/>
      </c>
      <c r="L2256" s="3" t="inlineStr">
        <is>
          <t>NON SALES</t>
        </is>
      </c>
    </row>
    <row r="2257">
      <c r="A2257" s="5" t="inlineStr">
        <is>
          <t>OP16925</t>
        </is>
      </c>
      <c r="B2257" s="6" t="inlineStr">
        <is>
          <t>Untoro j</t>
        </is>
      </c>
      <c r="C2257" s="7" t="inlineStr">
        <is>
          <t>AV - Agen Verified</t>
        </is>
      </c>
      <c r="D2257" s="1" t="inlineStr">
        <is>
          <t>OP00002</t>
        </is>
      </c>
      <c r="E2257" s="8" t="n">
        <v>45682.73611111111</v>
      </c>
      <c r="F2257" s="7" t="inlineStr">
        <is>
          <t>AGEN</t>
        </is>
      </c>
      <c r="G2257" s="18" t="inlineStr">
        <is>
          <t>OP16925</t>
        </is>
      </c>
      <c r="H2257" s="19">
        <f>UPPER(Table3[[#This Row],[Agen id]]&amp;"-"&amp;VLOOKUP(Table3[[#This Row],[Agen id]],A:B,2,0)&amp;"("&amp;Table3[[#This Row],[Short]]&amp;")")</f>
        <v/>
      </c>
      <c r="J2257" s="7">
        <f>VLOOKUP(Table3[[#This Row],[Agen id]],Agen!A:C,3,0)</f>
        <v/>
      </c>
      <c r="K2257" s="37">
        <f>TRIM(LEFT(Table3[[#This Row],[Group]],2))</f>
        <v/>
      </c>
      <c r="L2257" s="3" t="inlineStr">
        <is>
          <t>NON SALES</t>
        </is>
      </c>
    </row>
    <row r="2258">
      <c r="A2258" s="5" t="inlineStr">
        <is>
          <t>OP16949</t>
        </is>
      </c>
      <c r="B2258" s="6" t="inlineStr">
        <is>
          <t>Omrawi</t>
        </is>
      </c>
      <c r="C2258" s="7" t="inlineStr">
        <is>
          <t>A - Agen</t>
        </is>
      </c>
      <c r="D2258" s="1" t="inlineStr">
        <is>
          <t>OP00002</t>
        </is>
      </c>
      <c r="E2258" s="8" t="n">
        <v>45683.88055555556</v>
      </c>
      <c r="F2258" s="7" t="inlineStr">
        <is>
          <t>AGEN</t>
        </is>
      </c>
      <c r="G2258" s="18" t="inlineStr">
        <is>
          <t>OP16949</t>
        </is>
      </c>
      <c r="H2258" s="19">
        <f>UPPER(Table3[[#This Row],[Agen id]]&amp;"-"&amp;VLOOKUP(Table3[[#This Row],[Agen id]],A:B,2,0)&amp;"("&amp;Table3[[#This Row],[Short]]&amp;")")</f>
        <v/>
      </c>
      <c r="J2258" s="7">
        <f>VLOOKUP(Table3[[#This Row],[Agen id]],Agen!A:C,3,0)</f>
        <v/>
      </c>
      <c r="K2258" s="37">
        <f>TRIM(LEFT(Table3[[#This Row],[Group]],2))</f>
        <v/>
      </c>
      <c r="L2258" s="3" t="inlineStr">
        <is>
          <t>NON SALES</t>
        </is>
      </c>
    </row>
    <row r="2259">
      <c r="A2259" s="5" t="inlineStr">
        <is>
          <t>OP16958</t>
        </is>
      </c>
      <c r="B2259" s="6" t="inlineStr">
        <is>
          <t>Kinando Cell</t>
        </is>
      </c>
      <c r="C2259" s="7" t="inlineStr">
        <is>
          <t>A - Agen</t>
        </is>
      </c>
      <c r="D2259" s="1" t="inlineStr">
        <is>
          <t>OP00049</t>
        </is>
      </c>
      <c r="E2259" s="8" t="n">
        <v>45684.44236111111</v>
      </c>
      <c r="F2259" s="7" t="inlineStr">
        <is>
          <t>DOWNLINE</t>
        </is>
      </c>
      <c r="G2259" s="18" t="inlineStr">
        <is>
          <t>OP00049</t>
        </is>
      </c>
      <c r="H2259" s="19">
        <f>UPPER(Table3[[#This Row],[Agen id]]&amp;"-"&amp;VLOOKUP(Table3[[#This Row],[Agen id]],A:B,2,0)&amp;"("&amp;Table3[[#This Row],[Short]]&amp;")")</f>
        <v/>
      </c>
      <c r="J2259" s="7">
        <f>VLOOKUP(Table3[[#This Row],[Agen id]],Agen!A:C,3,0)</f>
        <v/>
      </c>
      <c r="K2259" s="37">
        <f>TRIM(LEFT(Table3[[#This Row],[Group]],2))</f>
        <v/>
      </c>
      <c r="L2259" s="3" t="inlineStr">
        <is>
          <t>NON SALES</t>
        </is>
      </c>
    </row>
    <row r="2260">
      <c r="A2260" s="5" t="inlineStr">
        <is>
          <t>OP16960</t>
        </is>
      </c>
      <c r="B2260" s="6" t="inlineStr">
        <is>
          <t>Savina cell</t>
        </is>
      </c>
      <c r="C2260" s="7" t="inlineStr">
        <is>
          <t>AV - Agen Verified</t>
        </is>
      </c>
      <c r="D2260" s="1" t="inlineStr">
        <is>
          <t>OP05672</t>
        </is>
      </c>
      <c r="E2260" s="8" t="n">
        <v>45684.58819444444</v>
      </c>
      <c r="F2260" s="7" t="inlineStr">
        <is>
          <t>DOWNLINE</t>
        </is>
      </c>
      <c r="G2260" s="18" t="inlineStr">
        <is>
          <t>OP04523</t>
        </is>
      </c>
      <c r="H2260" s="19">
        <f>UPPER(Table3[[#This Row],[Agen id]]&amp;"-"&amp;VLOOKUP(Table3[[#This Row],[Agen id]],A:B,2,0)&amp;"("&amp;Table3[[#This Row],[Short]]&amp;")")</f>
        <v/>
      </c>
      <c r="J2260" s="7">
        <f>VLOOKUP(Table3[[#This Row],[Agen id]],Agen!A:C,3,0)</f>
        <v/>
      </c>
      <c r="K2260" s="37">
        <f>TRIM(LEFT(Table3[[#This Row],[Group]],2))</f>
        <v/>
      </c>
      <c r="L2260" s="3" t="inlineStr">
        <is>
          <t>NON SALES</t>
        </is>
      </c>
    </row>
    <row r="2261">
      <c r="A2261" s="5" t="inlineStr">
        <is>
          <t>OP17016</t>
        </is>
      </c>
      <c r="B2261" s="6" t="inlineStr">
        <is>
          <t>RIGINS CELL</t>
        </is>
      </c>
      <c r="C2261" s="7" t="inlineStr">
        <is>
          <t>AT1 - Agen Tangerang</t>
        </is>
      </c>
      <c r="D2261" s="1" t="inlineStr">
        <is>
          <t>OP07683</t>
        </is>
      </c>
      <c r="E2261" s="8" t="n">
        <v>45687.54861111111</v>
      </c>
      <c r="F2261" s="7" t="inlineStr">
        <is>
          <t>AGEN</t>
        </is>
      </c>
      <c r="G2261" s="18" t="inlineStr">
        <is>
          <t>OP17016</t>
        </is>
      </c>
      <c r="H2261" s="19">
        <f>UPPER(Table3[[#This Row],[Agen id]]&amp;"-"&amp;VLOOKUP(Table3[[#This Row],[Agen id]],A:B,2,0)&amp;"("&amp;Table3[[#This Row],[Short]]&amp;")")</f>
        <v/>
      </c>
      <c r="J2261" s="7">
        <f>VLOOKUP(Table3[[#This Row],[Agen id]],Agen!A:C,3,0)</f>
        <v/>
      </c>
      <c r="K2261" s="37">
        <f>TRIM(LEFT(Table3[[#This Row],[Group]],2))</f>
        <v/>
      </c>
      <c r="L2261" s="3" t="inlineStr">
        <is>
          <t>NON SALES</t>
        </is>
      </c>
    </row>
    <row r="2262">
      <c r="A2262" s="5" t="inlineStr">
        <is>
          <t>OP17019</t>
        </is>
      </c>
      <c r="B2262" s="6" t="inlineStr">
        <is>
          <t>Naiba cell</t>
        </is>
      </c>
      <c r="C2262" s="7" t="inlineStr">
        <is>
          <t>MK - Marketing</t>
        </is>
      </c>
      <c r="D2262" s="1" t="inlineStr">
        <is>
          <t>OP00002</t>
        </is>
      </c>
      <c r="E2262" s="8" t="n">
        <v>45688.43888888889</v>
      </c>
      <c r="F2262" s="7" t="inlineStr">
        <is>
          <t>AGEN</t>
        </is>
      </c>
      <c r="G2262" s="18" t="inlineStr">
        <is>
          <t>OP17019</t>
        </is>
      </c>
      <c r="H2262" s="19">
        <f>UPPER(Table3[[#This Row],[Agen id]]&amp;"-"&amp;VLOOKUP(Table3[[#This Row],[Agen id]],A:B,2,0)&amp;"("&amp;Table3[[#This Row],[Short]]&amp;")")</f>
        <v/>
      </c>
      <c r="J2262" s="7">
        <f>VLOOKUP(Table3[[#This Row],[Agen id]],Agen!A:C,3,0)</f>
        <v/>
      </c>
      <c r="K2262" s="37">
        <f>TRIM(LEFT(Table3[[#This Row],[Group]],2))</f>
        <v/>
      </c>
      <c r="L2262" s="3" t="inlineStr">
        <is>
          <t>NON SALES</t>
        </is>
      </c>
    </row>
    <row r="2263">
      <c r="A2263" s="5" t="inlineStr">
        <is>
          <t>OP17042</t>
        </is>
      </c>
      <c r="B2263" s="6" t="inlineStr">
        <is>
          <t>GAWO CELL</t>
        </is>
      </c>
      <c r="C2263" s="7" t="inlineStr">
        <is>
          <t>AV - Agen Verified</t>
        </is>
      </c>
      <c r="D2263" s="1" t="inlineStr">
        <is>
          <t>OP07683</t>
        </is>
      </c>
      <c r="E2263" s="8" t="n">
        <v>45691.90694444445</v>
      </c>
      <c r="F2263" s="7" t="inlineStr">
        <is>
          <t>AGEN</t>
        </is>
      </c>
      <c r="G2263" s="18" t="inlineStr">
        <is>
          <t>OP17042</t>
        </is>
      </c>
      <c r="H2263" s="19">
        <f>UPPER(Table3[[#This Row],[Agen id]]&amp;"-"&amp;VLOOKUP(Table3[[#This Row],[Agen id]],A:B,2,0)&amp;"("&amp;Table3[[#This Row],[Short]]&amp;")")</f>
        <v/>
      </c>
      <c r="J2263" s="7">
        <f>VLOOKUP(Table3[[#This Row],[Agen id]],Agen!A:C,3,0)</f>
        <v/>
      </c>
      <c r="K2263" s="37">
        <f>TRIM(LEFT(Table3[[#This Row],[Group]],2))</f>
        <v/>
      </c>
      <c r="L2263" s="3" t="inlineStr">
        <is>
          <t>NON SALES</t>
        </is>
      </c>
    </row>
    <row r="2264">
      <c r="A2264" s="5" t="inlineStr">
        <is>
          <t>OP17057</t>
        </is>
      </c>
      <c r="B2264" s="6" t="inlineStr">
        <is>
          <t>Intan</t>
        </is>
      </c>
      <c r="C2264" s="7" t="inlineStr">
        <is>
          <t>AV - Agen Verified</t>
        </is>
      </c>
      <c r="D2264" s="1" t="inlineStr">
        <is>
          <t>OP00002</t>
        </is>
      </c>
      <c r="E2264" s="8" t="n">
        <v>45691.97222222222</v>
      </c>
      <c r="F2264" s="7" t="inlineStr">
        <is>
          <t>AGEN</t>
        </is>
      </c>
      <c r="G2264" s="18" t="inlineStr">
        <is>
          <t>OP17057</t>
        </is>
      </c>
      <c r="H2264" s="19">
        <f>UPPER(Table3[[#This Row],[Agen id]]&amp;"-"&amp;VLOOKUP(Table3[[#This Row],[Agen id]],A:B,2,0)&amp;"("&amp;Table3[[#This Row],[Short]]&amp;")")</f>
        <v/>
      </c>
      <c r="J2264" s="7">
        <f>VLOOKUP(Table3[[#This Row],[Agen id]],Agen!A:C,3,0)</f>
        <v/>
      </c>
      <c r="K2264" s="37">
        <f>TRIM(LEFT(Table3[[#This Row],[Group]],2))</f>
        <v/>
      </c>
      <c r="L2264" s="3" t="inlineStr">
        <is>
          <t>NON SALES</t>
        </is>
      </c>
    </row>
    <row r="2265">
      <c r="A2265" s="5" t="inlineStr">
        <is>
          <t>OP17074</t>
        </is>
      </c>
      <c r="B2265" s="6" t="inlineStr">
        <is>
          <t>Dedy</t>
        </is>
      </c>
      <c r="C2265" s="7" t="inlineStr">
        <is>
          <t>A - Agen</t>
        </is>
      </c>
      <c r="D2265" s="1" t="inlineStr">
        <is>
          <t>OP00002</t>
        </is>
      </c>
      <c r="E2265" s="8" t="n">
        <v>45693.27847222222</v>
      </c>
      <c r="F2265" s="7" t="inlineStr">
        <is>
          <t>AGEN</t>
        </is>
      </c>
      <c r="G2265" s="18" t="inlineStr">
        <is>
          <t>OP17074</t>
        </is>
      </c>
      <c r="H2265" s="19">
        <f>UPPER(Table3[[#This Row],[Agen id]]&amp;"-"&amp;VLOOKUP(Table3[[#This Row],[Agen id]],A:B,2,0)&amp;"("&amp;Table3[[#This Row],[Short]]&amp;")")</f>
        <v/>
      </c>
      <c r="J2265" s="7">
        <f>VLOOKUP(Table3[[#This Row],[Agen id]],Agen!A:C,3,0)</f>
        <v/>
      </c>
      <c r="K2265" s="37">
        <f>TRIM(LEFT(Table3[[#This Row],[Group]],2))</f>
        <v/>
      </c>
      <c r="L2265" s="3" t="inlineStr">
        <is>
          <t>NON SALES</t>
        </is>
      </c>
    </row>
    <row r="2266">
      <c r="A2266" s="5" t="inlineStr">
        <is>
          <t>OP17105</t>
        </is>
      </c>
      <c r="B2266" s="6" t="inlineStr">
        <is>
          <t>nana hani</t>
        </is>
      </c>
      <c r="C2266" s="7" t="inlineStr">
        <is>
          <t>A - Agen</t>
        </is>
      </c>
      <c r="D2266" s="1" t="inlineStr">
        <is>
          <t>OP00002</t>
        </is>
      </c>
      <c r="E2266" s="8" t="n">
        <v>45694.76319444444</v>
      </c>
      <c r="F2266" s="7" t="inlineStr">
        <is>
          <t>AGEN</t>
        </is>
      </c>
      <c r="G2266" s="18" t="inlineStr">
        <is>
          <t>OP17105</t>
        </is>
      </c>
      <c r="H2266" s="19">
        <f>UPPER(Table3[[#This Row],[Agen id]]&amp;"-"&amp;VLOOKUP(Table3[[#This Row],[Agen id]],A:B,2,0)&amp;"("&amp;Table3[[#This Row],[Short]]&amp;")")</f>
        <v/>
      </c>
      <c r="J2266" s="7">
        <f>VLOOKUP(Table3[[#This Row],[Agen id]],Agen!A:C,3,0)</f>
        <v/>
      </c>
      <c r="K2266" s="37">
        <f>TRIM(LEFT(Table3[[#This Row],[Group]],2))</f>
        <v/>
      </c>
      <c r="L2266" s="3" t="inlineStr">
        <is>
          <t>NON SALES</t>
        </is>
      </c>
    </row>
    <row r="2267">
      <c r="A2267" s="5" t="inlineStr">
        <is>
          <t>OP17115</t>
        </is>
      </c>
      <c r="B2267" s="6" t="inlineStr">
        <is>
          <t>mutiara meysia</t>
        </is>
      </c>
      <c r="C2267" s="7" t="inlineStr">
        <is>
          <t>A - Agen</t>
        </is>
      </c>
      <c r="D2267" s="1" t="inlineStr">
        <is>
          <t>OP00002</t>
        </is>
      </c>
      <c r="E2267" s="8" t="n">
        <v>45695.08125</v>
      </c>
      <c r="F2267" s="7" t="inlineStr">
        <is>
          <t>AGEN</t>
        </is>
      </c>
      <c r="G2267" s="18" t="inlineStr">
        <is>
          <t>OP17115</t>
        </is>
      </c>
      <c r="H2267" s="19">
        <f>UPPER(Table3[[#This Row],[Agen id]]&amp;"-"&amp;VLOOKUP(Table3[[#This Row],[Agen id]],A:B,2,0)&amp;"("&amp;Table3[[#This Row],[Short]]&amp;")")</f>
        <v/>
      </c>
      <c r="J2267" s="7">
        <f>VLOOKUP(Table3[[#This Row],[Agen id]],Agen!A:C,3,0)</f>
        <v/>
      </c>
      <c r="K2267" s="37">
        <f>TRIM(LEFT(Table3[[#This Row],[Group]],2))</f>
        <v/>
      </c>
      <c r="L2267" s="3" t="inlineStr">
        <is>
          <t>NON SALES</t>
        </is>
      </c>
    </row>
    <row r="2268">
      <c r="A2268" s="5" t="inlineStr">
        <is>
          <t>OP17159</t>
        </is>
      </c>
      <c r="B2268" s="6" t="inlineStr">
        <is>
          <t>Wahyu</t>
        </is>
      </c>
      <c r="C2268" s="7" t="inlineStr">
        <is>
          <t>AV - Agen Verified</t>
        </is>
      </c>
      <c r="D2268" s="1" t="inlineStr">
        <is>
          <t>OP00002</t>
        </is>
      </c>
      <c r="E2268" s="8" t="n">
        <v>45696.45069444444</v>
      </c>
      <c r="F2268" s="7" t="inlineStr">
        <is>
          <t>AGEN</t>
        </is>
      </c>
      <c r="G2268" s="18" t="inlineStr">
        <is>
          <t>OP17159</t>
        </is>
      </c>
      <c r="H2268" s="19">
        <f>UPPER(Table3[[#This Row],[Agen id]]&amp;"-"&amp;VLOOKUP(Table3[[#This Row],[Agen id]],A:B,2,0)&amp;"("&amp;Table3[[#This Row],[Short]]&amp;")")</f>
        <v/>
      </c>
      <c r="J2268" s="7">
        <f>VLOOKUP(Table3[[#This Row],[Agen id]],Agen!A:C,3,0)</f>
        <v/>
      </c>
      <c r="K2268" s="37">
        <f>TRIM(LEFT(Table3[[#This Row],[Group]],2))</f>
        <v/>
      </c>
      <c r="L2268" s="3" t="inlineStr">
        <is>
          <t>NON SALES</t>
        </is>
      </c>
    </row>
    <row r="2269">
      <c r="A2269" s="5" t="inlineStr">
        <is>
          <t>OP17384</t>
        </is>
      </c>
      <c r="B2269" s="6" t="inlineStr">
        <is>
          <t>Sugink</t>
        </is>
      </c>
      <c r="C2269" s="7" t="inlineStr">
        <is>
          <t>A - Agen</t>
        </is>
      </c>
      <c r="D2269" s="1" t="inlineStr">
        <is>
          <t>OP00003</t>
        </is>
      </c>
      <c r="E2269" s="8" t="n">
        <v>45702.675</v>
      </c>
      <c r="F2269" s="7" t="inlineStr">
        <is>
          <t>AGEN</t>
        </is>
      </c>
      <c r="G2269" s="18" t="inlineStr">
        <is>
          <t>OP17384</t>
        </is>
      </c>
      <c r="H2269" s="19">
        <f>UPPER(Table3[[#This Row],[Agen id]]&amp;"-"&amp;VLOOKUP(Table3[[#This Row],[Agen id]],A:B,2,0)&amp;"("&amp;Table3[[#This Row],[Short]]&amp;")")</f>
        <v/>
      </c>
      <c r="J2269" s="7">
        <f>VLOOKUP(Table3[[#This Row],[Agen id]],Agen!A:C,3,0)</f>
        <v/>
      </c>
      <c r="K2269" s="37">
        <f>TRIM(LEFT(Table3[[#This Row],[Group]],2))</f>
        <v/>
      </c>
      <c r="L2269" s="3" t="inlineStr">
        <is>
          <t>NON SALES</t>
        </is>
      </c>
    </row>
    <row r="2270">
      <c r="A2270" s="5" t="inlineStr">
        <is>
          <t>OP17440</t>
        </is>
      </c>
      <c r="B2270" s="6" t="inlineStr">
        <is>
          <t>Endri Purwanto</t>
        </is>
      </c>
      <c r="C2270" s="7" t="inlineStr">
        <is>
          <t>A - Agen</t>
        </is>
      </c>
      <c r="D2270" s="1" t="inlineStr">
        <is>
          <t>OP00003</t>
        </is>
      </c>
      <c r="E2270" s="8" t="n">
        <v>45704.05347222222</v>
      </c>
      <c r="F2270" s="7" t="inlineStr">
        <is>
          <t>AGEN</t>
        </is>
      </c>
      <c r="G2270" s="7" t="inlineStr">
        <is>
          <t>OP17440</t>
        </is>
      </c>
      <c r="H2270" s="19">
        <f>UPPER(Table3[[#This Row],[Agen id]]&amp;"-"&amp;VLOOKUP(Table3[[#This Row],[Agen id]],A:B,2,0)&amp;"("&amp;Table3[[#This Row],[Short]]&amp;")")</f>
        <v/>
      </c>
      <c r="J2270" s="7">
        <f>VLOOKUP(Table3[[#This Row],[Agen id]],Agen!A:C,3,0)</f>
        <v/>
      </c>
      <c r="K2270" s="37">
        <f>TRIM(LEFT(Table3[[#This Row],[Group]],2))</f>
        <v/>
      </c>
      <c r="L2270" s="3" t="inlineStr">
        <is>
          <t>NON SALES</t>
        </is>
      </c>
    </row>
    <row r="2271">
      <c r="A2271" s="5" t="inlineStr">
        <is>
          <t>OP17443</t>
        </is>
      </c>
      <c r="B2271" s="6" t="inlineStr">
        <is>
          <t>Yulianti</t>
        </is>
      </c>
      <c r="C2271" s="7" t="inlineStr">
        <is>
          <t>A - Agen</t>
        </is>
      </c>
      <c r="D2271" s="1" t="inlineStr">
        <is>
          <t>OP00002</t>
        </is>
      </c>
      <c r="E2271" s="8" t="n">
        <v>45704.3875</v>
      </c>
      <c r="F2271" s="7" t="inlineStr">
        <is>
          <t>AGEN</t>
        </is>
      </c>
      <c r="G2271" s="18" t="inlineStr">
        <is>
          <t>OP17443</t>
        </is>
      </c>
      <c r="H2271" s="19">
        <f>UPPER(Table3[[#This Row],[Agen id]]&amp;"-"&amp;VLOOKUP(Table3[[#This Row],[Agen id]],A:B,2,0)&amp;"("&amp;Table3[[#This Row],[Short]]&amp;")")</f>
        <v/>
      </c>
      <c r="J2271" s="7">
        <f>VLOOKUP(Table3[[#This Row],[Agen id]],Agen!A:C,3,0)</f>
        <v/>
      </c>
      <c r="K2271" s="37">
        <f>TRIM(LEFT(Table3[[#This Row],[Group]],2))</f>
        <v/>
      </c>
      <c r="L2271" s="3" t="inlineStr">
        <is>
          <t>NON SALES</t>
        </is>
      </c>
    </row>
    <row r="2272">
      <c r="A2272" s="5" t="inlineStr">
        <is>
          <t>OP17476</t>
        </is>
      </c>
      <c r="B2272" s="6" t="inlineStr">
        <is>
          <t>Abdul hadi</t>
        </is>
      </c>
      <c r="C2272" s="7" t="inlineStr">
        <is>
          <t>A - Agen</t>
        </is>
      </c>
      <c r="D2272" s="1" t="inlineStr">
        <is>
          <t>OP07955</t>
        </is>
      </c>
      <c r="E2272" s="8" t="n">
        <v>45705.53263888889</v>
      </c>
      <c r="F2272" s="7" t="inlineStr">
        <is>
          <t>DOWNLINE</t>
        </is>
      </c>
      <c r="G2272" s="18" t="inlineStr">
        <is>
          <t>OP07955</t>
        </is>
      </c>
      <c r="H2272" s="19">
        <f>UPPER(Table3[[#This Row],[Agen id]]&amp;"-"&amp;VLOOKUP(Table3[[#This Row],[Agen id]],A:B,2,0)&amp;"("&amp;Table3[[#This Row],[Short]]&amp;")")</f>
        <v/>
      </c>
      <c r="J2272" s="7">
        <f>VLOOKUP(Table3[[#This Row],[Agen id]],Agen!A:C,3,0)</f>
        <v/>
      </c>
      <c r="K2272" s="37">
        <f>TRIM(LEFT(Table3[[#This Row],[Group]],2))</f>
        <v/>
      </c>
      <c r="L2272" s="3" t="inlineStr">
        <is>
          <t>NON SALES</t>
        </is>
      </c>
    </row>
    <row r="2273">
      <c r="A2273" s="5" t="inlineStr">
        <is>
          <t>OP17530</t>
        </is>
      </c>
      <c r="B2273" s="6" t="inlineStr">
        <is>
          <t>MALIK CELL</t>
        </is>
      </c>
      <c r="C2273" s="7" t="inlineStr">
        <is>
          <t>AV - Agen Verified</t>
        </is>
      </c>
      <c r="D2273" s="1" t="inlineStr">
        <is>
          <t>OP07683</t>
        </is>
      </c>
      <c r="E2273" s="8" t="n">
        <v>45706.76180555556</v>
      </c>
      <c r="F2273" s="7" t="inlineStr">
        <is>
          <t>AGEN</t>
        </is>
      </c>
      <c r="G2273" s="18" t="inlineStr">
        <is>
          <t>OP17530</t>
        </is>
      </c>
      <c r="H2273" s="19">
        <f>UPPER(Table3[[#This Row],[Agen id]]&amp;"-"&amp;VLOOKUP(Table3[[#This Row],[Agen id]],A:B,2,0)&amp;"("&amp;Table3[[#This Row],[Short]]&amp;")")</f>
        <v/>
      </c>
      <c r="J2273" s="7">
        <f>VLOOKUP(Table3[[#This Row],[Agen id]],Agen!A:C,3,0)</f>
        <v/>
      </c>
      <c r="K2273" s="37">
        <f>TRIM(LEFT(Table3[[#This Row],[Group]],2))</f>
        <v/>
      </c>
      <c r="L2273" s="3" t="inlineStr">
        <is>
          <t>NON SALES</t>
        </is>
      </c>
    </row>
    <row r="2274">
      <c r="A2274" s="5" t="inlineStr">
        <is>
          <t>OP17589</t>
        </is>
      </c>
      <c r="B2274" s="6" t="inlineStr">
        <is>
          <t>Zaskia</t>
        </is>
      </c>
      <c r="C2274" s="7" t="inlineStr">
        <is>
          <t>AV - Agen Verified</t>
        </is>
      </c>
      <c r="D2274" s="1" t="inlineStr">
        <is>
          <t>OP14366</t>
        </is>
      </c>
      <c r="E2274" s="8" t="n">
        <v>45708.82291666666</v>
      </c>
      <c r="F2274" s="7" t="inlineStr">
        <is>
          <t>DOWNLINE</t>
        </is>
      </c>
      <c r="G2274" s="18" t="inlineStr">
        <is>
          <t>OP00431</t>
        </is>
      </c>
      <c r="H2274" s="19">
        <f>UPPER(Table3[[#This Row],[Agen id]]&amp;"-"&amp;VLOOKUP(Table3[[#This Row],[Agen id]],A:B,2,0)&amp;"("&amp;Table3[[#This Row],[Short]]&amp;")")</f>
        <v/>
      </c>
      <c r="J2274" s="7">
        <f>VLOOKUP(Table3[[#This Row],[Agen id]],Agen!A:C,3,0)</f>
        <v/>
      </c>
      <c r="K2274" s="37">
        <f>TRIM(LEFT(Table3[[#This Row],[Group]],2))</f>
        <v/>
      </c>
      <c r="L2274" s="3" t="inlineStr">
        <is>
          <t>NON SALES</t>
        </is>
      </c>
    </row>
    <row r="2275">
      <c r="A2275" s="5" t="inlineStr">
        <is>
          <t>OP17618</t>
        </is>
      </c>
      <c r="B2275" s="6" t="inlineStr">
        <is>
          <t>Vinsensius sanbein</t>
        </is>
      </c>
      <c r="C2275" s="7" t="inlineStr">
        <is>
          <t>AV - Agen Verified</t>
        </is>
      </c>
      <c r="D2275" s="1" t="inlineStr">
        <is>
          <t>OP03630</t>
        </is>
      </c>
      <c r="E2275" s="8" t="n">
        <v>45709.8375</v>
      </c>
      <c r="F2275" s="7" t="inlineStr">
        <is>
          <t>DOWNLINE</t>
        </is>
      </c>
      <c r="G2275" s="18" t="inlineStr">
        <is>
          <t>OP03630</t>
        </is>
      </c>
      <c r="H2275" s="19">
        <f>UPPER(Table3[[#This Row],[Agen id]]&amp;"-"&amp;VLOOKUP(Table3[[#This Row],[Agen id]],A:B,2,0)&amp;"("&amp;Table3[[#This Row],[Short]]&amp;")")</f>
        <v/>
      </c>
      <c r="J2275" s="7">
        <f>VLOOKUP(Table3[[#This Row],[Agen id]],Agen!A:C,3,0)</f>
        <v/>
      </c>
      <c r="K2275" s="37">
        <f>TRIM(LEFT(Table3[[#This Row],[Group]],2))</f>
        <v/>
      </c>
      <c r="L2275" s="3" t="inlineStr">
        <is>
          <t>NON SALES</t>
        </is>
      </c>
    </row>
    <row r="2276">
      <c r="A2276" s="5" t="inlineStr">
        <is>
          <t>OP17665</t>
        </is>
      </c>
      <c r="B2276" s="6" t="inlineStr">
        <is>
          <t>Esra Juita Mestiana Manik</t>
        </is>
      </c>
      <c r="C2276" s="7" t="inlineStr">
        <is>
          <t>AV - Agen Verified</t>
        </is>
      </c>
      <c r="D2276" s="1" t="inlineStr">
        <is>
          <t>OP13615</t>
        </is>
      </c>
      <c r="E2276" s="8" t="n">
        <v>45711.55555555555</v>
      </c>
      <c r="F2276" s="7" t="inlineStr">
        <is>
          <t>DOWNLINE</t>
        </is>
      </c>
      <c r="G2276" s="18" t="inlineStr">
        <is>
          <t>OP01449</t>
        </is>
      </c>
      <c r="H2276" s="19">
        <f>UPPER(Table3[[#This Row],[Agen id]]&amp;"-"&amp;VLOOKUP(Table3[[#This Row],[Agen id]],A:B,2,0)&amp;"("&amp;Table3[[#This Row],[Short]]&amp;")")</f>
        <v/>
      </c>
      <c r="J2276" s="7">
        <f>VLOOKUP(Table3[[#This Row],[Agen id]],Agen!A:C,3,0)</f>
        <v/>
      </c>
      <c r="K2276" s="37">
        <f>TRIM(LEFT(Table3[[#This Row],[Group]],2))</f>
        <v/>
      </c>
      <c r="L2276" s="3" t="inlineStr">
        <is>
          <t>NON SALES</t>
        </is>
      </c>
    </row>
    <row r="2277">
      <c r="A2277" s="5" t="inlineStr">
        <is>
          <t>OP17688</t>
        </is>
      </c>
      <c r="B2277" s="6" t="inlineStr">
        <is>
          <t>HALLO CELL</t>
        </is>
      </c>
      <c r="C2277" s="7" t="inlineStr">
        <is>
          <t>AV - Agen Verified</t>
        </is>
      </c>
      <c r="D2277" s="1" t="inlineStr">
        <is>
          <t>OP07683</t>
        </is>
      </c>
      <c r="E2277" s="8" t="n">
        <v>45712.70347222222</v>
      </c>
      <c r="F2277" s="7" t="inlineStr">
        <is>
          <t>AGEN</t>
        </is>
      </c>
      <c r="G2277" s="18" t="inlineStr">
        <is>
          <t>OP17688</t>
        </is>
      </c>
      <c r="H2277" s="19">
        <f>UPPER(Table3[[#This Row],[Agen id]]&amp;"-"&amp;VLOOKUP(Table3[[#This Row],[Agen id]],A:B,2,0)&amp;"("&amp;Table3[[#This Row],[Short]]&amp;")")</f>
        <v/>
      </c>
      <c r="J2277" s="7">
        <f>VLOOKUP(Table3[[#This Row],[Agen id]],Agen!A:C,3,0)</f>
        <v/>
      </c>
      <c r="K2277" s="37">
        <f>TRIM(LEFT(Table3[[#This Row],[Group]],2))</f>
        <v/>
      </c>
      <c r="L2277" s="3" t="inlineStr">
        <is>
          <t>NON SALES</t>
        </is>
      </c>
    </row>
    <row r="2278">
      <c r="A2278" s="5" t="inlineStr">
        <is>
          <t>OP17758</t>
        </is>
      </c>
      <c r="B2278" s="6" t="inlineStr">
        <is>
          <t>Roslina</t>
        </is>
      </c>
      <c r="C2278" s="7" t="inlineStr">
        <is>
          <t>A - Agen</t>
        </is>
      </c>
      <c r="D2278" s="1" t="inlineStr">
        <is>
          <t>OP00002</t>
        </is>
      </c>
      <c r="E2278" s="8" t="n">
        <v>45715.29722222222</v>
      </c>
      <c r="F2278" s="7" t="inlineStr">
        <is>
          <t>AGEN</t>
        </is>
      </c>
      <c r="G2278" s="18" t="inlineStr">
        <is>
          <t>OP17758</t>
        </is>
      </c>
      <c r="H2278" s="19">
        <f>UPPER(Table3[[#This Row],[Agen id]]&amp;"-"&amp;VLOOKUP(Table3[[#This Row],[Agen id]],A:B,2,0)&amp;"("&amp;Table3[[#This Row],[Short]]&amp;")")</f>
        <v/>
      </c>
      <c r="J2278" s="7">
        <f>VLOOKUP(Table3[[#This Row],[Agen id]],Agen!A:C,3,0)</f>
        <v/>
      </c>
      <c r="K2278" s="37">
        <f>TRIM(LEFT(Table3[[#This Row],[Group]],2))</f>
        <v/>
      </c>
      <c r="L2278" s="3" t="inlineStr">
        <is>
          <t>NON SALES</t>
        </is>
      </c>
    </row>
    <row r="2279">
      <c r="A2279" s="5" t="inlineStr">
        <is>
          <t>OP17774</t>
        </is>
      </c>
      <c r="B2279" s="6" t="inlineStr">
        <is>
          <t>Toko Kaluna</t>
        </is>
      </c>
      <c r="C2279" s="7" t="inlineStr">
        <is>
          <t>AV - Agen Verified</t>
        </is>
      </c>
      <c r="D2279" s="1" t="inlineStr">
        <is>
          <t>OP00002</t>
        </is>
      </c>
      <c r="E2279" s="8" t="n">
        <v>45717.85625</v>
      </c>
      <c r="F2279" s="7" t="inlineStr">
        <is>
          <t>AGEN</t>
        </is>
      </c>
      <c r="G2279" s="18" t="inlineStr">
        <is>
          <t>OP17774</t>
        </is>
      </c>
      <c r="H2279" s="19">
        <f>UPPER(Table3[[#This Row],[Agen id]]&amp;"-"&amp;VLOOKUP(Table3[[#This Row],[Agen id]],A:B,2,0)&amp;"("&amp;Table3[[#This Row],[Short]]&amp;")")</f>
        <v/>
      </c>
      <c r="J2279" s="7">
        <f>VLOOKUP(Table3[[#This Row],[Agen id]],Agen!A:C,3,0)</f>
        <v/>
      </c>
      <c r="K2279" s="37">
        <f>TRIM(LEFT(Table3[[#This Row],[Group]],2))</f>
        <v/>
      </c>
      <c r="L2279" s="3" t="inlineStr">
        <is>
          <t>NON SALES</t>
        </is>
      </c>
    </row>
    <row r="2280">
      <c r="A2280" s="5" t="inlineStr">
        <is>
          <t>OP17776</t>
        </is>
      </c>
      <c r="B2280" s="6" t="inlineStr">
        <is>
          <t>AL Q STORE</t>
        </is>
      </c>
      <c r="C2280" s="7" t="inlineStr">
        <is>
          <t>AT1 - Agen Tangerang</t>
        </is>
      </c>
      <c r="D2280" s="1" t="inlineStr">
        <is>
          <t>OP07683</t>
        </is>
      </c>
      <c r="E2280" s="8" t="n">
        <v>45717.92361111111</v>
      </c>
      <c r="F2280" s="7" t="inlineStr">
        <is>
          <t>AGEN</t>
        </is>
      </c>
      <c r="G2280" s="18" t="inlineStr">
        <is>
          <t>OP17776</t>
        </is>
      </c>
      <c r="H2280" s="19">
        <f>UPPER(Table3[[#This Row],[Agen id]]&amp;"-"&amp;VLOOKUP(Table3[[#This Row],[Agen id]],A:B,2,0)&amp;"("&amp;Table3[[#This Row],[Short]]&amp;")")</f>
        <v/>
      </c>
      <c r="J2280" s="7">
        <f>VLOOKUP(Table3[[#This Row],[Agen id]],Agen!A:C,3,0)</f>
        <v/>
      </c>
      <c r="K2280" s="37">
        <f>TRIM(LEFT(Table3[[#This Row],[Group]],2))</f>
        <v/>
      </c>
      <c r="L2280" s="3" t="inlineStr">
        <is>
          <t>NON SALES</t>
        </is>
      </c>
    </row>
    <row r="2281">
      <c r="A2281" s="5" t="inlineStr">
        <is>
          <t>OP17818</t>
        </is>
      </c>
      <c r="B2281" s="6" t="inlineStr">
        <is>
          <t>Jona Hutapea</t>
        </is>
      </c>
      <c r="C2281" s="7" t="inlineStr">
        <is>
          <t>A - Agen</t>
        </is>
      </c>
      <c r="D2281" s="1" t="inlineStr">
        <is>
          <t>OP00002</t>
        </is>
      </c>
      <c r="E2281" s="8" t="n">
        <v>45719.47083333333</v>
      </c>
      <c r="F2281" s="7" t="inlineStr">
        <is>
          <t>AGEN</t>
        </is>
      </c>
      <c r="G2281" s="18" t="inlineStr">
        <is>
          <t>OP17818</t>
        </is>
      </c>
      <c r="H2281" s="19">
        <f>UPPER(Table3[[#This Row],[Agen id]]&amp;"-"&amp;VLOOKUP(Table3[[#This Row],[Agen id]],A:B,2,0)&amp;"("&amp;Table3[[#This Row],[Short]]&amp;")")</f>
        <v/>
      </c>
      <c r="J2281" s="7">
        <f>VLOOKUP(Table3[[#This Row],[Agen id]],Agen!A:C,3,0)</f>
        <v/>
      </c>
      <c r="K2281" s="37">
        <f>TRIM(LEFT(Table3[[#This Row],[Group]],2))</f>
        <v/>
      </c>
      <c r="L2281" s="3" t="inlineStr">
        <is>
          <t>NON SALES</t>
        </is>
      </c>
    </row>
    <row r="2282">
      <c r="A2282" s="5" t="inlineStr">
        <is>
          <t>OP17910</t>
        </is>
      </c>
      <c r="B2282" s="6" t="inlineStr">
        <is>
          <t>AINE cell</t>
        </is>
      </c>
      <c r="C2282" s="7" t="inlineStr">
        <is>
          <t>A - Agen</t>
        </is>
      </c>
      <c r="D2282" s="1" t="inlineStr">
        <is>
          <t>OP13510</t>
        </is>
      </c>
      <c r="E2282" s="8" t="n">
        <v>45723.38055555556</v>
      </c>
      <c r="F2282" s="7" t="inlineStr">
        <is>
          <t>DOWNLINE</t>
        </is>
      </c>
      <c r="G2282" s="18" t="inlineStr">
        <is>
          <t>OP13510</t>
        </is>
      </c>
      <c r="H2282" s="19">
        <f>UPPER(Table3[[#This Row],[Agen id]]&amp;"-"&amp;VLOOKUP(Table3[[#This Row],[Agen id]],A:B,2,0)&amp;"("&amp;Table3[[#This Row],[Short]]&amp;")")</f>
        <v/>
      </c>
      <c r="J2282" s="7">
        <f>VLOOKUP(Table3[[#This Row],[Agen id]],Agen!A:C,3,0)</f>
        <v/>
      </c>
      <c r="K2282" s="37">
        <f>TRIM(LEFT(Table3[[#This Row],[Group]],2))</f>
        <v/>
      </c>
      <c r="L2282" s="3" t="inlineStr">
        <is>
          <t>NON SALES</t>
        </is>
      </c>
    </row>
    <row r="2283">
      <c r="A2283" s="5" t="inlineStr">
        <is>
          <t>OP17928</t>
        </is>
      </c>
      <c r="B2283" s="6" t="inlineStr">
        <is>
          <t>Sahiran</t>
        </is>
      </c>
      <c r="C2283" s="7" t="inlineStr">
        <is>
          <t>AV - Agen Verified</t>
        </is>
      </c>
      <c r="D2283" s="1" t="inlineStr">
        <is>
          <t>OP00431</t>
        </is>
      </c>
      <c r="E2283" s="8" t="n">
        <v>45724.31666666667</v>
      </c>
      <c r="F2283" s="7" t="inlineStr">
        <is>
          <t>DOWNLINE</t>
        </is>
      </c>
      <c r="G2283" s="18" t="inlineStr">
        <is>
          <t>OP00431</t>
        </is>
      </c>
      <c r="H2283" s="19">
        <f>UPPER(Table3[[#This Row],[Agen id]]&amp;"-"&amp;VLOOKUP(Table3[[#This Row],[Agen id]],A:B,2,0)&amp;"("&amp;Table3[[#This Row],[Short]]&amp;")")</f>
        <v/>
      </c>
      <c r="J2283" s="7">
        <f>VLOOKUP(Table3[[#This Row],[Agen id]],Agen!A:C,3,0)</f>
        <v/>
      </c>
      <c r="K2283" s="37">
        <f>TRIM(LEFT(Table3[[#This Row],[Group]],2))</f>
        <v/>
      </c>
      <c r="L2283" s="3" t="inlineStr">
        <is>
          <t>NON SALES</t>
        </is>
      </c>
    </row>
    <row r="2284">
      <c r="A2284" s="5" t="inlineStr">
        <is>
          <t>OP17931</t>
        </is>
      </c>
      <c r="B2284" s="6" t="inlineStr">
        <is>
          <t>Irma</t>
        </is>
      </c>
      <c r="C2284" s="7" t="inlineStr">
        <is>
          <t>AV - Agen Verified</t>
        </is>
      </c>
      <c r="D2284" s="1" t="inlineStr">
        <is>
          <t>OP00002</t>
        </is>
      </c>
      <c r="E2284" s="8" t="n">
        <v>45724.82708333333</v>
      </c>
      <c r="F2284" s="7" t="inlineStr">
        <is>
          <t>AGEN</t>
        </is>
      </c>
      <c r="G2284" s="18" t="inlineStr">
        <is>
          <t>OP17931</t>
        </is>
      </c>
      <c r="H2284" s="19">
        <f>UPPER(Table3[[#This Row],[Agen id]]&amp;"-"&amp;VLOOKUP(Table3[[#This Row],[Agen id]],A:B,2,0)&amp;"("&amp;Table3[[#This Row],[Short]]&amp;")")</f>
        <v/>
      </c>
      <c r="J2284" s="7">
        <f>VLOOKUP(Table3[[#This Row],[Agen id]],Agen!A:C,3,0)</f>
        <v/>
      </c>
      <c r="K2284" s="37">
        <f>TRIM(LEFT(Table3[[#This Row],[Group]],2))</f>
        <v/>
      </c>
      <c r="L2284" s="3" t="inlineStr">
        <is>
          <t>NON SALES</t>
        </is>
      </c>
    </row>
    <row r="2285">
      <c r="A2285" s="5" t="inlineStr">
        <is>
          <t>OP17972</t>
        </is>
      </c>
      <c r="B2285" s="6" t="inlineStr">
        <is>
          <t>Nafila cell</t>
        </is>
      </c>
      <c r="C2285" s="7" t="inlineStr">
        <is>
          <t>A - Agen</t>
        </is>
      </c>
      <c r="D2285" s="1" t="inlineStr">
        <is>
          <t>OP03632</t>
        </is>
      </c>
      <c r="E2285" s="8" t="n">
        <v>45726.17569444444</v>
      </c>
      <c r="F2285" s="7" t="inlineStr">
        <is>
          <t>DOWNLINE</t>
        </is>
      </c>
      <c r="G2285" s="18" t="inlineStr">
        <is>
          <t>OP00996</t>
        </is>
      </c>
      <c r="H2285" s="19">
        <f>UPPER(Table3[[#This Row],[Agen id]]&amp;"-"&amp;VLOOKUP(Table3[[#This Row],[Agen id]],A:B,2,0)&amp;"("&amp;Table3[[#This Row],[Short]]&amp;")")</f>
        <v/>
      </c>
      <c r="J2285" s="7">
        <f>VLOOKUP(Table3[[#This Row],[Agen id]],Agen!A:C,3,0)</f>
        <v/>
      </c>
      <c r="K2285" s="37">
        <f>TRIM(LEFT(Table3[[#This Row],[Group]],2))</f>
        <v/>
      </c>
      <c r="L2285" s="3" t="inlineStr">
        <is>
          <t>NON SALES</t>
        </is>
      </c>
    </row>
    <row r="2286">
      <c r="A2286" s="5" t="inlineStr">
        <is>
          <t>OP17977</t>
        </is>
      </c>
      <c r="B2286" s="6" t="inlineStr">
        <is>
          <t>erika</t>
        </is>
      </c>
      <c r="C2286" s="7" t="inlineStr">
        <is>
          <t>A - Agen</t>
        </is>
      </c>
      <c r="D2286" s="1" t="inlineStr">
        <is>
          <t>OP00002</t>
        </is>
      </c>
      <c r="E2286" s="8" t="n">
        <v>45726.61666666667</v>
      </c>
      <c r="F2286" s="7" t="inlineStr">
        <is>
          <t>AGEN</t>
        </is>
      </c>
      <c r="G2286" s="18" t="inlineStr">
        <is>
          <t>OP17977</t>
        </is>
      </c>
      <c r="H2286" s="19">
        <f>UPPER(Table3[[#This Row],[Agen id]]&amp;"-"&amp;VLOOKUP(Table3[[#This Row],[Agen id]],A:B,2,0)&amp;"("&amp;Table3[[#This Row],[Short]]&amp;")")</f>
        <v/>
      </c>
      <c r="J2286" s="7">
        <f>VLOOKUP(Table3[[#This Row],[Agen id]],Agen!A:C,3,0)</f>
        <v/>
      </c>
      <c r="K2286" s="37">
        <f>TRIM(LEFT(Table3[[#This Row],[Group]],2))</f>
        <v/>
      </c>
      <c r="L2286" s="3" t="inlineStr">
        <is>
          <t>NON SALES</t>
        </is>
      </c>
    </row>
    <row r="2287">
      <c r="A2287" s="5" t="inlineStr">
        <is>
          <t>OP18027</t>
        </is>
      </c>
      <c r="B2287" s="6" t="inlineStr">
        <is>
          <t>Dian Nurdian</t>
        </is>
      </c>
      <c r="C2287" s="7" t="inlineStr">
        <is>
          <t>A - Agen</t>
        </is>
      </c>
      <c r="D2287" s="1" t="inlineStr">
        <is>
          <t>OP02233</t>
        </is>
      </c>
      <c r="E2287" s="8" t="n">
        <v>45729.48402777778</v>
      </c>
      <c r="F2287" s="7" t="inlineStr">
        <is>
          <t>DOWNLINE</t>
        </is>
      </c>
      <c r="G2287" s="18" t="inlineStr">
        <is>
          <t>OP02233</t>
        </is>
      </c>
      <c r="H2287" s="19">
        <f>UPPER(Table3[[#This Row],[Agen id]]&amp;"-"&amp;VLOOKUP(Table3[[#This Row],[Agen id]],A:B,2,0)&amp;"("&amp;Table3[[#This Row],[Short]]&amp;")")</f>
        <v/>
      </c>
      <c r="J2287" s="7">
        <f>VLOOKUP(Table3[[#This Row],[Agen id]],Agen!A:C,3,0)</f>
        <v/>
      </c>
      <c r="K2287" s="37">
        <f>TRIM(LEFT(Table3[[#This Row],[Group]],2))</f>
        <v/>
      </c>
      <c r="L2287" s="3" t="inlineStr">
        <is>
          <t>NON SALES</t>
        </is>
      </c>
    </row>
    <row r="2288">
      <c r="A2288" s="5" t="inlineStr">
        <is>
          <t>OP18089</t>
        </is>
      </c>
      <c r="B2288" s="6" t="inlineStr">
        <is>
          <t>Yulia efrina</t>
        </is>
      </c>
      <c r="C2288" s="7" t="inlineStr">
        <is>
          <t>A - Agen</t>
        </is>
      </c>
      <c r="D2288" s="1" t="inlineStr">
        <is>
          <t>OP00002</t>
        </is>
      </c>
      <c r="E2288" s="8" t="n">
        <v>45736.47152777778</v>
      </c>
      <c r="F2288" s="7" t="inlineStr">
        <is>
          <t>AGEN</t>
        </is>
      </c>
      <c r="G2288" s="18" t="inlineStr">
        <is>
          <t>OP18089</t>
        </is>
      </c>
      <c r="H2288" s="19">
        <f>UPPER(Table3[[#This Row],[Agen id]]&amp;"-"&amp;VLOOKUP(Table3[[#This Row],[Agen id]],A:B,2,0)&amp;"("&amp;Table3[[#This Row],[Short]]&amp;")")</f>
        <v/>
      </c>
      <c r="J2288" s="7">
        <f>VLOOKUP(Table3[[#This Row],[Agen id]],Agen!A:C,3,0)</f>
        <v/>
      </c>
      <c r="K2288" s="37">
        <f>TRIM(LEFT(Table3[[#This Row],[Group]],2))</f>
        <v/>
      </c>
      <c r="L2288" s="3" t="inlineStr">
        <is>
          <t>NON SALES</t>
        </is>
      </c>
    </row>
    <row r="2289">
      <c r="A2289" s="5" t="inlineStr">
        <is>
          <t>OP18104</t>
        </is>
      </c>
      <c r="B2289" s="6" t="inlineStr">
        <is>
          <t>Ben</t>
        </is>
      </c>
      <c r="C2289" s="7" t="inlineStr">
        <is>
          <t>A - Agen</t>
        </is>
      </c>
      <c r="D2289" s="1" t="inlineStr">
        <is>
          <t>OP00002</t>
        </is>
      </c>
      <c r="E2289" s="8" t="n">
        <v>45738.48055555556</v>
      </c>
      <c r="F2289" s="7" t="inlineStr">
        <is>
          <t>AGEN</t>
        </is>
      </c>
      <c r="G2289" s="18" t="inlineStr">
        <is>
          <t>OP18104</t>
        </is>
      </c>
      <c r="H2289" s="19">
        <f>UPPER(Table3[[#This Row],[Agen id]]&amp;"-"&amp;VLOOKUP(Table3[[#This Row],[Agen id]],A:B,2,0)&amp;"("&amp;Table3[[#This Row],[Short]]&amp;")")</f>
        <v/>
      </c>
      <c r="J2289" s="7">
        <f>VLOOKUP(Table3[[#This Row],[Agen id]],Agen!A:C,3,0)</f>
        <v/>
      </c>
      <c r="K2289" s="37">
        <f>TRIM(LEFT(Table3[[#This Row],[Group]],2))</f>
        <v/>
      </c>
      <c r="L2289" s="3" t="inlineStr">
        <is>
          <t>NON SALES</t>
        </is>
      </c>
    </row>
    <row r="2290">
      <c r="A2290" s="5" t="inlineStr">
        <is>
          <t>OP18108</t>
        </is>
      </c>
      <c r="B2290" s="6" t="inlineStr">
        <is>
          <t>EGA CELL</t>
        </is>
      </c>
      <c r="C2290" s="7" t="inlineStr">
        <is>
          <t>AT1 - Agen Tangerang</t>
        </is>
      </c>
      <c r="D2290" s="1" t="inlineStr">
        <is>
          <t>OP07683</t>
        </is>
      </c>
      <c r="E2290" s="8" t="n">
        <v>45738.70208333333</v>
      </c>
      <c r="F2290" s="7" t="inlineStr">
        <is>
          <t>AGEN</t>
        </is>
      </c>
      <c r="G2290" s="18" t="inlineStr">
        <is>
          <t>OP18108</t>
        </is>
      </c>
      <c r="H2290" s="19">
        <f>UPPER(Table3[[#This Row],[Agen id]]&amp;"-"&amp;VLOOKUP(Table3[[#This Row],[Agen id]],A:B,2,0)&amp;"("&amp;Table3[[#This Row],[Short]]&amp;")")</f>
        <v/>
      </c>
      <c r="J2290" s="7">
        <f>VLOOKUP(Table3[[#This Row],[Agen id]],Agen!A:C,3,0)</f>
        <v/>
      </c>
      <c r="K2290" s="37">
        <f>TRIM(LEFT(Table3[[#This Row],[Group]],2))</f>
        <v/>
      </c>
      <c r="L2290" s="3" t="inlineStr">
        <is>
          <t>NON SALES</t>
        </is>
      </c>
    </row>
    <row r="2291">
      <c r="A2291" s="5" t="inlineStr">
        <is>
          <t>OP18127</t>
        </is>
      </c>
      <c r="B2291" s="6" t="inlineStr">
        <is>
          <t>Farel</t>
        </is>
      </c>
      <c r="C2291" s="7" t="inlineStr">
        <is>
          <t>A - Agen</t>
        </is>
      </c>
      <c r="D2291" s="1" t="inlineStr">
        <is>
          <t>OP00002</t>
        </is>
      </c>
      <c r="E2291" s="8" t="n">
        <v>45739.84583333333</v>
      </c>
      <c r="F2291" s="7" t="inlineStr">
        <is>
          <t>AGEN</t>
        </is>
      </c>
      <c r="G2291" s="18" t="inlineStr">
        <is>
          <t>OP18127</t>
        </is>
      </c>
      <c r="H2291" s="19">
        <f>UPPER(Table3[[#This Row],[Agen id]]&amp;"-"&amp;VLOOKUP(Table3[[#This Row],[Agen id]],A:B,2,0)&amp;"("&amp;Table3[[#This Row],[Short]]&amp;")")</f>
        <v/>
      </c>
      <c r="J2291" s="7">
        <f>VLOOKUP(Table3[[#This Row],[Agen id]],Agen!A:C,3,0)</f>
        <v/>
      </c>
      <c r="K2291" s="37">
        <f>TRIM(LEFT(Table3[[#This Row],[Group]],2))</f>
        <v/>
      </c>
      <c r="L2291" s="3" t="inlineStr">
        <is>
          <t>NON SALES</t>
        </is>
      </c>
    </row>
    <row r="2292">
      <c r="A2292" s="5" t="inlineStr">
        <is>
          <t>OP18136</t>
        </is>
      </c>
      <c r="B2292" s="6" t="inlineStr">
        <is>
          <t>Halimah</t>
        </is>
      </c>
      <c r="C2292" s="7" t="inlineStr">
        <is>
          <t>A - Agen</t>
        </is>
      </c>
      <c r="D2292" s="1" t="inlineStr">
        <is>
          <t>OP00615</t>
        </is>
      </c>
      <c r="E2292" s="8" t="n">
        <v>45740.64375</v>
      </c>
      <c r="F2292" s="7" t="inlineStr">
        <is>
          <t>DOWNLINE</t>
        </is>
      </c>
      <c r="G2292" s="18" t="inlineStr">
        <is>
          <t>OP00049</t>
        </is>
      </c>
      <c r="H2292" s="19">
        <f>UPPER(Table3[[#This Row],[Agen id]]&amp;"-"&amp;VLOOKUP(Table3[[#This Row],[Agen id]],A:B,2,0)&amp;"("&amp;Table3[[#This Row],[Short]]&amp;")")</f>
        <v/>
      </c>
      <c r="J2292" s="7">
        <f>VLOOKUP(Table3[[#This Row],[Agen id]],Agen!A:C,3,0)</f>
        <v/>
      </c>
      <c r="K2292" s="37">
        <f>TRIM(LEFT(Table3[[#This Row],[Group]],2))</f>
        <v/>
      </c>
      <c r="L2292" s="3" t="inlineStr">
        <is>
          <t>NON SALES</t>
        </is>
      </c>
    </row>
    <row r="2293">
      <c r="A2293" s="5" t="inlineStr">
        <is>
          <t>OP18164</t>
        </is>
      </c>
      <c r="B2293" s="6" t="inlineStr">
        <is>
          <t>nabilriski</t>
        </is>
      </c>
      <c r="C2293" s="7" t="inlineStr">
        <is>
          <t>A - Agen</t>
        </is>
      </c>
      <c r="D2293" s="1" t="inlineStr">
        <is>
          <t>OP00002</t>
        </is>
      </c>
      <c r="E2293" s="8" t="n">
        <v>45741.70347222222</v>
      </c>
      <c r="F2293" s="7" t="inlineStr">
        <is>
          <t>AGEN</t>
        </is>
      </c>
      <c r="G2293" s="18" t="inlineStr">
        <is>
          <t>OP18164</t>
        </is>
      </c>
      <c r="H2293" s="19">
        <f>UPPER(Table3[[#This Row],[Agen id]]&amp;"-"&amp;VLOOKUP(Table3[[#This Row],[Agen id]],A:B,2,0)&amp;"("&amp;Table3[[#This Row],[Short]]&amp;")")</f>
        <v/>
      </c>
      <c r="J2293" s="7">
        <f>VLOOKUP(Table3[[#This Row],[Agen id]],Agen!A:C,3,0)</f>
        <v/>
      </c>
      <c r="K2293" s="37">
        <f>TRIM(LEFT(Table3[[#This Row],[Group]],2))</f>
        <v/>
      </c>
      <c r="L2293" s="3" t="inlineStr">
        <is>
          <t>NON SALES</t>
        </is>
      </c>
    </row>
    <row r="2294">
      <c r="A2294" s="5" t="inlineStr">
        <is>
          <t>OP18169</t>
        </is>
      </c>
      <c r="B2294" s="6" t="inlineStr">
        <is>
          <t>Dini</t>
        </is>
      </c>
      <c r="C2294" s="7" t="inlineStr">
        <is>
          <t>AV - Agen Verified</t>
        </is>
      </c>
      <c r="D2294" s="1" t="inlineStr">
        <is>
          <t>OP00002</t>
        </is>
      </c>
      <c r="E2294" s="8" t="n">
        <v>45741.79166666666</v>
      </c>
      <c r="F2294" s="7" t="inlineStr">
        <is>
          <t>AGEN</t>
        </is>
      </c>
      <c r="G2294" s="18" t="inlineStr">
        <is>
          <t>OP18169</t>
        </is>
      </c>
      <c r="H2294" s="19">
        <f>UPPER(Table3[[#This Row],[Agen id]]&amp;"-"&amp;VLOOKUP(Table3[[#This Row],[Agen id]],A:B,2,0)&amp;"("&amp;Table3[[#This Row],[Short]]&amp;")")</f>
        <v/>
      </c>
      <c r="J2294" s="7">
        <f>VLOOKUP(Table3[[#This Row],[Agen id]],Agen!A:C,3,0)</f>
        <v/>
      </c>
      <c r="K2294" s="37">
        <f>TRIM(LEFT(Table3[[#This Row],[Group]],2))</f>
        <v/>
      </c>
      <c r="L2294" s="3" t="inlineStr">
        <is>
          <t>NON SALES</t>
        </is>
      </c>
    </row>
    <row r="2295">
      <c r="A2295" s="5" t="inlineStr">
        <is>
          <t>OP18171</t>
        </is>
      </c>
      <c r="B2295" s="6" t="inlineStr">
        <is>
          <t>Saila rohmah</t>
        </is>
      </c>
      <c r="C2295" s="7" t="inlineStr">
        <is>
          <t>AV - Agen Verified</t>
        </is>
      </c>
      <c r="D2295" s="1" t="inlineStr">
        <is>
          <t>OP00003</t>
        </is>
      </c>
      <c r="E2295" s="8" t="n">
        <v>45741.95625</v>
      </c>
      <c r="F2295" s="7" t="inlineStr">
        <is>
          <t>AGEN</t>
        </is>
      </c>
      <c r="G2295" s="18" t="inlineStr">
        <is>
          <t>OP18171</t>
        </is>
      </c>
      <c r="H2295" s="19">
        <f>UPPER(Table3[[#This Row],[Agen id]]&amp;"-"&amp;VLOOKUP(Table3[[#This Row],[Agen id]],A:B,2,0)&amp;"("&amp;Table3[[#This Row],[Short]]&amp;")")</f>
        <v/>
      </c>
      <c r="J2295" s="7">
        <f>VLOOKUP(Table3[[#This Row],[Agen id]],Agen!A:C,3,0)</f>
        <v/>
      </c>
      <c r="K2295" s="37">
        <f>TRIM(LEFT(Table3[[#This Row],[Group]],2))</f>
        <v/>
      </c>
      <c r="L2295" s="3" t="inlineStr">
        <is>
          <t>NON SALES</t>
        </is>
      </c>
    </row>
    <row r="2296">
      <c r="A2296" s="5" t="inlineStr">
        <is>
          <t>OP18175</t>
        </is>
      </c>
      <c r="B2296" s="6" t="inlineStr">
        <is>
          <t>M iqbal</t>
        </is>
      </c>
      <c r="C2296" s="7" t="inlineStr">
        <is>
          <t>A - Agen</t>
        </is>
      </c>
      <c r="D2296" s="1" t="inlineStr">
        <is>
          <t>OP00002</t>
        </is>
      </c>
      <c r="E2296" s="8" t="n">
        <v>45742.49166666667</v>
      </c>
      <c r="F2296" s="7" t="inlineStr">
        <is>
          <t>AGEN</t>
        </is>
      </c>
      <c r="G2296" s="18" t="inlineStr">
        <is>
          <t>OP18175</t>
        </is>
      </c>
      <c r="H2296" s="19">
        <f>UPPER(Table3[[#This Row],[Agen id]]&amp;"-"&amp;VLOOKUP(Table3[[#This Row],[Agen id]],A:B,2,0)&amp;"("&amp;Table3[[#This Row],[Short]]&amp;")")</f>
        <v/>
      </c>
      <c r="J2296" s="7">
        <f>VLOOKUP(Table3[[#This Row],[Agen id]],Agen!A:C,3,0)</f>
        <v/>
      </c>
      <c r="K2296" s="37">
        <f>TRIM(LEFT(Table3[[#This Row],[Group]],2))</f>
        <v/>
      </c>
      <c r="L2296" s="3" t="inlineStr">
        <is>
          <t>NON SALES</t>
        </is>
      </c>
    </row>
    <row r="2297">
      <c r="A2297" s="5" t="inlineStr">
        <is>
          <t>OP18189</t>
        </is>
      </c>
      <c r="B2297" s="6" t="inlineStr">
        <is>
          <t>Imamtamami</t>
        </is>
      </c>
      <c r="C2297" s="7" t="inlineStr">
        <is>
          <t>A - Agen</t>
        </is>
      </c>
      <c r="D2297" s="1" t="inlineStr">
        <is>
          <t>OP00002</t>
        </is>
      </c>
      <c r="E2297" s="8" t="n">
        <v>45742.84583333333</v>
      </c>
      <c r="F2297" s="7" t="inlineStr">
        <is>
          <t>AGEN</t>
        </is>
      </c>
      <c r="G2297" s="18" t="inlineStr">
        <is>
          <t>OP18189</t>
        </is>
      </c>
      <c r="H2297" s="19">
        <f>UPPER(Table3[[#This Row],[Agen id]]&amp;"-"&amp;VLOOKUP(Table3[[#This Row],[Agen id]],A:B,2,0)&amp;"("&amp;Table3[[#This Row],[Short]]&amp;")")</f>
        <v/>
      </c>
      <c r="J2297" s="7">
        <f>VLOOKUP(Table3[[#This Row],[Agen id]],Agen!A:C,3,0)</f>
        <v/>
      </c>
      <c r="K2297" s="37">
        <f>TRIM(LEFT(Table3[[#This Row],[Group]],2))</f>
        <v/>
      </c>
      <c r="L2297" s="3" t="inlineStr">
        <is>
          <t>NON SALES</t>
        </is>
      </c>
    </row>
    <row r="2298">
      <c r="A2298" s="5" t="inlineStr">
        <is>
          <t>OP18228</t>
        </is>
      </c>
      <c r="B2298" s="6" t="inlineStr">
        <is>
          <t>RAHAYU</t>
        </is>
      </c>
      <c r="C2298" s="7" t="inlineStr">
        <is>
          <t>AV - Agen Verified</t>
        </is>
      </c>
      <c r="D2298" s="1" t="inlineStr">
        <is>
          <t>OP00002</t>
        </is>
      </c>
      <c r="E2298" s="8" t="n">
        <v>45748.35138888889</v>
      </c>
      <c r="F2298" s="7" t="inlineStr">
        <is>
          <t>AGEN</t>
        </is>
      </c>
      <c r="G2298" s="7" t="inlineStr">
        <is>
          <t>OP18228</t>
        </is>
      </c>
      <c r="H2298" s="19">
        <f>UPPER(Table3[[#This Row],[Agen id]]&amp;"-"&amp;VLOOKUP(Table3[[#This Row],[Agen id]],A:B,2,0)&amp;"("&amp;Table3[[#This Row],[Short]]&amp;")")</f>
        <v/>
      </c>
      <c r="J2298" s="7">
        <f>VLOOKUP(Table3[[#This Row],[Agen id]],Agen!A:C,3,0)</f>
        <v/>
      </c>
      <c r="K2298" s="37">
        <f>TRIM(LEFT(Table3[[#This Row],[Group]],2))</f>
        <v/>
      </c>
      <c r="L2298" s="3" t="inlineStr">
        <is>
          <t>NON SALES</t>
        </is>
      </c>
    </row>
    <row r="2299">
      <c r="A2299" s="5" t="inlineStr">
        <is>
          <t>OP18231</t>
        </is>
      </c>
      <c r="B2299" s="6" t="inlineStr">
        <is>
          <t>Sulistiah</t>
        </is>
      </c>
      <c r="C2299" s="7" t="inlineStr">
        <is>
          <t>A - Agen</t>
        </is>
      </c>
      <c r="D2299" s="1" t="inlineStr">
        <is>
          <t>OP00002</t>
        </is>
      </c>
      <c r="E2299" s="8" t="n">
        <v>45748.825</v>
      </c>
      <c r="F2299" s="7" t="inlineStr">
        <is>
          <t>AGEN</t>
        </is>
      </c>
      <c r="G2299" s="7" t="inlineStr">
        <is>
          <t>OP18231</t>
        </is>
      </c>
      <c r="H2299" s="19">
        <f>UPPER(Table3[[#This Row],[Agen id]]&amp;"-"&amp;VLOOKUP(Table3[[#This Row],[Agen id]],A:B,2,0)&amp;"("&amp;Table3[[#This Row],[Short]]&amp;")")</f>
        <v/>
      </c>
      <c r="J2299" s="7">
        <f>VLOOKUP(Table3[[#This Row],[Agen id]],Agen!A:C,3,0)</f>
        <v/>
      </c>
      <c r="K2299" s="37">
        <f>TRIM(LEFT(Table3[[#This Row],[Group]],2))</f>
        <v/>
      </c>
      <c r="L2299" s="3" t="inlineStr">
        <is>
          <t>NON SALES</t>
        </is>
      </c>
    </row>
    <row r="2300">
      <c r="A2300" s="5" t="inlineStr">
        <is>
          <t>OP18232</t>
        </is>
      </c>
      <c r="B2300" s="6" t="inlineStr">
        <is>
          <t>Putra</t>
        </is>
      </c>
      <c r="C2300" s="7" t="inlineStr">
        <is>
          <t>A - Agen</t>
        </is>
      </c>
      <c r="D2300" s="1" t="inlineStr">
        <is>
          <t>OP00002</t>
        </is>
      </c>
      <c r="E2300" s="8" t="n">
        <v>45749.58472222222</v>
      </c>
      <c r="F2300" s="7" t="inlineStr">
        <is>
          <t>AGEN</t>
        </is>
      </c>
      <c r="G2300" s="7" t="inlineStr">
        <is>
          <t>OP18232</t>
        </is>
      </c>
      <c r="H2300" s="19">
        <f>UPPER(Table3[[#This Row],[Agen id]]&amp;"-"&amp;VLOOKUP(Table3[[#This Row],[Agen id]],A:B,2,0)&amp;"("&amp;Table3[[#This Row],[Short]]&amp;")")</f>
        <v/>
      </c>
      <c r="J2300" s="7">
        <f>VLOOKUP(Table3[[#This Row],[Agen id]],Agen!A:C,3,0)</f>
        <v/>
      </c>
      <c r="K2300" s="37">
        <f>TRIM(LEFT(Table3[[#This Row],[Group]],2))</f>
        <v/>
      </c>
      <c r="L2300" s="3" t="inlineStr">
        <is>
          <t>NON SALES</t>
        </is>
      </c>
    </row>
    <row r="2301">
      <c r="A2301" s="5" t="inlineStr">
        <is>
          <t>OP18235</t>
        </is>
      </c>
      <c r="B2301" s="6" t="inlineStr">
        <is>
          <t>iham cell</t>
        </is>
      </c>
      <c r="C2301" s="7" t="inlineStr">
        <is>
          <t>AV - Agen Verified</t>
        </is>
      </c>
      <c r="D2301" s="1" t="inlineStr">
        <is>
          <t>OP03216</t>
        </is>
      </c>
      <c r="E2301" s="8" t="n">
        <v>45750.72222222222</v>
      </c>
      <c r="F2301" s="7" t="inlineStr">
        <is>
          <t>DOWNLINE</t>
        </is>
      </c>
      <c r="G2301" s="18" t="inlineStr">
        <is>
          <t>OP00049</t>
        </is>
      </c>
      <c r="H2301" s="19">
        <f>UPPER(Table3[[#This Row],[Agen id]]&amp;"-"&amp;VLOOKUP(Table3[[#This Row],[Agen id]],A:B,2,0)&amp;"("&amp;Table3[[#This Row],[Short]]&amp;")")</f>
        <v/>
      </c>
      <c r="J2301" s="7">
        <f>VLOOKUP(Table3[[#This Row],[Agen id]],Agen!A:C,3,0)</f>
        <v/>
      </c>
      <c r="K2301" s="37">
        <f>TRIM(LEFT(Table3[[#This Row],[Group]],2))</f>
        <v/>
      </c>
      <c r="L2301" s="3" t="inlineStr">
        <is>
          <t>NON SALES</t>
        </is>
      </c>
    </row>
    <row r="2302">
      <c r="A2302" s="5" t="inlineStr">
        <is>
          <t>OP18257</t>
        </is>
      </c>
      <c r="B2302" s="6" t="inlineStr">
        <is>
          <t>Fitri</t>
        </is>
      </c>
      <c r="C2302" s="7" t="inlineStr">
        <is>
          <t>AV - Agen Verified</t>
        </is>
      </c>
      <c r="D2302" s="1" t="inlineStr">
        <is>
          <t>OP08163</t>
        </is>
      </c>
      <c r="E2302" s="8" t="n">
        <v>45752.42638888889</v>
      </c>
      <c r="F2302" s="7" t="inlineStr">
        <is>
          <t>DOWNLINE</t>
        </is>
      </c>
      <c r="G2302" s="18" t="inlineStr">
        <is>
          <t>OP08163</t>
        </is>
      </c>
      <c r="H2302" s="19">
        <f>UPPER(Table3[[#This Row],[Agen id]]&amp;"-"&amp;VLOOKUP(Table3[[#This Row],[Agen id]],A:B,2,0)&amp;"("&amp;Table3[[#This Row],[Short]]&amp;")")</f>
        <v/>
      </c>
      <c r="J2302" s="7">
        <f>VLOOKUP(Table3[[#This Row],[Agen id]],Agen!A:C,3,0)</f>
        <v/>
      </c>
      <c r="K2302" s="37">
        <f>TRIM(LEFT(Table3[[#This Row],[Group]],2))</f>
        <v/>
      </c>
      <c r="L2302" s="3" t="inlineStr">
        <is>
          <t>NON SALES</t>
        </is>
      </c>
    </row>
    <row r="2303">
      <c r="A2303" s="5" t="inlineStr">
        <is>
          <t>OP18291</t>
        </is>
      </c>
      <c r="B2303" s="6" t="inlineStr">
        <is>
          <t>Heri Gunawan</t>
        </is>
      </c>
      <c r="C2303" s="7" t="inlineStr">
        <is>
          <t>A - Agen</t>
        </is>
      </c>
      <c r="D2303" s="1" t="inlineStr">
        <is>
          <t>OP00002</t>
        </is>
      </c>
      <c r="E2303" s="8" t="n">
        <v>45754.52361111111</v>
      </c>
      <c r="F2303" s="7" t="inlineStr">
        <is>
          <t>AGEN</t>
        </is>
      </c>
      <c r="G2303" s="7" t="inlineStr">
        <is>
          <t>OP18291</t>
        </is>
      </c>
      <c r="H2303" s="19">
        <f>UPPER(Table3[[#This Row],[Agen id]]&amp;"-"&amp;VLOOKUP(Table3[[#This Row],[Agen id]],A:B,2,0)&amp;"("&amp;Table3[[#This Row],[Short]]&amp;")")</f>
        <v/>
      </c>
      <c r="J2303" s="7">
        <f>VLOOKUP(Table3[[#This Row],[Agen id]],Agen!A:C,3,0)</f>
        <v/>
      </c>
      <c r="K2303" s="37">
        <f>TRIM(LEFT(Table3[[#This Row],[Group]],2))</f>
        <v/>
      </c>
      <c r="L2303" s="3" t="inlineStr">
        <is>
          <t>NON SALES</t>
        </is>
      </c>
    </row>
    <row r="2304">
      <c r="A2304" s="5" t="inlineStr">
        <is>
          <t>OP18329</t>
        </is>
      </c>
      <c r="B2304" s="6" t="inlineStr">
        <is>
          <t>ALEND CELL</t>
        </is>
      </c>
      <c r="C2304" s="7" t="inlineStr">
        <is>
          <t>AV - Agen Verified</t>
        </is>
      </c>
      <c r="D2304" s="1" t="inlineStr">
        <is>
          <t>OP00002</t>
        </is>
      </c>
      <c r="E2304" s="8" t="n">
        <v>45756.09027777778</v>
      </c>
      <c r="F2304" s="7" t="inlineStr">
        <is>
          <t>AGEN</t>
        </is>
      </c>
      <c r="G2304" s="18" t="inlineStr">
        <is>
          <t>OP18329</t>
        </is>
      </c>
      <c r="H2304" s="19">
        <f>UPPER(Table3[[#This Row],[Agen id]]&amp;"-"&amp;VLOOKUP(Table3[[#This Row],[Agen id]],A:B,2,0)&amp;"("&amp;Table3[[#This Row],[Short]]&amp;")")</f>
        <v/>
      </c>
      <c r="J2304" s="7">
        <f>VLOOKUP(Table3[[#This Row],[Agen id]],Agen!A:C,3,0)</f>
        <v/>
      </c>
      <c r="K2304" s="37">
        <f>TRIM(LEFT(Table3[[#This Row],[Group]],2))</f>
        <v/>
      </c>
      <c r="L2304" s="3" t="inlineStr">
        <is>
          <t>NON SALES</t>
        </is>
      </c>
    </row>
    <row r="2305">
      <c r="A2305" s="5" t="inlineStr">
        <is>
          <t>OP18337</t>
        </is>
      </c>
      <c r="B2305" s="6" t="inlineStr">
        <is>
          <t>Junhuda</t>
        </is>
      </c>
      <c r="C2305" s="7" t="inlineStr">
        <is>
          <t>AV - Agen Verified</t>
        </is>
      </c>
      <c r="D2305" s="1" t="inlineStr">
        <is>
          <t>OP00002</t>
        </is>
      </c>
      <c r="E2305" s="8" t="n">
        <v>45756.53472222222</v>
      </c>
      <c r="F2305" s="7" t="inlineStr">
        <is>
          <t>AGEN</t>
        </is>
      </c>
      <c r="G2305" s="18" t="inlineStr">
        <is>
          <t>OP18337</t>
        </is>
      </c>
      <c r="H2305" s="19">
        <f>UPPER(Table3[[#This Row],[Agen id]]&amp;"-"&amp;VLOOKUP(Table3[[#This Row],[Agen id]],A:B,2,0)&amp;"("&amp;Table3[[#This Row],[Short]]&amp;")")</f>
        <v/>
      </c>
      <c r="J2305" s="7">
        <f>VLOOKUP(Table3[[#This Row],[Agen id]],Agen!A:C,3,0)</f>
        <v/>
      </c>
      <c r="K2305" s="37">
        <f>TRIM(LEFT(Table3[[#This Row],[Group]],2))</f>
        <v/>
      </c>
      <c r="L2305" s="3" t="inlineStr">
        <is>
          <t>NON SALES</t>
        </is>
      </c>
    </row>
    <row r="2306">
      <c r="A2306" s="5" t="inlineStr">
        <is>
          <t>OP18392</t>
        </is>
      </c>
      <c r="B2306" s="6" t="inlineStr">
        <is>
          <t>keyla cell</t>
        </is>
      </c>
      <c r="C2306" s="7" t="inlineStr">
        <is>
          <t>A - Agen</t>
        </is>
      </c>
      <c r="D2306" s="1" t="inlineStr">
        <is>
          <t>OP00002</t>
        </is>
      </c>
      <c r="E2306" s="8" t="n">
        <v>45759.74375</v>
      </c>
      <c r="F2306" s="7" t="inlineStr">
        <is>
          <t>AGEN</t>
        </is>
      </c>
      <c r="G2306" s="7" t="inlineStr">
        <is>
          <t>OP18392</t>
        </is>
      </c>
      <c r="H2306" s="19">
        <f>UPPER(Table3[[#This Row],[Agen id]]&amp;"-"&amp;VLOOKUP(Table3[[#This Row],[Agen id]],A:B,2,0)&amp;"("&amp;Table3[[#This Row],[Short]]&amp;")")</f>
        <v/>
      </c>
      <c r="J2306" s="7">
        <f>VLOOKUP(Table3[[#This Row],[Agen id]],Agen!A:C,3,0)</f>
        <v/>
      </c>
      <c r="K2306" s="37">
        <f>TRIM(LEFT(Table3[[#This Row],[Group]],2))</f>
        <v/>
      </c>
      <c r="L2306" s="3" t="inlineStr">
        <is>
          <t>NON SALES</t>
        </is>
      </c>
    </row>
    <row r="2307">
      <c r="A2307" s="5" t="inlineStr">
        <is>
          <t>OP18454</t>
        </is>
      </c>
      <c r="B2307" s="6" t="inlineStr">
        <is>
          <t>Yuli nur fitrah</t>
        </is>
      </c>
      <c r="C2307" s="7" t="inlineStr">
        <is>
          <t>AV - Agen Verified</t>
        </is>
      </c>
      <c r="D2307" s="1" t="inlineStr">
        <is>
          <t>OP00002</t>
        </is>
      </c>
      <c r="E2307" s="8" t="n">
        <v>45764.67083333333</v>
      </c>
      <c r="F2307" s="7" t="inlineStr">
        <is>
          <t>AGEN</t>
        </is>
      </c>
      <c r="G2307" s="7" t="inlineStr">
        <is>
          <t>OP18454</t>
        </is>
      </c>
      <c r="H2307" s="19">
        <f>UPPER(Table3[[#This Row],[Agen id]]&amp;"-"&amp;VLOOKUP(Table3[[#This Row],[Agen id]],A:B,2,0)&amp;"("&amp;Table3[[#This Row],[Short]]&amp;")")</f>
        <v/>
      </c>
      <c r="J2307" s="7">
        <f>VLOOKUP(Table3[[#This Row],[Agen id]],Agen!A:C,3,0)</f>
        <v/>
      </c>
      <c r="K2307" s="37">
        <f>TRIM(LEFT(Table3[[#This Row],[Group]],2))</f>
        <v/>
      </c>
      <c r="L2307" s="3" t="inlineStr">
        <is>
          <t>NON SALES</t>
        </is>
      </c>
    </row>
    <row r="2308">
      <c r="A2308" s="5" t="inlineStr">
        <is>
          <t>OP18469</t>
        </is>
      </c>
      <c r="B2308" s="6" t="inlineStr">
        <is>
          <t>Alfurqan</t>
        </is>
      </c>
      <c r="C2308" s="7" t="inlineStr">
        <is>
          <t>A - Agen</t>
        </is>
      </c>
      <c r="D2308" s="1" t="inlineStr">
        <is>
          <t>OP00002</t>
        </is>
      </c>
      <c r="E2308" s="8" t="n">
        <v>45765.62013888889</v>
      </c>
      <c r="F2308" s="7" t="inlineStr">
        <is>
          <t>AGEN</t>
        </is>
      </c>
      <c r="G2308" s="18" t="inlineStr">
        <is>
          <t>OP18469</t>
        </is>
      </c>
      <c r="H2308" s="19">
        <f>UPPER(Table3[[#This Row],[Agen id]]&amp;"-"&amp;VLOOKUP(Table3[[#This Row],[Agen id]],A:B,2,0)&amp;"("&amp;Table3[[#This Row],[Short]]&amp;")")</f>
        <v/>
      </c>
      <c r="J2308" s="7">
        <f>VLOOKUP(Table3[[#This Row],[Agen id]],Agen!A:C,3,0)</f>
        <v/>
      </c>
      <c r="K2308" s="37">
        <f>TRIM(LEFT(Table3[[#This Row],[Group]],2))</f>
        <v/>
      </c>
      <c r="L2308" s="3" t="inlineStr">
        <is>
          <t>NON SALES</t>
        </is>
      </c>
    </row>
    <row r="2309">
      <c r="A2309" s="5" t="inlineStr">
        <is>
          <t>OP18479</t>
        </is>
      </c>
      <c r="B2309" s="6" t="inlineStr">
        <is>
          <t>Yeni</t>
        </is>
      </c>
      <c r="C2309" s="7" t="inlineStr">
        <is>
          <t>AV - Agen Verified</t>
        </is>
      </c>
      <c r="D2309" s="1" t="inlineStr">
        <is>
          <t>OP00003</t>
        </is>
      </c>
      <c r="E2309" s="8" t="n">
        <v>45766.42777777778</v>
      </c>
      <c r="F2309" s="7" t="inlineStr">
        <is>
          <t>AGEN</t>
        </is>
      </c>
      <c r="G2309" s="18" t="inlineStr">
        <is>
          <t>OP18479</t>
        </is>
      </c>
      <c r="H2309" s="19">
        <f>UPPER(Table3[[#This Row],[Agen id]]&amp;"-"&amp;VLOOKUP(Table3[[#This Row],[Agen id]],A:B,2,0)&amp;"("&amp;Table3[[#This Row],[Short]]&amp;")")</f>
        <v/>
      </c>
      <c r="J2309" s="7">
        <f>VLOOKUP(Table3[[#This Row],[Agen id]],Agen!A:C,3,0)</f>
        <v/>
      </c>
      <c r="K2309" s="37">
        <f>TRIM(LEFT(Table3[[#This Row],[Group]],2))</f>
        <v/>
      </c>
      <c r="L2309" s="3" t="inlineStr">
        <is>
          <t>NON SALES</t>
        </is>
      </c>
    </row>
    <row r="2310">
      <c r="A2310" s="5" t="inlineStr">
        <is>
          <t>OP18488</t>
        </is>
      </c>
      <c r="B2310" s="6" t="inlineStr">
        <is>
          <t>Borneo cell</t>
        </is>
      </c>
      <c r="C2310" s="7" t="inlineStr">
        <is>
          <t>AB1 - Agen Kab Bogor</t>
        </is>
      </c>
      <c r="D2310" s="1" t="inlineStr">
        <is>
          <t>OP08200</t>
        </is>
      </c>
      <c r="E2310" s="8" t="n">
        <v>45766.86180555556</v>
      </c>
      <c r="F2310" s="7" t="inlineStr">
        <is>
          <t>DOWNLINE</t>
        </is>
      </c>
      <c r="G2310" s="18" t="inlineStr">
        <is>
          <t>OP08200</t>
        </is>
      </c>
      <c r="H2310" s="19">
        <f>UPPER(Table3[[#This Row],[Agen id]]&amp;"-"&amp;VLOOKUP(Table3[[#This Row],[Agen id]],A:B,2,0)&amp;"("&amp;Table3[[#This Row],[Short]]&amp;")")</f>
        <v/>
      </c>
      <c r="J2310" s="7">
        <f>VLOOKUP(Table3[[#This Row],[Agen id]],Agen!A:C,3,0)</f>
        <v/>
      </c>
      <c r="K2310" s="37">
        <f>TRIM(LEFT(Table3[[#This Row],[Group]],2))</f>
        <v/>
      </c>
      <c r="L2310" s="3" t="inlineStr">
        <is>
          <t>NON SALES</t>
        </is>
      </c>
    </row>
    <row r="2311">
      <c r="A2311" s="5" t="inlineStr">
        <is>
          <t>OP18504</t>
        </is>
      </c>
      <c r="B2311" s="6" t="inlineStr">
        <is>
          <t>Wanto</t>
        </is>
      </c>
      <c r="C2311" s="7" t="inlineStr">
        <is>
          <t>A - Agen</t>
        </is>
      </c>
      <c r="D2311" s="1" t="inlineStr">
        <is>
          <t>OP00002</t>
        </is>
      </c>
      <c r="E2311" s="8" t="n">
        <v>45768.07708333333</v>
      </c>
      <c r="F2311" s="7" t="inlineStr">
        <is>
          <t>AGEN</t>
        </is>
      </c>
      <c r="G2311" s="7" t="inlineStr">
        <is>
          <t>OP18504</t>
        </is>
      </c>
      <c r="H2311" s="19">
        <f>UPPER(Table3[[#This Row],[Agen id]]&amp;"-"&amp;VLOOKUP(Table3[[#This Row],[Agen id]],A:B,2,0)&amp;"("&amp;Table3[[#This Row],[Short]]&amp;")")</f>
        <v/>
      </c>
      <c r="J2311" s="7">
        <f>VLOOKUP(Table3[[#This Row],[Agen id]],Agen!A:C,3,0)</f>
        <v/>
      </c>
      <c r="K2311" s="37">
        <f>TRIM(LEFT(Table3[[#This Row],[Group]],2))</f>
        <v/>
      </c>
      <c r="L2311" s="3" t="inlineStr">
        <is>
          <t>NON SALES</t>
        </is>
      </c>
    </row>
    <row r="2312">
      <c r="A2312" s="5" t="inlineStr">
        <is>
          <t>OP18511</t>
        </is>
      </c>
      <c r="B2312" s="6" t="inlineStr">
        <is>
          <t>Iwan Agung Pambudi</t>
        </is>
      </c>
      <c r="C2312" s="7" t="inlineStr">
        <is>
          <t>A - Agen</t>
        </is>
      </c>
      <c r="D2312" s="1" t="inlineStr">
        <is>
          <t>OP00003</t>
        </is>
      </c>
      <c r="E2312" s="8" t="n">
        <v>45768.61319444444</v>
      </c>
      <c r="F2312" s="7" t="inlineStr">
        <is>
          <t>AGEN</t>
        </is>
      </c>
      <c r="G2312" s="7" t="inlineStr">
        <is>
          <t>OP18511</t>
        </is>
      </c>
      <c r="H2312" s="19">
        <f>UPPER(Table3[[#This Row],[Agen id]]&amp;"-"&amp;VLOOKUP(Table3[[#This Row],[Agen id]],A:B,2,0)&amp;"("&amp;Table3[[#This Row],[Short]]&amp;")")</f>
        <v/>
      </c>
      <c r="J2312" s="7">
        <f>VLOOKUP(Table3[[#This Row],[Agen id]],Agen!A:C,3,0)</f>
        <v/>
      </c>
      <c r="K2312" s="37">
        <f>TRIM(LEFT(Table3[[#This Row],[Group]],2))</f>
        <v/>
      </c>
      <c r="L2312" s="3" t="inlineStr">
        <is>
          <t>NON SALES</t>
        </is>
      </c>
    </row>
    <row r="2313">
      <c r="A2313" s="5" t="inlineStr">
        <is>
          <t>OP18513</t>
        </is>
      </c>
      <c r="B2313" s="6" t="inlineStr">
        <is>
          <t>yola cell</t>
        </is>
      </c>
      <c r="C2313" s="7" t="inlineStr">
        <is>
          <t>AV - Agen Verified</t>
        </is>
      </c>
      <c r="D2313" s="1" t="inlineStr">
        <is>
          <t>OP00002</t>
        </is>
      </c>
      <c r="E2313" s="8" t="n">
        <v>45768.64027777778</v>
      </c>
      <c r="F2313" s="7" t="inlineStr">
        <is>
          <t>AGEN</t>
        </is>
      </c>
      <c r="G2313" s="18" t="inlineStr">
        <is>
          <t>OP18513</t>
        </is>
      </c>
      <c r="H2313" s="19">
        <f>UPPER(Table3[[#This Row],[Agen id]]&amp;"-"&amp;VLOOKUP(Table3[[#This Row],[Agen id]],A:B,2,0)&amp;"("&amp;Table3[[#This Row],[Short]]&amp;")")</f>
        <v/>
      </c>
      <c r="J2313" s="7">
        <f>VLOOKUP(Table3[[#This Row],[Agen id]],Agen!A:C,3,0)</f>
        <v/>
      </c>
      <c r="K2313" s="37">
        <f>TRIM(LEFT(Table3[[#This Row],[Group]],2))</f>
        <v/>
      </c>
      <c r="L2313" s="3" t="inlineStr">
        <is>
          <t>NON SALES</t>
        </is>
      </c>
    </row>
    <row r="2314">
      <c r="A2314" s="5" t="inlineStr">
        <is>
          <t>OP18525</t>
        </is>
      </c>
      <c r="B2314" s="6" t="inlineStr">
        <is>
          <t>Bardan</t>
        </is>
      </c>
      <c r="C2314" s="7" t="inlineStr">
        <is>
          <t>AV - Agen Verified</t>
        </is>
      </c>
      <c r="D2314" s="1" t="inlineStr">
        <is>
          <t>OP00002</t>
        </is>
      </c>
      <c r="E2314" s="8" t="n">
        <v>45769.7625</v>
      </c>
      <c r="F2314" s="7" t="inlineStr">
        <is>
          <t>AGEN</t>
        </is>
      </c>
      <c r="G2314" s="7" t="inlineStr">
        <is>
          <t>OP18525</t>
        </is>
      </c>
      <c r="H2314" s="19">
        <f>UPPER(Table3[[#This Row],[Agen id]]&amp;"-"&amp;VLOOKUP(Table3[[#This Row],[Agen id]],A:B,2,0)&amp;"("&amp;Table3[[#This Row],[Short]]&amp;")")</f>
        <v/>
      </c>
      <c r="J2314" s="7">
        <f>VLOOKUP(Table3[[#This Row],[Agen id]],Agen!A:C,3,0)</f>
        <v/>
      </c>
      <c r="K2314" s="37">
        <f>TRIM(LEFT(Table3[[#This Row],[Group]],2))</f>
        <v/>
      </c>
      <c r="L2314" s="3" t="inlineStr">
        <is>
          <t>NON SALES</t>
        </is>
      </c>
    </row>
    <row r="2315">
      <c r="A2315" s="5" t="inlineStr">
        <is>
          <t>OP18539</t>
        </is>
      </c>
      <c r="B2315" s="6" t="inlineStr">
        <is>
          <t>Citra</t>
        </is>
      </c>
      <c r="C2315" s="7" t="inlineStr">
        <is>
          <t>AV - Agen Verified</t>
        </is>
      </c>
      <c r="D2315" s="1" t="inlineStr">
        <is>
          <t>OP00002</t>
        </is>
      </c>
      <c r="E2315" s="8" t="n">
        <v>45771.44722222222</v>
      </c>
      <c r="F2315" s="7" t="inlineStr">
        <is>
          <t>AGEN</t>
        </is>
      </c>
      <c r="G2315" s="7" t="inlineStr">
        <is>
          <t>OP18539</t>
        </is>
      </c>
      <c r="H2315" s="19">
        <f>UPPER(Table3[[#This Row],[Agen id]]&amp;"-"&amp;VLOOKUP(Table3[[#This Row],[Agen id]],A:B,2,0)&amp;"("&amp;Table3[[#This Row],[Short]]&amp;")")</f>
        <v/>
      </c>
      <c r="J2315" s="7">
        <f>VLOOKUP(Table3[[#This Row],[Agen id]],Agen!A:C,3,0)</f>
        <v/>
      </c>
      <c r="K2315" s="37">
        <f>TRIM(LEFT(Table3[[#This Row],[Group]],2))</f>
        <v/>
      </c>
      <c r="L2315" s="3" t="inlineStr">
        <is>
          <t>NON SALES</t>
        </is>
      </c>
    </row>
    <row r="2316">
      <c r="A2316" s="5" t="inlineStr">
        <is>
          <t>OP18546</t>
        </is>
      </c>
      <c r="B2316" s="6" t="inlineStr">
        <is>
          <t>Luvita</t>
        </is>
      </c>
      <c r="C2316" s="7" t="inlineStr">
        <is>
          <t>A - Agen</t>
        </is>
      </c>
      <c r="D2316" s="1" t="inlineStr">
        <is>
          <t>OP00002</t>
        </is>
      </c>
      <c r="E2316" s="8" t="n">
        <v>45771.72361111111</v>
      </c>
      <c r="F2316" s="7" t="inlineStr">
        <is>
          <t>AGEN</t>
        </is>
      </c>
      <c r="G2316" s="18" t="inlineStr">
        <is>
          <t>OP18546</t>
        </is>
      </c>
      <c r="H2316" s="19">
        <f>UPPER(Table3[[#This Row],[Agen id]]&amp;"-"&amp;VLOOKUP(Table3[[#This Row],[Agen id]],A:B,2,0)&amp;"("&amp;Table3[[#This Row],[Short]]&amp;")")</f>
        <v/>
      </c>
      <c r="J2316" s="7">
        <f>VLOOKUP(Table3[[#This Row],[Agen id]],Agen!A:C,3,0)</f>
        <v/>
      </c>
      <c r="K2316" s="37">
        <f>TRIM(LEFT(Table3[[#This Row],[Group]],2))</f>
        <v/>
      </c>
      <c r="L2316" s="3" t="inlineStr">
        <is>
          <t>NON SALES</t>
        </is>
      </c>
    </row>
    <row r="2317">
      <c r="A2317" s="5" t="inlineStr">
        <is>
          <t>OP18577</t>
        </is>
      </c>
      <c r="B2317" s="6" t="inlineStr">
        <is>
          <t>Marman</t>
        </is>
      </c>
      <c r="C2317" s="7" t="inlineStr">
        <is>
          <t>A - Agen</t>
        </is>
      </c>
      <c r="D2317" s="1" t="inlineStr">
        <is>
          <t>OP00002</t>
        </is>
      </c>
      <c r="E2317" s="8" t="n">
        <v>45774.37708333333</v>
      </c>
      <c r="F2317" s="7" t="inlineStr">
        <is>
          <t>AGEN</t>
        </is>
      </c>
      <c r="G2317" s="7" t="inlineStr">
        <is>
          <t>OP18577</t>
        </is>
      </c>
      <c r="H2317" s="19">
        <f>UPPER(Table3[[#This Row],[Agen id]]&amp;"-"&amp;VLOOKUP(Table3[[#This Row],[Agen id]],A:B,2,0)&amp;"("&amp;Table3[[#This Row],[Short]]&amp;")")</f>
        <v/>
      </c>
      <c r="J2317" s="7">
        <f>VLOOKUP(Table3[[#This Row],[Agen id]],Agen!A:C,3,0)</f>
        <v/>
      </c>
      <c r="K2317" s="37">
        <f>TRIM(LEFT(Table3[[#This Row],[Group]],2))</f>
        <v/>
      </c>
      <c r="L2317" s="3" t="inlineStr">
        <is>
          <t>NON SALES</t>
        </is>
      </c>
    </row>
    <row r="2318">
      <c r="A2318" s="5" t="inlineStr">
        <is>
          <t>OP18595</t>
        </is>
      </c>
      <c r="B2318" s="6" t="inlineStr">
        <is>
          <t>Agus priyono</t>
        </is>
      </c>
      <c r="C2318" s="7" t="inlineStr">
        <is>
          <t>A - Agen</t>
        </is>
      </c>
      <c r="D2318" s="1" t="inlineStr">
        <is>
          <t>OP00002</t>
        </is>
      </c>
      <c r="E2318" s="8" t="n">
        <v>45775.65277777778</v>
      </c>
      <c r="F2318" s="7" t="inlineStr">
        <is>
          <t>AGEN</t>
        </is>
      </c>
      <c r="G2318" s="7" t="inlineStr">
        <is>
          <t>OP18595</t>
        </is>
      </c>
      <c r="H2318" s="19">
        <f>UPPER(Table3[[#This Row],[Agen id]]&amp;"-"&amp;VLOOKUP(Table3[[#This Row],[Agen id]],A:B,2,0)&amp;"("&amp;Table3[[#This Row],[Short]]&amp;")")</f>
        <v/>
      </c>
      <c r="J2318" s="7">
        <f>VLOOKUP(Table3[[#This Row],[Agen id]],Agen!A:C,3,0)</f>
        <v/>
      </c>
      <c r="K2318" s="37">
        <f>TRIM(LEFT(Table3[[#This Row],[Group]],2))</f>
        <v/>
      </c>
      <c r="L2318" s="3" t="inlineStr">
        <is>
          <t>NON SALES</t>
        </is>
      </c>
    </row>
    <row r="2319">
      <c r="A2319" s="5" t="inlineStr">
        <is>
          <t>OP18601</t>
        </is>
      </c>
      <c r="B2319" s="6" t="inlineStr">
        <is>
          <t>Munawar</t>
        </is>
      </c>
      <c r="C2319" s="7" t="inlineStr">
        <is>
          <t>A - Agen</t>
        </is>
      </c>
      <c r="D2319" s="1" t="inlineStr">
        <is>
          <t>OP00036</t>
        </is>
      </c>
      <c r="E2319" s="8" t="n">
        <v>45775.86944444444</v>
      </c>
      <c r="F2319" s="7" t="inlineStr">
        <is>
          <t>DOWNLINE</t>
        </is>
      </c>
      <c r="G2319" s="7" t="inlineStr">
        <is>
          <t>OP00036</t>
        </is>
      </c>
      <c r="H2319" s="19">
        <f>UPPER(Table3[[#This Row],[Agen id]]&amp;"-"&amp;VLOOKUP(Table3[[#This Row],[Agen id]],A:B,2,0)&amp;"("&amp;Table3[[#This Row],[Short]]&amp;")")</f>
        <v/>
      </c>
      <c r="J2319" s="7">
        <f>VLOOKUP(Table3[[#This Row],[Agen id]],Agen!A:C,3,0)</f>
        <v/>
      </c>
      <c r="K2319" s="37">
        <f>TRIM(LEFT(Table3[[#This Row],[Group]],2))</f>
        <v/>
      </c>
      <c r="L2319" s="3" t="inlineStr">
        <is>
          <t>NON SALES</t>
        </is>
      </c>
    </row>
    <row r="2320">
      <c r="A2320" s="5" t="inlineStr">
        <is>
          <t>OP18607</t>
        </is>
      </c>
      <c r="B2320" s="6" t="inlineStr">
        <is>
          <t>Siti Annisa Romadhona</t>
        </is>
      </c>
      <c r="C2320" s="7" t="inlineStr">
        <is>
          <t>AV - Agen Verified</t>
        </is>
      </c>
      <c r="D2320" s="1" t="inlineStr">
        <is>
          <t>OP00002</t>
        </is>
      </c>
      <c r="E2320" s="8" t="n">
        <v>45777.40694444445</v>
      </c>
      <c r="F2320" s="7" t="inlineStr">
        <is>
          <t>AGEN</t>
        </is>
      </c>
      <c r="G2320" s="18" t="inlineStr">
        <is>
          <t>OP18607</t>
        </is>
      </c>
      <c r="H2320" s="19">
        <f>UPPER(Table3[[#This Row],[Agen id]]&amp;"-"&amp;VLOOKUP(Table3[[#This Row],[Agen id]],A:B,2,0)&amp;"("&amp;Table3[[#This Row],[Short]]&amp;")")</f>
        <v/>
      </c>
      <c r="J2320" s="7">
        <f>VLOOKUP(Table3[[#This Row],[Agen id]],Agen!A:C,3,0)</f>
        <v/>
      </c>
      <c r="K2320" s="37">
        <f>TRIM(LEFT(Table3[[#This Row],[Group]],2))</f>
        <v/>
      </c>
      <c r="L2320" s="3" t="inlineStr">
        <is>
          <t>NON SALES</t>
        </is>
      </c>
    </row>
    <row r="2321">
      <c r="A2321" s="5" t="inlineStr">
        <is>
          <t>OP18610</t>
        </is>
      </c>
      <c r="B2321" s="6" t="inlineStr">
        <is>
          <t>Mbak Lis Pulsa</t>
        </is>
      </c>
      <c r="C2321" s="7" t="inlineStr">
        <is>
          <t>AV - Agen Verified</t>
        </is>
      </c>
      <c r="D2321" s="1" t="inlineStr">
        <is>
          <t>OP00002</t>
        </is>
      </c>
      <c r="E2321" s="8" t="n">
        <v>45778.59097222222</v>
      </c>
      <c r="F2321" s="7" t="inlineStr">
        <is>
          <t>AGEN</t>
        </is>
      </c>
      <c r="G2321" s="18" t="inlineStr">
        <is>
          <t>OP18610</t>
        </is>
      </c>
      <c r="H2321" s="19">
        <f>UPPER(Table3[[#This Row],[Agen id]]&amp;"-"&amp;VLOOKUP(Table3[[#This Row],[Agen id]],A:B,2,0)&amp;"("&amp;Table3[[#This Row],[Short]]&amp;")")</f>
        <v/>
      </c>
      <c r="J2321" s="7">
        <f>VLOOKUP(Table3[[#This Row],[Agen id]],Agen!A:C,3,0)</f>
        <v/>
      </c>
      <c r="K2321" s="37">
        <f>TRIM(LEFT(Table3[[#This Row],[Group]],2))</f>
        <v/>
      </c>
      <c r="L2321" s="3" t="inlineStr">
        <is>
          <t>NON SALES</t>
        </is>
      </c>
    </row>
    <row r="2322">
      <c r="A2322" s="5" t="inlineStr">
        <is>
          <t>OP18617</t>
        </is>
      </c>
      <c r="B2322" s="6" t="inlineStr">
        <is>
          <t>Hendra cipta</t>
        </is>
      </c>
      <c r="C2322" s="7" t="inlineStr">
        <is>
          <t>AV - Agen Verified</t>
        </is>
      </c>
      <c r="D2322" s="1" t="inlineStr">
        <is>
          <t>OP00002</t>
        </is>
      </c>
      <c r="E2322" s="8" t="n">
        <v>45778.89930555555</v>
      </c>
      <c r="F2322" s="7" t="inlineStr">
        <is>
          <t>AGEN</t>
        </is>
      </c>
      <c r="G2322" s="7" t="inlineStr">
        <is>
          <t>OP18617</t>
        </is>
      </c>
      <c r="H2322" s="19">
        <f>UPPER(Table3[[#This Row],[Agen id]]&amp;"-"&amp;VLOOKUP(Table3[[#This Row],[Agen id]],A:B,2,0)&amp;"("&amp;Table3[[#This Row],[Short]]&amp;")")</f>
        <v/>
      </c>
      <c r="J2322" s="7">
        <f>VLOOKUP(Table3[[#This Row],[Agen id]],Agen!A:C,3,0)</f>
        <v/>
      </c>
      <c r="K2322" s="37">
        <f>TRIM(LEFT(Table3[[#This Row],[Group]],2))</f>
        <v/>
      </c>
      <c r="L2322" s="3" t="inlineStr">
        <is>
          <t>NON SALES</t>
        </is>
      </c>
    </row>
    <row r="2323">
      <c r="A2323" s="5" t="inlineStr">
        <is>
          <t>OP18627</t>
        </is>
      </c>
      <c r="B2323" s="6" t="inlineStr">
        <is>
          <t>yoneta usfal</t>
        </is>
      </c>
      <c r="C2323" s="7" t="inlineStr">
        <is>
          <t>AV - Agen Verified</t>
        </is>
      </c>
      <c r="D2323" s="1" t="inlineStr">
        <is>
          <t>OP03630</t>
        </is>
      </c>
      <c r="E2323" s="8" t="n">
        <v>45779.87569444445</v>
      </c>
      <c r="F2323" s="7" t="inlineStr">
        <is>
          <t>DOWNLINE</t>
        </is>
      </c>
      <c r="G2323" s="18" t="inlineStr">
        <is>
          <t>OP03630</t>
        </is>
      </c>
      <c r="H2323" s="19">
        <f>UPPER(Table3[[#This Row],[Agen id]]&amp;"-"&amp;VLOOKUP(Table3[[#This Row],[Agen id]],A:B,2,0)&amp;"("&amp;Table3[[#This Row],[Short]]&amp;")")</f>
        <v/>
      </c>
      <c r="J2323" s="7">
        <f>VLOOKUP(Table3[[#This Row],[Agen id]],Agen!A:C,3,0)</f>
        <v/>
      </c>
      <c r="K2323" s="37">
        <f>TRIM(LEFT(Table3[[#This Row],[Group]],2))</f>
        <v/>
      </c>
      <c r="L2323" s="3" t="inlineStr">
        <is>
          <t>NON SALES</t>
        </is>
      </c>
    </row>
    <row r="2324">
      <c r="A2324" s="5" t="inlineStr">
        <is>
          <t>OP18652</t>
        </is>
      </c>
      <c r="B2324" s="6" t="inlineStr">
        <is>
          <t>Farid Ibnu Fatir</t>
        </is>
      </c>
      <c r="C2324" s="7" t="inlineStr">
        <is>
          <t>A - Agen</t>
        </is>
      </c>
      <c r="D2324" s="1" t="inlineStr">
        <is>
          <t>OP00002</t>
        </is>
      </c>
      <c r="E2324" s="8" t="n">
        <v>45782.63541666666</v>
      </c>
      <c r="F2324" s="7" t="inlineStr">
        <is>
          <t>AGEN</t>
        </is>
      </c>
      <c r="G2324" s="7" t="inlineStr">
        <is>
          <t>OP18652</t>
        </is>
      </c>
      <c r="H2324" s="19">
        <f>UPPER(Table3[[#This Row],[Agen id]]&amp;"-"&amp;VLOOKUP(Table3[[#This Row],[Agen id]],A:B,2,0)&amp;"("&amp;Table3[[#This Row],[Short]]&amp;")")</f>
        <v/>
      </c>
      <c r="J2324" s="7">
        <f>VLOOKUP(Table3[[#This Row],[Agen id]],Agen!A:C,3,0)</f>
        <v/>
      </c>
      <c r="K2324" s="37">
        <f>TRIM(LEFT(Table3[[#This Row],[Group]],2))</f>
        <v/>
      </c>
      <c r="L2324" s="3" t="inlineStr">
        <is>
          <t>NON SALES</t>
        </is>
      </c>
    </row>
    <row r="2325">
      <c r="A2325" s="5" t="inlineStr">
        <is>
          <t>OP18653</t>
        </is>
      </c>
      <c r="B2325" s="6" t="inlineStr">
        <is>
          <t>Hanin Cell</t>
        </is>
      </c>
      <c r="C2325" s="7" t="inlineStr">
        <is>
          <t>AV - Agen Verified</t>
        </is>
      </c>
      <c r="D2325" s="1" t="inlineStr">
        <is>
          <t>OP00002</t>
        </is>
      </c>
      <c r="E2325" s="8" t="n">
        <v>45782.68125</v>
      </c>
      <c r="F2325" s="7" t="inlineStr">
        <is>
          <t>AGEN</t>
        </is>
      </c>
      <c r="G2325" s="7" t="inlineStr">
        <is>
          <t>OP18653</t>
        </is>
      </c>
      <c r="H2325" s="19">
        <f>UPPER(Table3[[#This Row],[Agen id]]&amp;"-"&amp;VLOOKUP(Table3[[#This Row],[Agen id]],A:B,2,0)&amp;"("&amp;Table3[[#This Row],[Short]]&amp;")")</f>
        <v/>
      </c>
      <c r="J2325" s="7">
        <f>VLOOKUP(Table3[[#This Row],[Agen id]],Agen!A:C,3,0)</f>
        <v/>
      </c>
      <c r="K2325" s="37">
        <f>TRIM(LEFT(Table3[[#This Row],[Group]],2))</f>
        <v/>
      </c>
      <c r="L2325" s="3" t="inlineStr">
        <is>
          <t>NON SALES</t>
        </is>
      </c>
    </row>
    <row r="2326">
      <c r="A2326" s="5" t="inlineStr">
        <is>
          <t>OP18670</t>
        </is>
      </c>
      <c r="B2326" s="6" t="inlineStr">
        <is>
          <t>KASI</t>
        </is>
      </c>
      <c r="C2326" s="7" t="inlineStr">
        <is>
          <t>AV - Agen Verified</t>
        </is>
      </c>
      <c r="D2326" s="1" t="inlineStr">
        <is>
          <t>OP00002</t>
        </is>
      </c>
      <c r="E2326" s="8" t="n">
        <v>45783.24236111111</v>
      </c>
      <c r="F2326" s="7" t="inlineStr">
        <is>
          <t>AGEN</t>
        </is>
      </c>
      <c r="G2326" s="7" t="inlineStr">
        <is>
          <t>OP18670</t>
        </is>
      </c>
      <c r="H2326" s="19">
        <f>UPPER(Table3[[#This Row],[Agen id]]&amp;"-"&amp;VLOOKUP(Table3[[#This Row],[Agen id]],A:B,2,0)&amp;"("&amp;Table3[[#This Row],[Short]]&amp;")")</f>
        <v/>
      </c>
      <c r="J2326" s="7">
        <f>VLOOKUP(Table3[[#This Row],[Agen id]],Agen!A:C,3,0)</f>
        <v/>
      </c>
      <c r="K2326" s="37">
        <f>TRIM(LEFT(Table3[[#This Row],[Group]],2))</f>
        <v/>
      </c>
      <c r="L2326" s="3" t="inlineStr">
        <is>
          <t>NON SALES</t>
        </is>
      </c>
    </row>
    <row r="2327">
      <c r="A2327" s="5" t="inlineStr">
        <is>
          <t>OP18682</t>
        </is>
      </c>
      <c r="B2327" s="6" t="inlineStr">
        <is>
          <t>AINE CELL</t>
        </is>
      </c>
      <c r="C2327" s="7" t="inlineStr">
        <is>
          <t>A - Agen</t>
        </is>
      </c>
      <c r="D2327" s="1" t="inlineStr">
        <is>
          <t>OP00002</t>
        </is>
      </c>
      <c r="E2327" s="8" t="n">
        <v>45783.95555555556</v>
      </c>
      <c r="F2327" s="7" t="inlineStr">
        <is>
          <t>AGEN</t>
        </is>
      </c>
      <c r="G2327" s="18" t="inlineStr">
        <is>
          <t>OP18682</t>
        </is>
      </c>
      <c r="H2327" s="19">
        <f>UPPER(Table3[[#This Row],[Agen id]]&amp;"-"&amp;VLOOKUP(Table3[[#This Row],[Agen id]],A:B,2,0)&amp;"("&amp;Table3[[#This Row],[Short]]&amp;")")</f>
        <v/>
      </c>
      <c r="J2327" s="7">
        <f>VLOOKUP(Table3[[#This Row],[Agen id]],Agen!A:C,3,0)</f>
        <v/>
      </c>
      <c r="K2327" s="37">
        <f>TRIM(LEFT(Table3[[#This Row],[Group]],2))</f>
        <v/>
      </c>
      <c r="L2327" s="3" t="inlineStr">
        <is>
          <t>NON SALES</t>
        </is>
      </c>
    </row>
    <row r="2328">
      <c r="A2328" s="5" t="inlineStr">
        <is>
          <t>OP18689</t>
        </is>
      </c>
      <c r="B2328" s="6" t="inlineStr">
        <is>
          <t>Diki</t>
        </is>
      </c>
      <c r="C2328" s="7" t="inlineStr">
        <is>
          <t>A - Agen</t>
        </is>
      </c>
      <c r="D2328" s="1" t="inlineStr">
        <is>
          <t>OP00002</t>
        </is>
      </c>
      <c r="E2328" s="8" t="n">
        <v>45785.28333333333</v>
      </c>
      <c r="F2328" s="7" t="inlineStr">
        <is>
          <t>AGEN</t>
        </is>
      </c>
      <c r="G2328" s="18" t="inlineStr">
        <is>
          <t>OP18689</t>
        </is>
      </c>
      <c r="H2328" s="19">
        <f>UPPER(Table3[[#This Row],[Agen id]]&amp;"-"&amp;VLOOKUP(Table3[[#This Row],[Agen id]],A:B,2,0)&amp;"("&amp;Table3[[#This Row],[Short]]&amp;")")</f>
        <v/>
      </c>
      <c r="J2328" s="7">
        <f>VLOOKUP(Table3[[#This Row],[Agen id]],Agen!A:C,3,0)</f>
        <v/>
      </c>
      <c r="K2328" s="37">
        <f>TRIM(LEFT(Table3[[#This Row],[Group]],2))</f>
        <v/>
      </c>
      <c r="L2328" s="3" t="inlineStr">
        <is>
          <t>NON SALES</t>
        </is>
      </c>
    </row>
    <row r="2329">
      <c r="A2329" s="5" t="inlineStr">
        <is>
          <t>OP18701</t>
        </is>
      </c>
      <c r="B2329" s="6" t="inlineStr">
        <is>
          <t>Frengky</t>
        </is>
      </c>
      <c r="C2329" s="7" t="inlineStr">
        <is>
          <t>A - Agen</t>
        </is>
      </c>
      <c r="D2329" s="1" t="inlineStr">
        <is>
          <t>OP00002</t>
        </is>
      </c>
      <c r="E2329" s="8" t="n">
        <v>45786.82291666666</v>
      </c>
      <c r="F2329" s="7" t="inlineStr">
        <is>
          <t>AGEN</t>
        </is>
      </c>
      <c r="G2329" s="7" t="inlineStr">
        <is>
          <t>OP18701</t>
        </is>
      </c>
      <c r="H2329" s="19">
        <f>UPPER(Table3[[#This Row],[Agen id]]&amp;"-"&amp;VLOOKUP(Table3[[#This Row],[Agen id]],A:B,2,0)&amp;"("&amp;Table3[[#This Row],[Short]]&amp;")")</f>
        <v/>
      </c>
      <c r="J2329" s="7">
        <f>VLOOKUP(Table3[[#This Row],[Agen id]],Agen!A:C,3,0)</f>
        <v/>
      </c>
      <c r="K2329" s="37">
        <f>TRIM(LEFT(Table3[[#This Row],[Group]],2))</f>
        <v/>
      </c>
      <c r="L2329" s="3" t="inlineStr">
        <is>
          <t>NON SALES</t>
        </is>
      </c>
    </row>
    <row r="2330">
      <c r="A2330" s="5" t="inlineStr">
        <is>
          <t>OP18704</t>
        </is>
      </c>
      <c r="B2330" s="6" t="inlineStr">
        <is>
          <t>Epotzz</t>
        </is>
      </c>
      <c r="C2330" s="7" t="inlineStr">
        <is>
          <t>A - Agen</t>
        </is>
      </c>
      <c r="D2330" s="1" t="inlineStr">
        <is>
          <t>OP00002</t>
        </is>
      </c>
      <c r="E2330" s="8" t="n">
        <v>45786.88194444445</v>
      </c>
      <c r="F2330" s="7" t="inlineStr">
        <is>
          <t>AGEN</t>
        </is>
      </c>
      <c r="G2330" s="7" t="inlineStr">
        <is>
          <t>OP18704</t>
        </is>
      </c>
      <c r="H2330" s="19">
        <f>UPPER(Table3[[#This Row],[Agen id]]&amp;"-"&amp;VLOOKUP(Table3[[#This Row],[Agen id]],A:B,2,0)&amp;"("&amp;Table3[[#This Row],[Short]]&amp;")")</f>
        <v/>
      </c>
      <c r="J2330" s="7">
        <f>VLOOKUP(Table3[[#This Row],[Agen id]],Agen!A:C,3,0)</f>
        <v/>
      </c>
      <c r="K2330" s="37">
        <f>TRIM(LEFT(Table3[[#This Row],[Group]],2))</f>
        <v/>
      </c>
      <c r="L2330" s="3" t="inlineStr">
        <is>
          <t>NON SALES</t>
        </is>
      </c>
    </row>
    <row r="2331">
      <c r="A2331" s="5" t="inlineStr">
        <is>
          <t>OP18707</t>
        </is>
      </c>
      <c r="B2331" s="6" t="inlineStr">
        <is>
          <t>GITA SEPTIANI CELLULAR</t>
        </is>
      </c>
      <c r="C2331" s="7" t="inlineStr">
        <is>
          <t>AV - Agen Verified</t>
        </is>
      </c>
      <c r="D2331" s="1" t="inlineStr">
        <is>
          <t>OP00949</t>
        </is>
      </c>
      <c r="E2331" s="8" t="n">
        <v>45787.71111111111</v>
      </c>
      <c r="F2331" s="7" t="inlineStr">
        <is>
          <t>DOWNLINE</t>
        </is>
      </c>
      <c r="G2331" s="18" t="inlineStr">
        <is>
          <t>OP00949</t>
        </is>
      </c>
      <c r="H2331" s="19">
        <f>UPPER(Table3[[#This Row],[Agen id]]&amp;"-"&amp;VLOOKUP(Table3[[#This Row],[Agen id]],A:B,2,0)&amp;"("&amp;Table3[[#This Row],[Short]]&amp;")")</f>
        <v/>
      </c>
      <c r="J2331" s="7">
        <f>VLOOKUP(Table3[[#This Row],[Agen id]],Agen!A:C,3,0)</f>
        <v/>
      </c>
      <c r="K2331" s="37">
        <f>TRIM(LEFT(Table3[[#This Row],[Group]],2))</f>
        <v/>
      </c>
      <c r="L2331" s="3" t="inlineStr">
        <is>
          <t>NON SALES</t>
        </is>
      </c>
    </row>
    <row r="2332">
      <c r="A2332" s="5" t="inlineStr">
        <is>
          <t>OP18712</t>
        </is>
      </c>
      <c r="B2332" s="6" t="inlineStr">
        <is>
          <t>Pepi agristin</t>
        </is>
      </c>
      <c r="C2332" s="7" t="inlineStr">
        <is>
          <t>A - Agen</t>
        </is>
      </c>
      <c r="D2332" s="1" t="inlineStr">
        <is>
          <t>OP12088</t>
        </is>
      </c>
      <c r="E2332" s="8" t="n">
        <v>45788.37083333333</v>
      </c>
      <c r="F2332" s="7" t="inlineStr">
        <is>
          <t>DOWNLINE</t>
        </is>
      </c>
      <c r="G2332" s="18" t="inlineStr">
        <is>
          <t>OP12088</t>
        </is>
      </c>
      <c r="H2332" s="19">
        <f>UPPER(Table3[[#This Row],[Agen id]]&amp;"-"&amp;VLOOKUP(Table3[[#This Row],[Agen id]],A:B,2,0)&amp;"("&amp;Table3[[#This Row],[Short]]&amp;")")</f>
        <v/>
      </c>
      <c r="J2332" s="7">
        <f>VLOOKUP(Table3[[#This Row],[Agen id]],Agen!A:C,3,0)</f>
        <v/>
      </c>
      <c r="K2332" s="37">
        <f>TRIM(LEFT(Table3[[#This Row],[Group]],2))</f>
        <v/>
      </c>
      <c r="L2332" s="3" t="inlineStr">
        <is>
          <t>NON SALES</t>
        </is>
      </c>
    </row>
    <row r="2333">
      <c r="A2333" s="5" t="inlineStr">
        <is>
          <t>OP18717</t>
        </is>
      </c>
      <c r="B2333" s="6" t="inlineStr">
        <is>
          <t>MAMA IIN</t>
        </is>
      </c>
      <c r="C2333" s="7" t="inlineStr">
        <is>
          <t>A - Agen</t>
        </is>
      </c>
      <c r="D2333" s="1" t="inlineStr">
        <is>
          <t>OP14366</t>
        </is>
      </c>
      <c r="E2333" s="8" t="n">
        <v>45788.67708333334</v>
      </c>
      <c r="F2333" s="7" t="inlineStr">
        <is>
          <t>DOWNLINE</t>
        </is>
      </c>
      <c r="G2333" s="18" t="inlineStr">
        <is>
          <t>OP00431</t>
        </is>
      </c>
      <c r="H2333" s="19">
        <f>UPPER(Table3[[#This Row],[Agen id]]&amp;"-"&amp;VLOOKUP(Table3[[#This Row],[Agen id]],A:B,2,0)&amp;"("&amp;Table3[[#This Row],[Short]]&amp;")")</f>
        <v/>
      </c>
      <c r="J2333" s="7">
        <f>VLOOKUP(Table3[[#This Row],[Agen id]],Agen!A:C,3,0)</f>
        <v/>
      </c>
      <c r="K2333" s="37">
        <f>TRIM(LEFT(Table3[[#This Row],[Group]],2))</f>
        <v/>
      </c>
      <c r="L2333" s="3" t="inlineStr">
        <is>
          <t>NON SALES</t>
        </is>
      </c>
    </row>
    <row r="2334">
      <c r="A2334" s="5" t="inlineStr">
        <is>
          <t>OP18726</t>
        </is>
      </c>
      <c r="B2334" s="6" t="inlineStr">
        <is>
          <t>MARCELL</t>
        </is>
      </c>
      <c r="C2334" s="7" t="inlineStr">
        <is>
          <t>A - Agen</t>
        </is>
      </c>
      <c r="D2334" s="1" t="inlineStr">
        <is>
          <t>OP07683</t>
        </is>
      </c>
      <c r="E2334" s="8" t="n">
        <v>45789.40694444445</v>
      </c>
      <c r="F2334" s="7" t="inlineStr">
        <is>
          <t>AGEN</t>
        </is>
      </c>
      <c r="G2334" s="7" t="inlineStr">
        <is>
          <t>OP18726</t>
        </is>
      </c>
      <c r="H2334" s="19">
        <f>UPPER(Table3[[#This Row],[Agen id]]&amp;"-"&amp;VLOOKUP(Table3[[#This Row],[Agen id]],A:B,2,0)&amp;"("&amp;Table3[[#This Row],[Short]]&amp;")")</f>
        <v/>
      </c>
      <c r="J2334" s="7">
        <f>VLOOKUP(Table3[[#This Row],[Agen id]],Agen!A:C,3,0)</f>
        <v/>
      </c>
      <c r="K2334" s="37">
        <f>TRIM(LEFT(Table3[[#This Row],[Group]],2))</f>
        <v/>
      </c>
      <c r="L2334" s="3" t="inlineStr">
        <is>
          <t>NON SALES</t>
        </is>
      </c>
    </row>
    <row r="2335">
      <c r="A2335" s="5" t="inlineStr">
        <is>
          <t>OP18727</t>
        </is>
      </c>
      <c r="B2335" s="6" t="inlineStr">
        <is>
          <t>Tatohrp</t>
        </is>
      </c>
      <c r="C2335" s="7" t="inlineStr">
        <is>
          <t>A - Agen</t>
        </is>
      </c>
      <c r="D2335" s="1" t="inlineStr">
        <is>
          <t>OP00002</t>
        </is>
      </c>
      <c r="E2335" s="8" t="n">
        <v>45789.67152777778</v>
      </c>
      <c r="F2335" s="7" t="inlineStr">
        <is>
          <t>AGEN</t>
        </is>
      </c>
      <c r="G2335" s="7" t="inlineStr">
        <is>
          <t>OP18727</t>
        </is>
      </c>
      <c r="H2335" s="19">
        <f>UPPER(Table3[[#This Row],[Agen id]]&amp;"-"&amp;VLOOKUP(Table3[[#This Row],[Agen id]],A:B,2,0)&amp;"("&amp;Table3[[#This Row],[Short]]&amp;")")</f>
        <v/>
      </c>
      <c r="J2335" s="7">
        <f>VLOOKUP(Table3[[#This Row],[Agen id]],Agen!A:C,3,0)</f>
        <v/>
      </c>
      <c r="K2335" s="37">
        <f>TRIM(LEFT(Table3[[#This Row],[Group]],2))</f>
        <v/>
      </c>
      <c r="L2335" s="3" t="inlineStr">
        <is>
          <t>NON SALES</t>
        </is>
      </c>
    </row>
    <row r="2336">
      <c r="A2336" s="5" t="inlineStr">
        <is>
          <t>OP18737</t>
        </is>
      </c>
      <c r="B2336" s="6" t="inlineStr">
        <is>
          <t>Qia Cell</t>
        </is>
      </c>
      <c r="C2336" s="7" t="inlineStr">
        <is>
          <t>A - Agen</t>
        </is>
      </c>
      <c r="D2336" s="1" t="inlineStr">
        <is>
          <t>OP00891</t>
        </is>
      </c>
      <c r="E2336" s="8" t="n">
        <v>45792.84305555555</v>
      </c>
      <c r="F2336" s="7" t="inlineStr">
        <is>
          <t>DOWNLINE</t>
        </is>
      </c>
      <c r="G2336" s="18" t="inlineStr">
        <is>
          <t>OP00891</t>
        </is>
      </c>
      <c r="H2336" s="19">
        <f>UPPER(Table3[[#This Row],[Agen id]]&amp;"-"&amp;VLOOKUP(Table3[[#This Row],[Agen id]],A:B,2,0)&amp;"("&amp;Table3[[#This Row],[Short]]&amp;")")</f>
        <v/>
      </c>
      <c r="J2336" s="7">
        <f>VLOOKUP(Table3[[#This Row],[Agen id]],Agen!A:C,3,0)</f>
        <v/>
      </c>
      <c r="K2336" s="37">
        <f>TRIM(LEFT(Table3[[#This Row],[Group]],2))</f>
        <v/>
      </c>
      <c r="L2336" s="3" t="inlineStr">
        <is>
          <t>NON SALES</t>
        </is>
      </c>
    </row>
    <row r="2337">
      <c r="A2337" s="5" t="inlineStr">
        <is>
          <t>OP18739</t>
        </is>
      </c>
      <c r="B2337" s="6" t="inlineStr">
        <is>
          <t>Riyani Cell</t>
        </is>
      </c>
      <c r="C2337" s="7" t="inlineStr">
        <is>
          <t>AV - Agen Verified</t>
        </is>
      </c>
      <c r="D2337" s="1" t="inlineStr">
        <is>
          <t>OP00002</t>
        </is>
      </c>
      <c r="E2337" s="8" t="n">
        <v>45794.69166666667</v>
      </c>
      <c r="F2337" s="7" t="inlineStr">
        <is>
          <t>AGEN</t>
        </is>
      </c>
      <c r="G2337" s="7" t="inlineStr">
        <is>
          <t>OP18739</t>
        </is>
      </c>
      <c r="H2337" s="19">
        <f>UPPER(Table3[[#This Row],[Agen id]]&amp;"-"&amp;VLOOKUP(Table3[[#This Row],[Agen id]],A:B,2,0)&amp;"("&amp;Table3[[#This Row],[Short]]&amp;")")</f>
        <v/>
      </c>
      <c r="J2337" s="7">
        <f>VLOOKUP(Table3[[#This Row],[Agen id]],Agen!A:C,3,0)</f>
        <v/>
      </c>
      <c r="K2337" s="37">
        <f>TRIM(LEFT(Table3[[#This Row],[Group]],2))</f>
        <v/>
      </c>
      <c r="L2337" s="3" t="inlineStr">
        <is>
          <t>NON SALES</t>
        </is>
      </c>
    </row>
    <row r="2338">
      <c r="A2338" s="5" t="inlineStr">
        <is>
          <t>OP18743</t>
        </is>
      </c>
      <c r="B2338" s="6" t="inlineStr">
        <is>
          <t>ulan</t>
        </is>
      </c>
      <c r="C2338" s="7" t="inlineStr">
        <is>
          <t>A - Agen</t>
        </is>
      </c>
      <c r="D2338" s="1" t="inlineStr">
        <is>
          <t>OP00002</t>
        </is>
      </c>
      <c r="E2338" s="8" t="n">
        <v>45796.53958333333</v>
      </c>
      <c r="F2338" s="7" t="inlineStr">
        <is>
          <t>AGEN</t>
        </is>
      </c>
      <c r="G2338" s="7" t="inlineStr">
        <is>
          <t>OP18743</t>
        </is>
      </c>
      <c r="H2338" s="19">
        <f>UPPER(Table3[[#This Row],[Agen id]]&amp;"-"&amp;VLOOKUP(Table3[[#This Row],[Agen id]],A:B,2,0)&amp;"("&amp;Table3[[#This Row],[Short]]&amp;")")</f>
        <v/>
      </c>
      <c r="J2338" s="7">
        <f>VLOOKUP(Table3[[#This Row],[Agen id]],Agen!A:C,3,0)</f>
        <v/>
      </c>
      <c r="K2338" s="37">
        <f>TRIM(LEFT(Table3[[#This Row],[Group]],2))</f>
        <v/>
      </c>
      <c r="L2338" s="3" t="inlineStr">
        <is>
          <t>NON SALES</t>
        </is>
      </c>
    </row>
    <row r="2339">
      <c r="A2339" s="5" t="inlineStr">
        <is>
          <t>OP18746</t>
        </is>
      </c>
      <c r="B2339" s="6" t="inlineStr">
        <is>
          <t>Eliani</t>
        </is>
      </c>
      <c r="C2339" s="7" t="inlineStr">
        <is>
          <t>AV - Agen Verified</t>
        </is>
      </c>
      <c r="D2339" s="1" t="inlineStr">
        <is>
          <t>OP00003</t>
        </is>
      </c>
      <c r="E2339" s="8" t="n">
        <v>45797.46458333333</v>
      </c>
      <c r="F2339" s="7" t="inlineStr">
        <is>
          <t>AGEN</t>
        </is>
      </c>
      <c r="G2339" s="18" t="inlineStr">
        <is>
          <t>OP18746</t>
        </is>
      </c>
      <c r="H2339" s="19">
        <f>UPPER(Table3[[#This Row],[Agen id]]&amp;"-"&amp;VLOOKUP(Table3[[#This Row],[Agen id]],A:B,2,0)&amp;"("&amp;Table3[[#This Row],[Short]]&amp;")")</f>
        <v/>
      </c>
      <c r="J2339" s="7">
        <f>VLOOKUP(Table3[[#This Row],[Agen id]],Agen!A:C,3,0)</f>
        <v/>
      </c>
      <c r="K2339" s="37">
        <f>TRIM(LEFT(Table3[[#This Row],[Group]],2))</f>
        <v/>
      </c>
      <c r="L2339" s="3" t="inlineStr">
        <is>
          <t>NON SALES</t>
        </is>
      </c>
    </row>
    <row r="2340">
      <c r="A2340" s="5" t="inlineStr">
        <is>
          <t>OP18748</t>
        </is>
      </c>
      <c r="B2340" s="6" t="inlineStr">
        <is>
          <t>NATHA CELL</t>
        </is>
      </c>
      <c r="C2340" s="7" t="inlineStr">
        <is>
          <t>AT1 - Agen Tangerang</t>
        </is>
      </c>
      <c r="D2340" s="1" t="inlineStr">
        <is>
          <t>OP07683</t>
        </is>
      </c>
      <c r="E2340" s="8" t="n">
        <v>45797.54166666666</v>
      </c>
      <c r="F2340" s="7" t="inlineStr">
        <is>
          <t>AGEN</t>
        </is>
      </c>
      <c r="G2340" s="7" t="inlineStr">
        <is>
          <t>OP18748</t>
        </is>
      </c>
      <c r="H2340" s="19">
        <f>UPPER(Table3[[#This Row],[Agen id]]&amp;"-"&amp;VLOOKUP(Table3[[#This Row],[Agen id]],A:B,2,0)&amp;"("&amp;Table3[[#This Row],[Short]]&amp;")")</f>
        <v/>
      </c>
      <c r="J2340" s="7">
        <f>VLOOKUP(Table3[[#This Row],[Agen id]],Agen!A:C,3,0)</f>
        <v/>
      </c>
      <c r="K2340" s="37">
        <f>TRIM(LEFT(Table3[[#This Row],[Group]],2))</f>
        <v/>
      </c>
      <c r="L2340" s="3" t="inlineStr">
        <is>
          <t>NON SALES</t>
        </is>
      </c>
    </row>
    <row r="2341">
      <c r="A2341" s="5" t="inlineStr">
        <is>
          <t>OP18760</t>
        </is>
      </c>
      <c r="B2341" s="6" t="inlineStr">
        <is>
          <t>Atikah</t>
        </is>
      </c>
      <c r="C2341" s="7" t="inlineStr">
        <is>
          <t>AV - Agen Verified</t>
        </is>
      </c>
      <c r="D2341" s="1" t="inlineStr">
        <is>
          <t>OP00002</t>
        </is>
      </c>
      <c r="E2341" s="8" t="n">
        <v>45800.59583333333</v>
      </c>
      <c r="F2341" s="7" t="inlineStr">
        <is>
          <t>AGEN</t>
        </is>
      </c>
      <c r="G2341" s="18" t="inlineStr">
        <is>
          <t>OP18760</t>
        </is>
      </c>
      <c r="H2341" s="19">
        <f>UPPER(Table3[[#This Row],[Agen id]]&amp;"-"&amp;VLOOKUP(Table3[[#This Row],[Agen id]],A:B,2,0)&amp;"("&amp;Table3[[#This Row],[Short]]&amp;")")</f>
        <v/>
      </c>
      <c r="J2341" s="7">
        <f>VLOOKUP(Table3[[#This Row],[Agen id]],Agen!A:C,3,0)</f>
        <v/>
      </c>
      <c r="K2341" s="37">
        <f>TRIM(LEFT(Table3[[#This Row],[Group]],2))</f>
        <v/>
      </c>
      <c r="L2341" s="3" t="inlineStr">
        <is>
          <t>NON SALES</t>
        </is>
      </c>
    </row>
    <row r="2342">
      <c r="A2342" s="5" t="inlineStr">
        <is>
          <t>OP18766</t>
        </is>
      </c>
      <c r="B2342" s="6" t="inlineStr">
        <is>
          <t>Irma septiana</t>
        </is>
      </c>
      <c r="C2342" s="7" t="inlineStr">
        <is>
          <t>AV - Agen Verified</t>
        </is>
      </c>
      <c r="D2342" s="1" t="inlineStr">
        <is>
          <t>OP00002</t>
        </is>
      </c>
      <c r="E2342" s="8" t="n">
        <v>45802.89722222222</v>
      </c>
      <c r="F2342" s="7" t="inlineStr">
        <is>
          <t>AGEN</t>
        </is>
      </c>
      <c r="G2342" s="18" t="inlineStr">
        <is>
          <t>OP18766</t>
        </is>
      </c>
      <c r="H2342" s="19">
        <f>UPPER(Table3[[#This Row],[Agen id]]&amp;"-"&amp;VLOOKUP(Table3[[#This Row],[Agen id]],A:B,2,0)&amp;"("&amp;Table3[[#This Row],[Short]]&amp;")")</f>
        <v/>
      </c>
      <c r="J2342" s="7">
        <f>VLOOKUP(Table3[[#This Row],[Agen id]],Agen!A:C,3,0)</f>
        <v/>
      </c>
      <c r="K2342" s="37">
        <f>TRIM(LEFT(Table3[[#This Row],[Group]],2))</f>
        <v/>
      </c>
      <c r="L2342" s="3" t="inlineStr">
        <is>
          <t>NON SALES</t>
        </is>
      </c>
    </row>
    <row r="2343">
      <c r="A2343" s="5" t="inlineStr">
        <is>
          <t>OP18769</t>
        </is>
      </c>
      <c r="B2343" s="6" t="inlineStr">
        <is>
          <t>Zulfahmi</t>
        </is>
      </c>
      <c r="C2343" s="7" t="inlineStr">
        <is>
          <t>A - Agen</t>
        </is>
      </c>
      <c r="D2343" s="1" t="inlineStr">
        <is>
          <t>OP00002</t>
        </is>
      </c>
      <c r="E2343" s="8" t="n">
        <v>45804.77708333333</v>
      </c>
      <c r="F2343" s="7" t="inlineStr">
        <is>
          <t>AGEN</t>
        </is>
      </c>
      <c r="G2343" s="7" t="inlineStr">
        <is>
          <t>OP18769</t>
        </is>
      </c>
      <c r="H2343" s="19">
        <f>UPPER(Table3[[#This Row],[Agen id]]&amp;"-"&amp;VLOOKUP(Table3[[#This Row],[Agen id]],A:B,2,0)&amp;"("&amp;Table3[[#This Row],[Short]]&amp;")")</f>
        <v/>
      </c>
      <c r="J2343" s="7">
        <f>VLOOKUP(Table3[[#This Row],[Agen id]],Agen!A:C,3,0)</f>
        <v/>
      </c>
      <c r="K2343" s="37">
        <f>TRIM(LEFT(Table3[[#This Row],[Group]],2))</f>
        <v/>
      </c>
      <c r="L2343" s="3" t="inlineStr">
        <is>
          <t>NON SALES</t>
        </is>
      </c>
    </row>
    <row r="2344">
      <c r="A2344" s="5" t="inlineStr">
        <is>
          <t>OP18770</t>
        </is>
      </c>
      <c r="B2344" s="6" t="inlineStr">
        <is>
          <t>Opexk</t>
        </is>
      </c>
      <c r="C2344" s="7" t="inlineStr">
        <is>
          <t>A - Agen</t>
        </is>
      </c>
      <c r="D2344" s="1" t="inlineStr">
        <is>
          <t>OP00002</t>
        </is>
      </c>
      <c r="E2344" s="8" t="n">
        <v>45806.32708333333</v>
      </c>
      <c r="F2344" s="7" t="inlineStr">
        <is>
          <t>AGEN</t>
        </is>
      </c>
      <c r="G2344" s="7" t="inlineStr">
        <is>
          <t>OP18770</t>
        </is>
      </c>
      <c r="H2344" s="19">
        <f>UPPER(Table3[[#This Row],[Agen id]]&amp;"-"&amp;VLOOKUP(Table3[[#This Row],[Agen id]],A:B,2,0)&amp;"("&amp;Table3[[#This Row],[Short]]&amp;")")</f>
        <v/>
      </c>
      <c r="J2344" s="7">
        <f>VLOOKUP(Table3[[#This Row],[Agen id]],Agen!A:C,3,0)</f>
        <v/>
      </c>
      <c r="K2344" s="37">
        <f>TRIM(LEFT(Table3[[#This Row],[Group]],2))</f>
        <v/>
      </c>
      <c r="L2344" s="3" t="inlineStr">
        <is>
          <t>NON SALES</t>
        </is>
      </c>
    </row>
    <row r="2345">
      <c r="A2345" s="5" t="inlineStr">
        <is>
          <t>OP18771</t>
        </is>
      </c>
      <c r="B2345" s="6" t="inlineStr">
        <is>
          <t>Lise umami</t>
        </is>
      </c>
      <c r="C2345" s="7" t="inlineStr">
        <is>
          <t>A - Agen</t>
        </is>
      </c>
      <c r="D2345" s="1" t="inlineStr">
        <is>
          <t>OP00051</t>
        </is>
      </c>
      <c r="E2345" s="8" t="n">
        <v>45806.63541666666</v>
      </c>
      <c r="F2345" s="7" t="inlineStr">
        <is>
          <t>DOWNLINE</t>
        </is>
      </c>
      <c r="G2345" s="18" t="inlineStr">
        <is>
          <t>OP00051</t>
        </is>
      </c>
      <c r="H2345" s="19">
        <f>UPPER(Table3[[#This Row],[Agen id]]&amp;"-"&amp;VLOOKUP(Table3[[#This Row],[Agen id]],A:B,2,0)&amp;"("&amp;Table3[[#This Row],[Short]]&amp;")")</f>
        <v/>
      </c>
      <c r="J2345" s="7">
        <f>VLOOKUP(Table3[[#This Row],[Agen id]],Agen!A:C,3,0)</f>
        <v/>
      </c>
      <c r="K2345" s="37">
        <f>TRIM(LEFT(Table3[[#This Row],[Group]],2))</f>
        <v/>
      </c>
      <c r="L2345" s="3" t="inlineStr">
        <is>
          <t>NON SALES</t>
        </is>
      </c>
    </row>
    <row r="2346">
      <c r="A2346" s="5" t="inlineStr">
        <is>
          <t>OP18775</t>
        </is>
      </c>
      <c r="B2346" s="6" t="inlineStr">
        <is>
          <t>Pentol cell</t>
        </is>
      </c>
      <c r="C2346" s="7" t="inlineStr">
        <is>
          <t>A - Agen</t>
        </is>
      </c>
      <c r="D2346" s="1" t="inlineStr">
        <is>
          <t>OP01804</t>
        </is>
      </c>
      <c r="E2346" s="8" t="n">
        <v>45807.79583333333</v>
      </c>
      <c r="F2346" s="7" t="inlineStr">
        <is>
          <t>DOWNLINE</t>
        </is>
      </c>
      <c r="G2346" s="18" t="inlineStr">
        <is>
          <t>OP01804</t>
        </is>
      </c>
      <c r="H2346" s="19">
        <f>UPPER(Table3[[#This Row],[Agen id]]&amp;"-"&amp;VLOOKUP(Table3[[#This Row],[Agen id]],A:B,2,0)&amp;"("&amp;Table3[[#This Row],[Short]]&amp;")")</f>
        <v/>
      </c>
      <c r="J2346" s="7">
        <f>VLOOKUP(Table3[[#This Row],[Agen id]],Agen!A:C,3,0)</f>
        <v/>
      </c>
      <c r="K2346" s="37">
        <f>TRIM(LEFT(Table3[[#This Row],[Group]],2))</f>
        <v/>
      </c>
      <c r="L2346" s="3" t="inlineStr">
        <is>
          <t>NON SALES</t>
        </is>
      </c>
    </row>
    <row r="2347">
      <c r="A2347" s="5" t="inlineStr">
        <is>
          <t>OP18777</t>
        </is>
      </c>
      <c r="B2347" s="6" t="inlineStr">
        <is>
          <t>Pasha08</t>
        </is>
      </c>
      <c r="C2347" s="7" t="inlineStr">
        <is>
          <t>A - Agen</t>
        </is>
      </c>
      <c r="D2347" s="1" t="inlineStr">
        <is>
          <t>OP00002</t>
        </is>
      </c>
      <c r="E2347" s="8" t="n">
        <v>45808.47708333333</v>
      </c>
      <c r="F2347" s="7" t="inlineStr">
        <is>
          <t>AGEN</t>
        </is>
      </c>
      <c r="G2347" s="18" t="inlineStr">
        <is>
          <t>OP18777</t>
        </is>
      </c>
      <c r="H2347" s="19">
        <f>UPPER(Table3[[#This Row],[Agen id]]&amp;"-"&amp;VLOOKUP(Table3[[#This Row],[Agen id]],A:B,2,0)&amp;"("&amp;Table3[[#This Row],[Short]]&amp;")")</f>
        <v/>
      </c>
      <c r="J2347" s="7">
        <f>VLOOKUP(Table3[[#This Row],[Agen id]],Agen!A:C,3,0)</f>
        <v/>
      </c>
      <c r="K2347" s="37">
        <f>TRIM(LEFT(Table3[[#This Row],[Group]],2))</f>
        <v/>
      </c>
      <c r="L2347" s="3" t="inlineStr">
        <is>
          <t>NON SALES</t>
        </is>
      </c>
    </row>
    <row r="2348">
      <c r="A2348" s="5" t="inlineStr">
        <is>
          <t>OP18781</t>
        </is>
      </c>
      <c r="B2348" s="6" t="inlineStr">
        <is>
          <t>AL CELL</t>
        </is>
      </c>
      <c r="C2348" s="7" t="inlineStr">
        <is>
          <t>AT1 - Agen Tangerang</t>
        </is>
      </c>
      <c r="D2348" s="1" t="inlineStr">
        <is>
          <t>OP07683</t>
        </is>
      </c>
      <c r="E2348" s="8" t="n">
        <v>45811.52222222222</v>
      </c>
      <c r="F2348" s="7" t="inlineStr">
        <is>
          <t>AGEN</t>
        </is>
      </c>
      <c r="G2348" s="18" t="inlineStr">
        <is>
          <t>OP18781</t>
        </is>
      </c>
      <c r="H2348" s="19">
        <f>UPPER(Table3[[#This Row],[Agen id]]&amp;"-"&amp;VLOOKUP(Table3[[#This Row],[Agen id]],A:B,2,0)&amp;"("&amp;Table3[[#This Row],[Short]]&amp;")")</f>
        <v/>
      </c>
      <c r="J2348" s="7">
        <f>VLOOKUP(Table3[[#This Row],[Agen id]],Agen!A:C,3,0)</f>
        <v/>
      </c>
      <c r="K2348" s="37">
        <f>TRIM(LEFT(Table3[[#This Row],[Group]],2))</f>
        <v/>
      </c>
      <c r="L2348" s="3" t="inlineStr">
        <is>
          <t>NON SALES</t>
        </is>
      </c>
    </row>
    <row r="2349">
      <c r="A2349" s="5" t="inlineStr">
        <is>
          <t>OP18786</t>
        </is>
      </c>
      <c r="B2349" s="6" t="inlineStr">
        <is>
          <t>MAMAH EDI</t>
        </is>
      </c>
      <c r="C2349" s="7" t="inlineStr">
        <is>
          <t>A - Agen</t>
        </is>
      </c>
      <c r="D2349" s="1" t="inlineStr">
        <is>
          <t>OP02323</t>
        </is>
      </c>
      <c r="E2349" s="8" t="n">
        <v>45814.72083333333</v>
      </c>
      <c r="F2349" s="7" t="inlineStr">
        <is>
          <t>DOWNLINE</t>
        </is>
      </c>
      <c r="G2349" s="7" t="inlineStr">
        <is>
          <t>OP01817</t>
        </is>
      </c>
      <c r="H2349" s="19">
        <f>UPPER(Table3[[#This Row],[Agen id]]&amp;"-"&amp;VLOOKUP(Table3[[#This Row],[Agen id]],A:B,2,0)&amp;"("&amp;Table3[[#This Row],[Short]]&amp;")")</f>
        <v/>
      </c>
      <c r="J2349" s="7">
        <f>VLOOKUP(Table3[[#This Row],[Agen id]],Agen!A:C,3,0)</f>
        <v/>
      </c>
      <c r="K2349" s="37">
        <f>TRIM(LEFT(Table3[[#This Row],[Group]],2))</f>
        <v/>
      </c>
      <c r="L2349" s="3" t="inlineStr">
        <is>
          <t>NON SALES</t>
        </is>
      </c>
    </row>
    <row r="2350">
      <c r="A2350" s="5" t="inlineStr">
        <is>
          <t>OP18790</t>
        </is>
      </c>
      <c r="B2350" s="6" t="inlineStr">
        <is>
          <t>RISKY CELL</t>
        </is>
      </c>
      <c r="C2350" s="7" t="inlineStr">
        <is>
          <t>A - Agen</t>
        </is>
      </c>
      <c r="D2350" s="1" t="inlineStr">
        <is>
          <t>OP00891</t>
        </is>
      </c>
      <c r="E2350" s="8" t="n">
        <v>45815.51597222222</v>
      </c>
      <c r="F2350" s="7" t="inlineStr">
        <is>
          <t>DOWNLINE</t>
        </is>
      </c>
      <c r="G2350" s="18" t="inlineStr">
        <is>
          <t>OP00891</t>
        </is>
      </c>
      <c r="H2350" s="19">
        <f>UPPER(Table3[[#This Row],[Agen id]]&amp;"-"&amp;VLOOKUP(Table3[[#This Row],[Agen id]],A:B,2,0)&amp;"("&amp;Table3[[#This Row],[Short]]&amp;")")</f>
        <v/>
      </c>
      <c r="J2350" s="7">
        <f>VLOOKUP(Table3[[#This Row],[Agen id]],Agen!A:C,3,0)</f>
        <v/>
      </c>
      <c r="K2350" s="37">
        <f>TRIM(LEFT(Table3[[#This Row],[Group]],2))</f>
        <v/>
      </c>
      <c r="L2350" s="3" t="inlineStr">
        <is>
          <t>NON SALES</t>
        </is>
      </c>
    </row>
    <row r="2351">
      <c r="A2351" s="5" t="inlineStr">
        <is>
          <t>OP18794</t>
        </is>
      </c>
      <c r="B2351" s="6" t="inlineStr">
        <is>
          <t>ERNA WATI</t>
        </is>
      </c>
      <c r="C2351" s="7" t="inlineStr">
        <is>
          <t>A - Agen</t>
        </is>
      </c>
      <c r="D2351" s="1" t="inlineStr">
        <is>
          <t>OP01266</t>
        </is>
      </c>
      <c r="E2351" s="8" t="n">
        <v>45816.37152777778</v>
      </c>
      <c r="F2351" s="7" t="inlineStr">
        <is>
          <t>DOWNLINE</t>
        </is>
      </c>
      <c r="G2351" s="18" t="inlineStr">
        <is>
          <t>OP01266</t>
        </is>
      </c>
      <c r="H2351" s="19">
        <f>UPPER(Table3[[#This Row],[Agen id]]&amp;"-"&amp;VLOOKUP(Table3[[#This Row],[Agen id]],A:B,2,0)&amp;"("&amp;Table3[[#This Row],[Short]]&amp;")")</f>
        <v/>
      </c>
      <c r="J2351" s="7">
        <f>VLOOKUP(Table3[[#This Row],[Agen id]],Agen!A:C,3,0)</f>
        <v/>
      </c>
      <c r="K2351" s="37">
        <f>TRIM(LEFT(Table3[[#This Row],[Group]],2))</f>
        <v/>
      </c>
      <c r="L2351" s="3" t="inlineStr">
        <is>
          <t>NON SALES</t>
        </is>
      </c>
    </row>
    <row r="2352">
      <c r="A2352" s="5" t="inlineStr">
        <is>
          <t>OP18797</t>
        </is>
      </c>
      <c r="B2352" s="6" t="inlineStr">
        <is>
          <t>Yustifa</t>
        </is>
      </c>
      <c r="C2352" s="7" t="inlineStr">
        <is>
          <t>AV - Agen Verified</t>
        </is>
      </c>
      <c r="D2352" s="1" t="inlineStr">
        <is>
          <t>OP00002</t>
        </is>
      </c>
      <c r="E2352" s="8" t="n">
        <v>45819.50555555556</v>
      </c>
      <c r="F2352" s="7" t="inlineStr">
        <is>
          <t>AGEN</t>
        </is>
      </c>
      <c r="G2352" s="18" t="inlineStr">
        <is>
          <t>OP18797</t>
        </is>
      </c>
      <c r="H2352" s="19">
        <f>UPPER(Table3[[#This Row],[Agen id]]&amp;"-"&amp;VLOOKUP(Table3[[#This Row],[Agen id]],A:B,2,0)&amp;"("&amp;Table3[[#This Row],[Short]]&amp;")")</f>
        <v/>
      </c>
      <c r="J2352" s="7">
        <f>VLOOKUP(Table3[[#This Row],[Agen id]],Agen!A:C,3,0)</f>
        <v/>
      </c>
      <c r="K2352" s="37">
        <f>TRIM(LEFT(Table3[[#This Row],[Group]],2))</f>
        <v/>
      </c>
      <c r="L2352" s="3" t="inlineStr">
        <is>
          <t>NON SALES</t>
        </is>
      </c>
    </row>
    <row r="2353">
      <c r="A2353" s="5" t="inlineStr">
        <is>
          <t>OP18810</t>
        </is>
      </c>
      <c r="B2353" s="6" t="inlineStr">
        <is>
          <t>HERRY SAMBOH</t>
        </is>
      </c>
      <c r="C2353" s="7" t="inlineStr">
        <is>
          <t>A - Agen</t>
        </is>
      </c>
      <c r="D2353" s="1" t="inlineStr">
        <is>
          <t>OP00002</t>
        </is>
      </c>
      <c r="E2353" s="8" t="n">
        <v>45826.45555555556</v>
      </c>
      <c r="F2353" s="7" t="inlineStr">
        <is>
          <t>AGEN</t>
        </is>
      </c>
      <c r="G2353" s="7" t="inlineStr">
        <is>
          <t>OP18810</t>
        </is>
      </c>
      <c r="H2353" s="19">
        <f>UPPER(Table3[[#This Row],[Agen id]]&amp;"-"&amp;VLOOKUP(Table3[[#This Row],[Agen id]],A:B,2,0)&amp;"("&amp;Table3[[#This Row],[Short]]&amp;")")</f>
        <v/>
      </c>
      <c r="J2353" s="7">
        <f>VLOOKUP(Table3[[#This Row],[Agen id]],Agen!A:C,3,0)</f>
        <v/>
      </c>
      <c r="K2353" s="37">
        <f>TRIM(LEFT(Table3[[#This Row],[Group]],2))</f>
        <v/>
      </c>
      <c r="L2353" s="3" t="inlineStr">
        <is>
          <t>NON SALES</t>
        </is>
      </c>
    </row>
    <row r="2354">
      <c r="A2354" s="5" t="inlineStr">
        <is>
          <t>OP18812</t>
        </is>
      </c>
      <c r="B2354" s="6" t="n">
        <v>85888217850</v>
      </c>
      <c r="C2354" s="7" t="inlineStr">
        <is>
          <t>A - Agen</t>
        </is>
      </c>
      <c r="D2354" s="1" t="inlineStr">
        <is>
          <t>OP00002</t>
        </is>
      </c>
      <c r="E2354" s="8" t="n">
        <v>45828.37777777778</v>
      </c>
      <c r="F2354" s="7" t="inlineStr">
        <is>
          <t>AGEN</t>
        </is>
      </c>
      <c r="G2354" s="18" t="inlineStr">
        <is>
          <t>OP18812</t>
        </is>
      </c>
      <c r="H2354" s="19">
        <f>UPPER(Table3[[#This Row],[Agen id]]&amp;"-"&amp;VLOOKUP(Table3[[#This Row],[Agen id]],A:B,2,0)&amp;"("&amp;Table3[[#This Row],[Short]]&amp;")")</f>
        <v/>
      </c>
      <c r="J2354" s="7">
        <f>VLOOKUP(Table3[[#This Row],[Agen id]],Agen!A:C,3,0)</f>
        <v/>
      </c>
      <c r="K2354" s="37">
        <f>TRIM(LEFT(Table3[[#This Row],[Group]],2))</f>
        <v/>
      </c>
      <c r="L2354" s="3" t="inlineStr">
        <is>
          <t>NON SALES</t>
        </is>
      </c>
    </row>
    <row r="2355">
      <c r="A2355" s="5" t="inlineStr">
        <is>
          <t>OP18813</t>
        </is>
      </c>
      <c r="B2355" s="6" t="inlineStr">
        <is>
          <t>Intan</t>
        </is>
      </c>
      <c r="C2355" s="7" t="inlineStr">
        <is>
          <t>A - Agen</t>
        </is>
      </c>
      <c r="D2355" s="1" t="inlineStr">
        <is>
          <t>OP00002</t>
        </is>
      </c>
      <c r="E2355" s="8" t="n">
        <v>45829.61111111111</v>
      </c>
      <c r="F2355" s="7" t="inlineStr">
        <is>
          <t>AGEN</t>
        </is>
      </c>
      <c r="G2355" s="18" t="inlineStr">
        <is>
          <t>OP18813</t>
        </is>
      </c>
      <c r="H2355" s="19">
        <f>UPPER(Table3[[#This Row],[Agen id]]&amp;"-"&amp;VLOOKUP(Table3[[#This Row],[Agen id]],A:B,2,0)&amp;"("&amp;Table3[[#This Row],[Short]]&amp;")")</f>
        <v/>
      </c>
      <c r="J2355" s="7">
        <f>VLOOKUP(Table3[[#This Row],[Agen id]],Agen!A:C,3,0)</f>
        <v/>
      </c>
      <c r="K2355" s="37">
        <f>TRIM(LEFT(Table3[[#This Row],[Group]],2))</f>
        <v/>
      </c>
      <c r="L2355" s="3" t="inlineStr">
        <is>
          <t>NON SALES</t>
        </is>
      </c>
    </row>
    <row r="2356">
      <c r="A2356" s="5" t="inlineStr">
        <is>
          <t>OP18814</t>
        </is>
      </c>
      <c r="B2356" s="6" t="inlineStr">
        <is>
          <t>Rezki CELL</t>
        </is>
      </c>
      <c r="C2356" s="7" t="inlineStr">
        <is>
          <t>A - Agen</t>
        </is>
      </c>
      <c r="D2356" s="1" t="inlineStr">
        <is>
          <t>OP00002</t>
        </is>
      </c>
      <c r="E2356" s="8" t="n">
        <v>45830.52569444444</v>
      </c>
      <c r="F2356" s="7" t="inlineStr">
        <is>
          <t>AGEN</t>
        </is>
      </c>
      <c r="G2356" s="18" t="inlineStr">
        <is>
          <t>OP18814</t>
        </is>
      </c>
      <c r="H2356" s="19">
        <f>UPPER(Table3[[#This Row],[Agen id]]&amp;"-"&amp;VLOOKUP(Table3[[#This Row],[Agen id]],A:B,2,0)&amp;"("&amp;Table3[[#This Row],[Short]]&amp;")")</f>
        <v/>
      </c>
      <c r="J2356" s="7">
        <f>VLOOKUP(Table3[[#This Row],[Agen id]],Agen!A:C,3,0)</f>
        <v/>
      </c>
      <c r="K2356" s="37">
        <f>TRIM(LEFT(Table3[[#This Row],[Group]],2))</f>
        <v/>
      </c>
      <c r="L2356" s="3" t="inlineStr">
        <is>
          <t>NON SALES</t>
        </is>
      </c>
    </row>
    <row r="2357">
      <c r="A2357" s="5" t="inlineStr">
        <is>
          <t>OP18815</t>
        </is>
      </c>
      <c r="B2357" s="6" t="inlineStr">
        <is>
          <t>Tanjung</t>
        </is>
      </c>
      <c r="C2357" s="7" t="inlineStr">
        <is>
          <t>A - Agen</t>
        </is>
      </c>
      <c r="D2357" s="1" t="inlineStr">
        <is>
          <t>OP00002</t>
        </is>
      </c>
      <c r="E2357" s="8" t="n">
        <v>45830.93402777778</v>
      </c>
      <c r="F2357" s="7" t="inlineStr">
        <is>
          <t>AGEN</t>
        </is>
      </c>
      <c r="G2357" s="18" t="inlineStr">
        <is>
          <t>OP18815</t>
        </is>
      </c>
      <c r="H2357" s="19">
        <f>UPPER(Table3[[#This Row],[Agen id]]&amp;"-"&amp;VLOOKUP(Table3[[#This Row],[Agen id]],A:B,2,0)&amp;"("&amp;Table3[[#This Row],[Short]]&amp;")")</f>
        <v/>
      </c>
      <c r="J2357" s="7">
        <f>VLOOKUP(Table3[[#This Row],[Agen id]],Agen!A:C,3,0)</f>
        <v/>
      </c>
      <c r="K2357" s="37">
        <f>TRIM(LEFT(Table3[[#This Row],[Group]],2))</f>
        <v/>
      </c>
      <c r="L2357" s="3" t="inlineStr">
        <is>
          <t>NON SALES</t>
        </is>
      </c>
    </row>
    <row r="2358">
      <c r="A2358" s="5" t="inlineStr">
        <is>
          <t>OP18822</t>
        </is>
      </c>
      <c r="B2358" s="6" t="inlineStr">
        <is>
          <t>TOKO RIYAN</t>
        </is>
      </c>
      <c r="C2358" s="7" t="inlineStr">
        <is>
          <t>AT1 - Agen Tangerang</t>
        </is>
      </c>
      <c r="D2358" s="1" t="inlineStr">
        <is>
          <t>OP07683</t>
        </is>
      </c>
      <c r="E2358" s="8" t="n">
        <v>45835.60277777778</v>
      </c>
      <c r="F2358" s="7" t="inlineStr">
        <is>
          <t>AGEN</t>
        </is>
      </c>
      <c r="G2358" s="18" t="inlineStr">
        <is>
          <t>OP18822</t>
        </is>
      </c>
      <c r="H2358" s="19">
        <f>UPPER(Table3[[#This Row],[Agen id]]&amp;"-"&amp;VLOOKUP(Table3[[#This Row],[Agen id]],A:B,2,0)&amp;"("&amp;Table3[[#This Row],[Short]]&amp;")")</f>
        <v/>
      </c>
      <c r="J2358" s="7">
        <f>VLOOKUP(Table3[[#This Row],[Agen id]],Agen!A:C,3,0)</f>
        <v/>
      </c>
      <c r="K2358" s="37">
        <f>TRIM(LEFT(Table3[[#This Row],[Group]],2))</f>
        <v/>
      </c>
      <c r="L2358" s="3" t="inlineStr">
        <is>
          <t>NON SALES</t>
        </is>
      </c>
    </row>
    <row r="2359">
      <c r="A2359" s="5" t="inlineStr">
        <is>
          <t>OP18823</t>
        </is>
      </c>
      <c r="B2359" s="6" t="inlineStr">
        <is>
          <t>Lina karlina</t>
        </is>
      </c>
      <c r="C2359" s="7" t="inlineStr">
        <is>
          <t>A - Agen</t>
        </is>
      </c>
      <c r="D2359" s="1" t="inlineStr">
        <is>
          <t>OP02233</t>
        </is>
      </c>
      <c r="E2359" s="8" t="n">
        <v>45835.71319444444</v>
      </c>
      <c r="F2359" s="7" t="inlineStr">
        <is>
          <t>DOWNLINE</t>
        </is>
      </c>
      <c r="G2359" s="18" t="inlineStr">
        <is>
          <t>OP02233</t>
        </is>
      </c>
      <c r="H2359" s="19">
        <f>UPPER(Table3[[#This Row],[Agen id]]&amp;"-"&amp;VLOOKUP(Table3[[#This Row],[Agen id]],A:B,2,0)&amp;"("&amp;Table3[[#This Row],[Short]]&amp;")")</f>
        <v/>
      </c>
      <c r="J2359" s="7">
        <f>VLOOKUP(Table3[[#This Row],[Agen id]],Agen!A:C,3,0)</f>
        <v/>
      </c>
      <c r="K2359" s="37">
        <f>TRIM(LEFT(Table3[[#This Row],[Group]],2))</f>
        <v/>
      </c>
      <c r="L2359" s="3" t="inlineStr">
        <is>
          <t>NON SALES</t>
        </is>
      </c>
    </row>
    <row r="2360">
      <c r="A2360" s="5" t="inlineStr">
        <is>
          <t>OP18840</t>
        </is>
      </c>
      <c r="B2360" s="6" t="inlineStr">
        <is>
          <t>Nisa</t>
        </is>
      </c>
      <c r="C2360" s="7" t="inlineStr">
        <is>
          <t>AV - Agen Verified</t>
        </is>
      </c>
      <c r="D2360" s="1" t="inlineStr">
        <is>
          <t>OP03146</t>
        </is>
      </c>
      <c r="E2360" s="8" t="n">
        <v>45846.85347222222</v>
      </c>
      <c r="F2360" s="7" t="inlineStr">
        <is>
          <t>DOWNLINE</t>
        </is>
      </c>
      <c r="G2360" s="18" t="inlineStr">
        <is>
          <t>OP03146</t>
        </is>
      </c>
      <c r="H2360" s="19">
        <f>UPPER(Table3[[#This Row],[Agen id]]&amp;"-"&amp;VLOOKUP(Table3[[#This Row],[Agen id]],A:B,2,0)&amp;"("&amp;Table3[[#This Row],[Short]]&amp;")")</f>
        <v/>
      </c>
      <c r="J2360" s="7">
        <f>VLOOKUP(Table3[[#This Row],[Agen id]],Agen!A:C,3,0)</f>
        <v/>
      </c>
      <c r="K2360" s="37">
        <f>TRIM(LEFT(Table3[[#This Row],[Group]],2))</f>
        <v/>
      </c>
      <c r="L2360" s="3" t="inlineStr">
        <is>
          <t>NON SALES</t>
        </is>
      </c>
    </row>
    <row r="2361">
      <c r="A2361" s="5" t="inlineStr">
        <is>
          <t>OP18844</t>
        </is>
      </c>
      <c r="B2361" s="6" t="inlineStr">
        <is>
          <t>Depi Cell</t>
        </is>
      </c>
      <c r="C2361" s="7" t="inlineStr">
        <is>
          <t>AV - Agen Verified</t>
        </is>
      </c>
      <c r="D2361" s="1" t="inlineStr">
        <is>
          <t>OP00002</t>
        </is>
      </c>
      <c r="E2361" s="8" t="n">
        <v>45847.37847222222</v>
      </c>
      <c r="F2361" s="7" t="inlineStr">
        <is>
          <t>AGEN</t>
        </is>
      </c>
      <c r="G2361" s="7" t="inlineStr">
        <is>
          <t>OP18844</t>
        </is>
      </c>
      <c r="H2361" s="19">
        <f>UPPER(Table3[[#This Row],[Agen id]]&amp;"-"&amp;VLOOKUP(Table3[[#This Row],[Agen id]],A:B,2,0)&amp;"("&amp;Table3[[#This Row],[Short]]&amp;")")</f>
        <v/>
      </c>
      <c r="J2361" s="7">
        <f>VLOOKUP(Table3[[#This Row],[Agen id]],Agen!A:C,3,0)</f>
        <v/>
      </c>
      <c r="K2361" s="37">
        <f>TRIM(LEFT(Table3[[#This Row],[Group]],2))</f>
        <v/>
      </c>
      <c r="L2361" s="3" t="inlineStr">
        <is>
          <t>NON SALES</t>
        </is>
      </c>
    </row>
    <row r="2362">
      <c r="A2362" s="5" t="inlineStr">
        <is>
          <t>OP18848</t>
        </is>
      </c>
      <c r="B2362" s="6" t="inlineStr">
        <is>
          <t>Hasni</t>
        </is>
      </c>
      <c r="C2362" s="7" t="inlineStr">
        <is>
          <t>A - Agen</t>
        </is>
      </c>
      <c r="D2362" s="1" t="inlineStr">
        <is>
          <t>OP09596</t>
        </is>
      </c>
      <c r="E2362" s="8" t="n">
        <v>45849.29375</v>
      </c>
      <c r="F2362" s="7" t="inlineStr">
        <is>
          <t>DOWNLINE</t>
        </is>
      </c>
      <c r="G2362" s="18" t="inlineStr">
        <is>
          <t>OP08090</t>
        </is>
      </c>
      <c r="H2362" s="19">
        <f>UPPER(Table3[[#This Row],[Agen id]]&amp;"-"&amp;VLOOKUP(Table3[[#This Row],[Agen id]],A:B,2,0)&amp;"("&amp;Table3[[#This Row],[Short]]&amp;")")</f>
        <v/>
      </c>
      <c r="J2362" s="7">
        <f>VLOOKUP(Table3[[#This Row],[Agen id]],Agen!A:C,3,0)</f>
        <v/>
      </c>
      <c r="K2362" s="37">
        <f>TRIM(LEFT(Table3[[#This Row],[Group]],2))</f>
        <v/>
      </c>
      <c r="L2362" s="3" t="inlineStr">
        <is>
          <t>NON SALES</t>
        </is>
      </c>
    </row>
    <row r="2363">
      <c r="A2363" s="5" t="inlineStr">
        <is>
          <t>OP18850</t>
        </is>
      </c>
      <c r="B2363" s="6" t="inlineStr">
        <is>
          <t>Syakila</t>
        </is>
      </c>
      <c r="C2363" s="7" t="inlineStr">
        <is>
          <t>AV - Agen Verified</t>
        </is>
      </c>
      <c r="D2363" s="1" t="inlineStr">
        <is>
          <t>OP00003</t>
        </is>
      </c>
      <c r="E2363" s="8" t="n">
        <v>45851.89166666667</v>
      </c>
      <c r="F2363" s="7" t="inlineStr">
        <is>
          <t>AGEN</t>
        </is>
      </c>
      <c r="G2363" s="18" t="inlineStr">
        <is>
          <t>OP18850</t>
        </is>
      </c>
      <c r="H2363" s="19">
        <f>UPPER(Table3[[#This Row],[Agen id]]&amp;"-"&amp;VLOOKUP(Table3[[#This Row],[Agen id]],A:B,2,0)&amp;"("&amp;Table3[[#This Row],[Short]]&amp;")")</f>
        <v/>
      </c>
      <c r="J2363" s="7">
        <f>VLOOKUP(Table3[[#This Row],[Agen id]],Agen!A:C,3,0)</f>
        <v/>
      </c>
      <c r="K2363" s="37">
        <f>TRIM(LEFT(Table3[[#This Row],[Group]],2))</f>
        <v/>
      </c>
      <c r="L2363" s="3" t="inlineStr">
        <is>
          <t>NON SALES</t>
        </is>
      </c>
    </row>
    <row r="2364">
      <c r="A2364" s="5" t="inlineStr">
        <is>
          <t>OP18851</t>
        </is>
      </c>
      <c r="B2364" s="6" t="inlineStr">
        <is>
          <t>Royan pulsa</t>
        </is>
      </c>
      <c r="C2364" s="7" t="inlineStr">
        <is>
          <t>AV - Agen Verified</t>
        </is>
      </c>
      <c r="D2364" s="1" t="inlineStr">
        <is>
          <t>OP05688</t>
        </is>
      </c>
      <c r="E2364" s="8" t="n">
        <v>45852.37013888889</v>
      </c>
      <c r="F2364" s="7" t="inlineStr">
        <is>
          <t>DOWNLINE</t>
        </is>
      </c>
      <c r="G2364" s="18" t="inlineStr">
        <is>
          <t>OP00049</t>
        </is>
      </c>
      <c r="H2364" s="19">
        <f>UPPER(Table3[[#This Row],[Agen id]]&amp;"-"&amp;VLOOKUP(Table3[[#This Row],[Agen id]],A:B,2,0)&amp;"("&amp;Table3[[#This Row],[Short]]&amp;")")</f>
        <v/>
      </c>
      <c r="J2364" s="7">
        <f>VLOOKUP(Table3[[#This Row],[Agen id]],Agen!A:C,3,0)</f>
        <v/>
      </c>
      <c r="K2364" s="37">
        <f>TRIM(LEFT(Table3[[#This Row],[Group]],2))</f>
        <v/>
      </c>
      <c r="L2364" s="3" t="inlineStr">
        <is>
          <t>NON SALES</t>
        </is>
      </c>
    </row>
    <row r="2365">
      <c r="A2365" s="5" t="inlineStr">
        <is>
          <t>OP18853</t>
        </is>
      </c>
      <c r="B2365" s="6" t="inlineStr">
        <is>
          <t>ahwal</t>
        </is>
      </c>
      <c r="C2365" s="7" t="inlineStr">
        <is>
          <t>AV - Agen Verified</t>
        </is>
      </c>
      <c r="D2365" s="1" t="inlineStr">
        <is>
          <t>OP13466</t>
        </is>
      </c>
      <c r="E2365" s="8" t="n">
        <v>45856.39861111111</v>
      </c>
      <c r="F2365" s="7" t="inlineStr">
        <is>
          <t>DOWNLINE</t>
        </is>
      </c>
      <c r="G2365" s="18" t="inlineStr">
        <is>
          <t>OP13466</t>
        </is>
      </c>
      <c r="H2365" s="19">
        <f>UPPER(Table3[[#This Row],[Agen id]]&amp;"-"&amp;VLOOKUP(Table3[[#This Row],[Agen id]],A:B,2,0)&amp;"("&amp;Table3[[#This Row],[Short]]&amp;")")</f>
        <v/>
      </c>
      <c r="J2365" s="7">
        <f>VLOOKUP(Table3[[#This Row],[Agen id]],Agen!A:C,3,0)</f>
        <v/>
      </c>
      <c r="K2365" s="37">
        <f>TRIM(LEFT(Table3[[#This Row],[Group]],2))</f>
        <v/>
      </c>
      <c r="L2365" s="3" t="inlineStr">
        <is>
          <t>NON SALES</t>
        </is>
      </c>
    </row>
    <row r="2366">
      <c r="A2366" s="5" t="inlineStr">
        <is>
          <t>OP18858</t>
        </is>
      </c>
      <c r="B2366" s="6" t="inlineStr">
        <is>
          <t>Faiq cell</t>
        </is>
      </c>
      <c r="C2366" s="7" t="inlineStr">
        <is>
          <t>AV - Agen Verified</t>
        </is>
      </c>
      <c r="D2366" s="1" t="inlineStr">
        <is>
          <t>OP17019</t>
        </is>
      </c>
      <c r="E2366" s="8" t="n">
        <v>45861.69513888889</v>
      </c>
      <c r="F2366" s="7" t="inlineStr">
        <is>
          <t>DOWNLINE</t>
        </is>
      </c>
      <c r="G2366" s="18" t="inlineStr">
        <is>
          <t>OP17019</t>
        </is>
      </c>
      <c r="H2366" s="19">
        <f>UPPER(Table3[[#This Row],[Agen id]]&amp;"-"&amp;VLOOKUP(Table3[[#This Row],[Agen id]],A:B,2,0)&amp;"("&amp;Table3[[#This Row],[Short]]&amp;")")</f>
        <v/>
      </c>
      <c r="J2366" s="7">
        <f>VLOOKUP(Table3[[#This Row],[Agen id]],Agen!A:C,3,0)</f>
        <v/>
      </c>
      <c r="K2366" s="37">
        <f>TRIM(LEFT(Table3[[#This Row],[Group]],2))</f>
        <v/>
      </c>
      <c r="L2366" s="3" t="inlineStr">
        <is>
          <t>NON SALES</t>
        </is>
      </c>
    </row>
    <row r="2367">
      <c r="A2367" s="5" t="inlineStr">
        <is>
          <t>OP18862</t>
        </is>
      </c>
      <c r="B2367" s="6" t="inlineStr">
        <is>
          <t>MUHAMMAD SOVYAN</t>
        </is>
      </c>
      <c r="C2367" s="7" t="inlineStr">
        <is>
          <t>AT1 - Agen Tangerang</t>
        </is>
      </c>
      <c r="D2367" s="1" t="inlineStr">
        <is>
          <t>OP07683</t>
        </is>
      </c>
      <c r="E2367" s="8" t="n">
        <v>45862.91805555556</v>
      </c>
      <c r="F2367" s="7" t="inlineStr">
        <is>
          <t>AGEN</t>
        </is>
      </c>
      <c r="G2367" s="18" t="inlineStr">
        <is>
          <t>OP18862</t>
        </is>
      </c>
      <c r="H2367" s="19">
        <f>UPPER(Table3[[#This Row],[Agen id]]&amp;"-"&amp;VLOOKUP(Table3[[#This Row],[Agen id]],A:B,2,0)&amp;"("&amp;Table3[[#This Row],[Short]]&amp;")")</f>
        <v/>
      </c>
      <c r="J2367" s="7">
        <f>VLOOKUP(Table3[[#This Row],[Agen id]],Agen!A:C,3,0)</f>
        <v/>
      </c>
      <c r="K2367" s="37">
        <f>TRIM(LEFT(Table3[[#This Row],[Group]],2))</f>
        <v/>
      </c>
      <c r="L2367" s="3" t="inlineStr">
        <is>
          <t>NON SALES</t>
        </is>
      </c>
    </row>
    <row r="2368">
      <c r="A2368" s="5" t="inlineStr">
        <is>
          <t>OP18866</t>
        </is>
      </c>
      <c r="B2368" s="6" t="inlineStr">
        <is>
          <t>Melisa</t>
        </is>
      </c>
      <c r="C2368" s="7" t="inlineStr">
        <is>
          <t>A - Agen</t>
        </is>
      </c>
      <c r="D2368" s="1" t="inlineStr">
        <is>
          <t>OP00049</t>
        </is>
      </c>
      <c r="E2368" s="8" t="n">
        <v>45864.15208333333</v>
      </c>
      <c r="F2368" s="7" t="inlineStr">
        <is>
          <t>DOWNLINE</t>
        </is>
      </c>
      <c r="G2368" s="18" t="inlineStr">
        <is>
          <t>OP00049</t>
        </is>
      </c>
      <c r="H2368" s="19">
        <f>UPPER(Table3[[#This Row],[Agen id]]&amp;"-"&amp;VLOOKUP(Table3[[#This Row],[Agen id]],A:B,2,0)&amp;"("&amp;Table3[[#This Row],[Short]]&amp;")")</f>
        <v/>
      </c>
      <c r="J2368" s="7">
        <f>VLOOKUP(Table3[[#This Row],[Agen id]],Agen!A:C,3,0)</f>
        <v/>
      </c>
      <c r="K2368" s="37">
        <f>TRIM(LEFT(Table3[[#This Row],[Group]],2))</f>
        <v/>
      </c>
      <c r="L2368" s="3" t="inlineStr">
        <is>
          <t>NON SALES</t>
        </is>
      </c>
    </row>
    <row r="2369">
      <c r="A2369" s="5" t="inlineStr">
        <is>
          <t>OP18869</t>
        </is>
      </c>
      <c r="B2369" s="6" t="inlineStr">
        <is>
          <t>jumicell</t>
        </is>
      </c>
      <c r="C2369" s="7" t="inlineStr">
        <is>
          <t>AV - Agen Verified</t>
        </is>
      </c>
      <c r="D2369" s="1" t="inlineStr">
        <is>
          <t>OP08054</t>
        </is>
      </c>
      <c r="E2369" s="8" t="n">
        <v>45867.47638888889</v>
      </c>
      <c r="F2369" s="7" t="inlineStr">
        <is>
          <t>DOWNLINE</t>
        </is>
      </c>
      <c r="G2369" s="18" t="inlineStr">
        <is>
          <t>OP00049</t>
        </is>
      </c>
      <c r="H2369" s="19">
        <f>UPPER(Table3[[#This Row],[Agen id]]&amp;"-"&amp;VLOOKUP(Table3[[#This Row],[Agen id]],A:B,2,0)&amp;"("&amp;Table3[[#This Row],[Short]]&amp;")")</f>
        <v/>
      </c>
      <c r="J2369" s="7">
        <f>VLOOKUP(Table3[[#This Row],[Agen id]],Agen!A:C,3,0)</f>
        <v/>
      </c>
      <c r="K2369" s="37">
        <f>TRIM(LEFT(Table3[[#This Row],[Group]],2))</f>
        <v/>
      </c>
      <c r="L2369" s="3" t="inlineStr">
        <is>
          <t>NON SALES</t>
        </is>
      </c>
    </row>
    <row r="2370">
      <c r="A2370" s="5" t="inlineStr">
        <is>
          <t>OP18876</t>
        </is>
      </c>
      <c r="B2370" s="6" t="inlineStr">
        <is>
          <t>DARA CELL</t>
        </is>
      </c>
      <c r="C2370" s="7" t="inlineStr">
        <is>
          <t>AB1 - Agen Kab Bogor</t>
        </is>
      </c>
      <c r="D2370" s="1" t="inlineStr">
        <is>
          <t>OP08206</t>
        </is>
      </c>
      <c r="E2370" s="8" t="n">
        <v>45870.82013888889</v>
      </c>
      <c r="F2370" s="7" t="inlineStr">
        <is>
          <t>DOWNLINE</t>
        </is>
      </c>
      <c r="G2370" s="18" t="inlineStr">
        <is>
          <t>OP08206</t>
        </is>
      </c>
      <c r="H2370" s="19">
        <f>UPPER(Table3[[#This Row],[Agen id]]&amp;"-"&amp;VLOOKUP(Table3[[#This Row],[Agen id]],A:B,2,0)&amp;"("&amp;Table3[[#This Row],[Short]]&amp;")")</f>
        <v/>
      </c>
      <c r="J2370" s="7">
        <f>VLOOKUP(Table3[[#This Row],[Agen id]],Agen!A:C,3,0)</f>
        <v/>
      </c>
      <c r="K2370" s="37">
        <f>TRIM(LEFT(Table3[[#This Row],[Group]],2))</f>
        <v/>
      </c>
      <c r="L2370" s="3" t="inlineStr">
        <is>
          <t>NON SALES</t>
        </is>
      </c>
    </row>
    <row r="2371">
      <c r="A2371" s="5" t="inlineStr">
        <is>
          <t>OP18881</t>
        </is>
      </c>
      <c r="B2371" s="6" t="inlineStr">
        <is>
          <t>Nadya</t>
        </is>
      </c>
      <c r="C2371" s="7" t="inlineStr">
        <is>
          <t>AV - Agen Verified</t>
        </is>
      </c>
      <c r="D2371" s="1" t="inlineStr">
        <is>
          <t>OP00431</t>
        </is>
      </c>
      <c r="E2371" s="8" t="n">
        <v>45874.49097222222</v>
      </c>
      <c r="F2371" s="7" t="inlineStr">
        <is>
          <t>DOWNLINE</t>
        </is>
      </c>
      <c r="G2371" s="18" t="inlineStr">
        <is>
          <t>OP00431</t>
        </is>
      </c>
      <c r="H2371" s="19">
        <f>UPPER(Table3[[#This Row],[Agen id]]&amp;"-"&amp;VLOOKUP(Table3[[#This Row],[Agen id]],A:B,2,0)&amp;"("&amp;Table3[[#This Row],[Short]]&amp;")")</f>
        <v/>
      </c>
      <c r="J2371" s="7">
        <f>VLOOKUP(Table3[[#This Row],[Agen id]],Agen!A:C,3,0)</f>
        <v/>
      </c>
      <c r="K2371" s="37">
        <f>TRIM(LEFT(Table3[[#This Row],[Group]],2))</f>
        <v/>
      </c>
      <c r="L2371" s="3" t="inlineStr">
        <is>
          <t>NON SALES</t>
        </is>
      </c>
    </row>
    <row r="2372">
      <c r="A2372" s="5" t="inlineStr">
        <is>
          <t>OP18882</t>
        </is>
      </c>
      <c r="B2372" s="6" t="inlineStr">
        <is>
          <t>Hendri</t>
        </is>
      </c>
      <c r="C2372" s="7" t="inlineStr">
        <is>
          <t>A - Agen</t>
        </is>
      </c>
      <c r="D2372" s="1" t="inlineStr">
        <is>
          <t>OP00003</t>
        </is>
      </c>
      <c r="E2372" s="8" t="n">
        <v>45874.63541666666</v>
      </c>
      <c r="F2372" s="7" t="inlineStr">
        <is>
          <t>AGEN</t>
        </is>
      </c>
      <c r="G2372" s="18" t="inlineStr">
        <is>
          <t>OP18882</t>
        </is>
      </c>
      <c r="H2372" s="19">
        <f>UPPER(Table3[[#This Row],[Agen id]]&amp;"-"&amp;VLOOKUP(Table3[[#This Row],[Agen id]],A:B,2,0)&amp;"("&amp;Table3[[#This Row],[Short]]&amp;")")</f>
        <v/>
      </c>
      <c r="J2372" s="7">
        <f>VLOOKUP(Table3[[#This Row],[Agen id]],Agen!A:C,3,0)</f>
        <v/>
      </c>
      <c r="K2372" s="37">
        <f>TRIM(LEFT(Table3[[#This Row],[Group]],2))</f>
        <v/>
      </c>
      <c r="L2372" s="3" t="inlineStr">
        <is>
          <t>NON SALES</t>
        </is>
      </c>
    </row>
    <row r="2373">
      <c r="A2373" s="5" t="inlineStr">
        <is>
          <t>OP18883</t>
        </is>
      </c>
      <c r="B2373" s="6" t="inlineStr">
        <is>
          <t>Deded</t>
        </is>
      </c>
      <c r="C2373" s="7" t="inlineStr">
        <is>
          <t>A - Agen</t>
        </is>
      </c>
      <c r="D2373" s="1" t="inlineStr">
        <is>
          <t>OP00002</t>
        </is>
      </c>
      <c r="E2373" s="8" t="n">
        <v>45875.39444444444</v>
      </c>
      <c r="F2373" s="7" t="inlineStr">
        <is>
          <t>AGEN</t>
        </is>
      </c>
      <c r="G2373" s="7" t="inlineStr">
        <is>
          <t>OP18883</t>
        </is>
      </c>
      <c r="H2373" s="19">
        <f>UPPER(Table3[[#This Row],[Agen id]]&amp;"-"&amp;VLOOKUP(Table3[[#This Row],[Agen id]],A:B,2,0)&amp;"("&amp;Table3[[#This Row],[Short]]&amp;")")</f>
        <v/>
      </c>
      <c r="J2373" s="7">
        <f>VLOOKUP(Table3[[#This Row],[Agen id]],Agen!A:C,3,0)</f>
        <v/>
      </c>
      <c r="K2373" s="37">
        <f>TRIM(LEFT(Table3[[#This Row],[Group]],2))</f>
        <v/>
      </c>
      <c r="L2373" s="3" t="inlineStr">
        <is>
          <t>NON SALES</t>
        </is>
      </c>
    </row>
    <row r="2374">
      <c r="A2374" s="5" t="inlineStr">
        <is>
          <t>OP18887</t>
        </is>
      </c>
      <c r="B2374" s="6" t="inlineStr">
        <is>
          <t>RyaaGz</t>
        </is>
      </c>
      <c r="C2374" s="7" t="inlineStr">
        <is>
          <t>A - Agen</t>
        </is>
      </c>
      <c r="D2374" s="1" t="inlineStr">
        <is>
          <t>OP00002</t>
        </is>
      </c>
      <c r="E2374" s="8" t="n">
        <v>45877.24236111111</v>
      </c>
      <c r="F2374" s="7" t="inlineStr">
        <is>
          <t>AGEN</t>
        </is>
      </c>
      <c r="G2374" s="7" t="inlineStr">
        <is>
          <t>OP18887</t>
        </is>
      </c>
      <c r="H2374" s="19">
        <f>UPPER(Table3[[#This Row],[Agen id]]&amp;"-"&amp;VLOOKUP(Table3[[#This Row],[Agen id]],A:B,2,0)&amp;"("&amp;Table3[[#This Row],[Short]]&amp;")")</f>
        <v/>
      </c>
      <c r="J2374" s="7">
        <f>VLOOKUP(Table3[[#This Row],[Agen id]],Agen!A:C,3,0)</f>
        <v/>
      </c>
      <c r="K2374" s="37">
        <f>TRIM(LEFT(Table3[[#This Row],[Group]],2))</f>
        <v/>
      </c>
      <c r="L2374" s="3" t="inlineStr">
        <is>
          <t>NON SALES</t>
        </is>
      </c>
    </row>
    <row r="2375">
      <c r="A2375" s="5" t="inlineStr">
        <is>
          <t>OP18888</t>
        </is>
      </c>
      <c r="B2375" s="6" t="inlineStr">
        <is>
          <t>Zain</t>
        </is>
      </c>
      <c r="C2375" s="7" t="inlineStr">
        <is>
          <t>A - Agen</t>
        </is>
      </c>
      <c r="D2375" s="1" t="inlineStr">
        <is>
          <t>OP00002</t>
        </is>
      </c>
      <c r="E2375" s="8" t="n">
        <v>45877.95555555556</v>
      </c>
      <c r="F2375" s="7" t="inlineStr">
        <is>
          <t>AGEN</t>
        </is>
      </c>
      <c r="G2375" s="7" t="inlineStr">
        <is>
          <t>OP18888</t>
        </is>
      </c>
      <c r="H2375" s="19">
        <f>UPPER(Table3[[#This Row],[Agen id]]&amp;"-"&amp;VLOOKUP(Table3[[#This Row],[Agen id]],A:B,2,0)&amp;"("&amp;Table3[[#This Row],[Short]]&amp;")")</f>
        <v/>
      </c>
      <c r="J2375" s="7">
        <f>VLOOKUP(Table3[[#This Row],[Agen id]],Agen!A:C,3,0)</f>
        <v/>
      </c>
      <c r="K2375" s="37">
        <f>TRIM(LEFT(Table3[[#This Row],[Group]],2))</f>
        <v/>
      </c>
      <c r="L2375" s="3" t="inlineStr">
        <is>
          <t>NON SALES</t>
        </is>
      </c>
    </row>
    <row r="2376">
      <c r="A2376" s="5" t="inlineStr">
        <is>
          <t>OP18892</t>
        </is>
      </c>
      <c r="B2376" s="6" t="inlineStr">
        <is>
          <t>Lutfi cell</t>
        </is>
      </c>
      <c r="C2376" s="7" t="inlineStr">
        <is>
          <t>A - Agen</t>
        </is>
      </c>
      <c r="D2376" s="1" t="inlineStr">
        <is>
          <t>OP00002</t>
        </is>
      </c>
      <c r="E2376" s="8" t="n">
        <v>45879.61527777778</v>
      </c>
      <c r="F2376" s="7" t="inlineStr">
        <is>
          <t>AGEN</t>
        </is>
      </c>
      <c r="G2376" s="7" t="inlineStr">
        <is>
          <t>OP18892</t>
        </is>
      </c>
      <c r="H2376" s="19">
        <f>UPPER(Table3[[#This Row],[Agen id]]&amp;"-"&amp;VLOOKUP(Table3[[#This Row],[Agen id]],A:B,2,0)&amp;"("&amp;Table3[[#This Row],[Short]]&amp;")")</f>
        <v/>
      </c>
      <c r="J2376" s="7">
        <f>VLOOKUP(Table3[[#This Row],[Agen id]],Agen!A:C,3,0)</f>
        <v/>
      </c>
      <c r="K2376" s="37">
        <f>TRIM(LEFT(Table3[[#This Row],[Group]],2))</f>
        <v/>
      </c>
      <c r="L2376" s="3" t="inlineStr">
        <is>
          <t>NON SALES</t>
        </is>
      </c>
    </row>
    <row r="2377">
      <c r="A2377" s="5" t="inlineStr">
        <is>
          <t>OP18895</t>
        </is>
      </c>
      <c r="B2377" s="6" t="inlineStr">
        <is>
          <t>Ryaa call</t>
        </is>
      </c>
      <c r="C2377" s="7" t="inlineStr">
        <is>
          <t>A - Agen</t>
        </is>
      </c>
      <c r="D2377" s="1" t="inlineStr">
        <is>
          <t>OP00002</t>
        </is>
      </c>
      <c r="E2377" s="8" t="n">
        <v>45881.57986111111</v>
      </c>
      <c r="F2377" s="7" t="inlineStr">
        <is>
          <t>AGEN</t>
        </is>
      </c>
      <c r="G2377" s="7" t="inlineStr">
        <is>
          <t>OP18895</t>
        </is>
      </c>
      <c r="H2377" s="19">
        <f>UPPER(Table3[[#This Row],[Agen id]]&amp;"-"&amp;VLOOKUP(Table3[[#This Row],[Agen id]],A:B,2,0)&amp;"("&amp;Table3[[#This Row],[Short]]&amp;")")</f>
        <v/>
      </c>
      <c r="J2377" s="7">
        <f>VLOOKUP(Table3[[#This Row],[Agen id]],Agen!A:C,3,0)</f>
        <v/>
      </c>
      <c r="K2377" s="37">
        <f>TRIM(LEFT(Table3[[#This Row],[Group]],2))</f>
        <v/>
      </c>
      <c r="L2377" s="3" t="inlineStr">
        <is>
          <t>NON SALES</t>
        </is>
      </c>
    </row>
    <row r="2378">
      <c r="A2378" s="5" t="inlineStr">
        <is>
          <t>OP18896</t>
        </is>
      </c>
      <c r="B2378" s="6" t="inlineStr">
        <is>
          <t>Enik</t>
        </is>
      </c>
      <c r="C2378" s="7" t="inlineStr">
        <is>
          <t>A - Agen</t>
        </is>
      </c>
      <c r="D2378" s="1" t="inlineStr">
        <is>
          <t>OP00003</t>
        </is>
      </c>
      <c r="E2378" s="8" t="n">
        <v>45882.46388888889</v>
      </c>
      <c r="F2378" s="7" t="inlineStr">
        <is>
          <t>AGEN</t>
        </is>
      </c>
      <c r="G2378" s="18" t="inlineStr">
        <is>
          <t>OP18896</t>
        </is>
      </c>
      <c r="H2378" s="19">
        <f>UPPER(Table3[[#This Row],[Agen id]]&amp;"-"&amp;VLOOKUP(Table3[[#This Row],[Agen id]],A:B,2,0)&amp;"("&amp;Table3[[#This Row],[Short]]&amp;")")</f>
        <v/>
      </c>
      <c r="J2378" s="7">
        <f>VLOOKUP(Table3[[#This Row],[Agen id]],Agen!A:C,3,0)</f>
        <v/>
      </c>
      <c r="K2378" s="37">
        <f>TRIM(LEFT(Table3[[#This Row],[Group]],2))</f>
        <v/>
      </c>
      <c r="L2378" s="3" t="inlineStr">
        <is>
          <t>NON SALES</t>
        </is>
      </c>
    </row>
    <row r="2379">
      <c r="A2379" s="5" t="inlineStr">
        <is>
          <t>OP18897</t>
        </is>
      </c>
      <c r="B2379" s="6" t="inlineStr">
        <is>
          <t>Isnaini putri astuti</t>
        </is>
      </c>
      <c r="C2379" s="7" t="inlineStr">
        <is>
          <t>AV - Agen Verified</t>
        </is>
      </c>
      <c r="D2379" s="1" t="inlineStr">
        <is>
          <t>OP00002</t>
        </is>
      </c>
      <c r="E2379" s="8" t="n">
        <v>45882.89652777778</v>
      </c>
      <c r="F2379" s="7" t="inlineStr">
        <is>
          <t>AGEN</t>
        </is>
      </c>
      <c r="G2379" s="18" t="inlineStr">
        <is>
          <t>OP18897</t>
        </is>
      </c>
      <c r="H2379" s="19">
        <f>UPPER(Table3[[#This Row],[Agen id]]&amp;"-"&amp;VLOOKUP(Table3[[#This Row],[Agen id]],A:B,2,0)&amp;"("&amp;Table3[[#This Row],[Short]]&amp;")")</f>
        <v/>
      </c>
      <c r="J2379" s="7">
        <f>VLOOKUP(Table3[[#This Row],[Agen id]],Agen!A:C,3,0)</f>
        <v/>
      </c>
      <c r="K2379" s="37">
        <f>TRIM(LEFT(Table3[[#This Row],[Group]],2))</f>
        <v/>
      </c>
      <c r="L2379" s="3" t="inlineStr">
        <is>
          <t>NON SALES</t>
        </is>
      </c>
    </row>
    <row r="2380">
      <c r="A2380" s="5" t="inlineStr">
        <is>
          <t>OP18899</t>
        </is>
      </c>
      <c r="B2380" s="6" t="inlineStr">
        <is>
          <t>Aahmad CELL</t>
        </is>
      </c>
      <c r="C2380" s="7" t="inlineStr">
        <is>
          <t>AV - Agen Verified</t>
        </is>
      </c>
      <c r="D2380" s="1" t="inlineStr">
        <is>
          <t>OP01048</t>
        </is>
      </c>
      <c r="E2380" s="8" t="n">
        <v>45884.41597222222</v>
      </c>
      <c r="F2380" s="7" t="inlineStr">
        <is>
          <t>DOWNLINE</t>
        </is>
      </c>
      <c r="G2380" s="18" t="inlineStr">
        <is>
          <t>OP01048</t>
        </is>
      </c>
      <c r="H2380" s="19">
        <f>UPPER(Table3[[#This Row],[Agen id]]&amp;"-"&amp;VLOOKUP(Table3[[#This Row],[Agen id]],A:B,2,0)&amp;"("&amp;Table3[[#This Row],[Short]]&amp;")")</f>
        <v/>
      </c>
      <c r="J2380" s="7">
        <f>VLOOKUP(Table3[[#This Row],[Agen id]],Agen!A:C,3,0)</f>
        <v/>
      </c>
      <c r="K2380" s="37">
        <f>TRIM(LEFT(Table3[[#This Row],[Group]],2))</f>
        <v/>
      </c>
      <c r="L2380" s="3" t="inlineStr">
        <is>
          <t>NON SALES</t>
        </is>
      </c>
    </row>
    <row r="2381">
      <c r="A2381" s="5" t="inlineStr">
        <is>
          <t>OP18905</t>
        </is>
      </c>
      <c r="B2381" s="6" t="inlineStr">
        <is>
          <t>Monita</t>
        </is>
      </c>
      <c r="C2381" s="7" t="inlineStr">
        <is>
          <t>AV - Agen Verified</t>
        </is>
      </c>
      <c r="D2381" s="1" t="inlineStr">
        <is>
          <t>OP14999</t>
        </is>
      </c>
      <c r="E2381" s="8" t="n">
        <v>45885.52291666667</v>
      </c>
      <c r="F2381" s="7" t="inlineStr">
        <is>
          <t>DOWNLINE</t>
        </is>
      </c>
      <c r="G2381" s="18" t="inlineStr">
        <is>
          <t>OP03699</t>
        </is>
      </c>
      <c r="H2381" s="19">
        <f>UPPER(Table3[[#This Row],[Agen id]]&amp;"-"&amp;VLOOKUP(Table3[[#This Row],[Agen id]],A:B,2,0)&amp;"("&amp;Table3[[#This Row],[Short]]&amp;")")</f>
        <v/>
      </c>
      <c r="J2381" s="7">
        <f>VLOOKUP(Table3[[#This Row],[Agen id]],Agen!A:C,3,0)</f>
        <v/>
      </c>
      <c r="K2381" s="37">
        <f>TRIM(LEFT(Table3[[#This Row],[Group]],2))</f>
        <v/>
      </c>
      <c r="L2381" s="3" t="inlineStr">
        <is>
          <t>NON SALES</t>
        </is>
      </c>
    </row>
    <row r="2382">
      <c r="A2382" s="5" t="inlineStr">
        <is>
          <t>OP18913</t>
        </is>
      </c>
      <c r="B2382" s="6" t="inlineStr">
        <is>
          <t>Nasya_Store</t>
        </is>
      </c>
      <c r="C2382" s="7" t="inlineStr">
        <is>
          <t>AV - Agen Verified</t>
        </is>
      </c>
      <c r="D2382" s="1" t="inlineStr">
        <is>
          <t>OP00049</t>
        </is>
      </c>
      <c r="E2382" s="8" t="n">
        <v>45887.77777777778</v>
      </c>
      <c r="F2382" s="7" t="inlineStr">
        <is>
          <t>DOWNLINE</t>
        </is>
      </c>
      <c r="G2382" s="18" t="inlineStr">
        <is>
          <t>OP00049</t>
        </is>
      </c>
      <c r="H2382" s="19">
        <f>UPPER(Table3[[#This Row],[Agen id]]&amp;"-"&amp;VLOOKUP(Table3[[#This Row],[Agen id]],A:B,2,0)&amp;"("&amp;Table3[[#This Row],[Short]]&amp;")")</f>
        <v/>
      </c>
      <c r="J2382" s="7">
        <f>VLOOKUP(Table3[[#This Row],[Agen id]],Agen!A:C,3,0)</f>
        <v/>
      </c>
      <c r="K2382" s="37">
        <f>TRIM(LEFT(Table3[[#This Row],[Group]],2))</f>
        <v/>
      </c>
      <c r="L2382" s="3" t="inlineStr">
        <is>
          <t>NON SALES</t>
        </is>
      </c>
    </row>
    <row r="2383">
      <c r="A2383" s="5" t="inlineStr">
        <is>
          <t>OP18921</t>
        </is>
      </c>
      <c r="B2383" s="6" t="inlineStr">
        <is>
          <t>YUSUF</t>
        </is>
      </c>
      <c r="C2383" s="7" t="inlineStr">
        <is>
          <t>AV - Agen Verified</t>
        </is>
      </c>
      <c r="D2383" s="1" t="inlineStr">
        <is>
          <t>OP00002</t>
        </is>
      </c>
      <c r="E2383" s="8" t="n">
        <v>45889.82222222222</v>
      </c>
      <c r="F2383" s="7" t="inlineStr">
        <is>
          <t>AGEN</t>
        </is>
      </c>
      <c r="G2383" s="18" t="inlineStr">
        <is>
          <t>OP18921</t>
        </is>
      </c>
      <c r="H2383" s="19">
        <f>UPPER(Table3[[#This Row],[Agen id]]&amp;"-"&amp;VLOOKUP(Table3[[#This Row],[Agen id]],A:B,2,0)&amp;"("&amp;Table3[[#This Row],[Short]]&amp;")")</f>
        <v/>
      </c>
      <c r="J2383" s="7">
        <f>VLOOKUP(Table3[[#This Row],[Agen id]],Agen!A:C,3,0)</f>
        <v/>
      </c>
      <c r="K2383" s="37">
        <f>TRIM(LEFT(Table3[[#This Row],[Group]],2))</f>
        <v/>
      </c>
      <c r="L2383" s="3" t="inlineStr">
        <is>
          <t>NON SALES</t>
        </is>
      </c>
    </row>
    <row r="2384">
      <c r="A2384" s="5" t="inlineStr">
        <is>
          <t>OP18934</t>
        </is>
      </c>
      <c r="B2384" s="6" t="inlineStr">
        <is>
          <t>Monika aprilia</t>
        </is>
      </c>
      <c r="C2384" s="7" t="inlineStr">
        <is>
          <t>AV - Agen Verified</t>
        </is>
      </c>
      <c r="D2384" s="1" t="inlineStr">
        <is>
          <t>OP00002</t>
        </is>
      </c>
      <c r="E2384" s="8" t="n">
        <v>45892.86736111111</v>
      </c>
      <c r="F2384" s="7" t="inlineStr">
        <is>
          <t>AGEN</t>
        </is>
      </c>
      <c r="G2384" s="18" t="inlineStr">
        <is>
          <t>OP18934</t>
        </is>
      </c>
      <c r="H2384" s="19">
        <f>UPPER(Table3[[#This Row],[Agen id]]&amp;"-"&amp;VLOOKUP(Table3[[#This Row],[Agen id]],A:B,2,0)&amp;"("&amp;Table3[[#This Row],[Short]]&amp;")")</f>
        <v/>
      </c>
      <c r="J2384" s="7">
        <f>VLOOKUP(Table3[[#This Row],[Agen id]],Agen!A:C,3,0)</f>
        <v/>
      </c>
      <c r="K2384" s="37">
        <f>TRIM(LEFT(Table3[[#This Row],[Group]],2))</f>
        <v/>
      </c>
      <c r="L2384" s="3" t="inlineStr">
        <is>
          <t>NON SALES</t>
        </is>
      </c>
    </row>
    <row r="2385">
      <c r="A2385" s="5" t="inlineStr">
        <is>
          <t>OP18949</t>
        </is>
      </c>
      <c r="B2385" s="6" t="inlineStr">
        <is>
          <t>SAHIRA CELL</t>
        </is>
      </c>
      <c r="C2385" s="7" t="inlineStr">
        <is>
          <t>AB1 - Agen Kab Bogor</t>
        </is>
      </c>
      <c r="D2385" s="1" t="inlineStr">
        <is>
          <t>OP08206</t>
        </is>
      </c>
      <c r="E2385" s="8" t="n">
        <v>45898.46388888889</v>
      </c>
      <c r="F2385" s="7" t="inlineStr">
        <is>
          <t>DOWNLINE</t>
        </is>
      </c>
      <c r="G2385" s="18" t="inlineStr">
        <is>
          <t>OP08206</t>
        </is>
      </c>
      <c r="H2385" s="19">
        <f>UPPER(Table3[[#This Row],[Agen id]]&amp;"-"&amp;VLOOKUP(Table3[[#This Row],[Agen id]],A:B,2,0)&amp;"("&amp;Table3[[#This Row],[Short]]&amp;")")</f>
        <v/>
      </c>
      <c r="J2385" s="7">
        <f>VLOOKUP(Table3[[#This Row],[Agen id]],Agen!A:C,3,0)</f>
        <v/>
      </c>
      <c r="K2385" s="37">
        <f>TRIM(LEFT(Table3[[#This Row],[Group]],2))</f>
        <v/>
      </c>
      <c r="L2385" s="3" t="inlineStr">
        <is>
          <t>NON SALES</t>
        </is>
      </c>
    </row>
    <row r="2386">
      <c r="A2386" s="5" t="inlineStr">
        <is>
          <t>OP18951</t>
        </is>
      </c>
      <c r="B2386" s="6" t="inlineStr">
        <is>
          <t>jason cell</t>
        </is>
      </c>
      <c r="C2386" s="7" t="inlineStr">
        <is>
          <t>AV - Agen Verified</t>
        </is>
      </c>
      <c r="D2386" s="1" t="inlineStr">
        <is>
          <t>OP03216</t>
        </is>
      </c>
      <c r="E2386" s="8" t="n">
        <v>45898.72916666666</v>
      </c>
      <c r="F2386" s="7" t="inlineStr">
        <is>
          <t>DOWNLINE</t>
        </is>
      </c>
      <c r="G2386" s="18" t="inlineStr">
        <is>
          <t>OP00049</t>
        </is>
      </c>
      <c r="H2386" s="19">
        <f>UPPER(Table3[[#This Row],[Agen id]]&amp;"-"&amp;VLOOKUP(Table3[[#This Row],[Agen id]],A:B,2,0)&amp;"("&amp;Table3[[#This Row],[Short]]&amp;")")</f>
        <v/>
      </c>
      <c r="J2386" s="7">
        <f>VLOOKUP(Table3[[#This Row],[Agen id]],Agen!A:C,3,0)</f>
        <v/>
      </c>
      <c r="K2386" s="37">
        <f>TRIM(LEFT(Table3[[#This Row],[Group]],2))</f>
        <v/>
      </c>
      <c r="L2386" s="3" t="inlineStr">
        <is>
          <t>NON SALES</t>
        </is>
      </c>
    </row>
    <row r="2387">
      <c r="A2387" s="5" t="inlineStr">
        <is>
          <t>OP18952</t>
        </is>
      </c>
      <c r="B2387" s="6" t="inlineStr">
        <is>
          <t>Arini Fafo</t>
        </is>
      </c>
      <c r="C2387" s="7" t="inlineStr">
        <is>
          <t>AV - Agen Verified</t>
        </is>
      </c>
      <c r="D2387" s="1" t="inlineStr">
        <is>
          <t>OP00002</t>
        </is>
      </c>
      <c r="E2387" s="8" t="n">
        <v>45898.96458333333</v>
      </c>
      <c r="F2387" s="7" t="inlineStr">
        <is>
          <t>AGEN</t>
        </is>
      </c>
      <c r="G2387" s="18" t="inlineStr">
        <is>
          <t>OP18952</t>
        </is>
      </c>
      <c r="H2387" s="19">
        <f>UPPER(Table3[[#This Row],[Agen id]]&amp;"-"&amp;VLOOKUP(Table3[[#This Row],[Agen id]],A:B,2,0)&amp;"("&amp;Table3[[#This Row],[Short]]&amp;")")</f>
        <v/>
      </c>
      <c r="J2387" s="7">
        <f>VLOOKUP(Table3[[#This Row],[Agen id]],Agen!A:C,3,0)</f>
        <v/>
      </c>
      <c r="K2387" s="37">
        <f>TRIM(LEFT(Table3[[#This Row],[Group]],2))</f>
        <v/>
      </c>
      <c r="L2387" s="3" t="inlineStr">
        <is>
          <t>NON SALES</t>
        </is>
      </c>
    </row>
    <row r="2388">
      <c r="A2388" s="5" t="inlineStr">
        <is>
          <t>OP18957</t>
        </is>
      </c>
      <c r="B2388" s="6" t="inlineStr">
        <is>
          <t>Rati</t>
        </is>
      </c>
      <c r="C2388" s="7" t="inlineStr">
        <is>
          <t>A - Agen</t>
        </is>
      </c>
      <c r="D2388" s="1" t="inlineStr">
        <is>
          <t>OP00002</t>
        </is>
      </c>
      <c r="E2388" s="8" t="n">
        <v>45900.78888888889</v>
      </c>
      <c r="F2388" s="7" t="inlineStr">
        <is>
          <t>AGEN</t>
        </is>
      </c>
      <c r="G2388" s="7" t="inlineStr">
        <is>
          <t>OP18957</t>
        </is>
      </c>
      <c r="H2388" s="19">
        <f>UPPER(Table3[[#This Row],[Agen id]]&amp;"-"&amp;VLOOKUP(Table3[[#This Row],[Agen id]],A:B,2,0)&amp;"("&amp;Table3[[#This Row],[Short]]&amp;")")</f>
        <v/>
      </c>
      <c r="J2388" s="7">
        <f>VLOOKUP(Table3[[#This Row],[Agen id]],Agen!A:C,3,0)</f>
        <v/>
      </c>
      <c r="K2388" s="37">
        <f>TRIM(LEFT(Table3[[#This Row],[Group]],2))</f>
        <v/>
      </c>
      <c r="L2388" s="3" t="inlineStr">
        <is>
          <t>NON SALES</t>
        </is>
      </c>
    </row>
    <row r="2389">
      <c r="A2389" s="5" t="inlineStr">
        <is>
          <t>OP18958</t>
        </is>
      </c>
      <c r="B2389" s="6" t="inlineStr">
        <is>
          <t>Mitra</t>
        </is>
      </c>
      <c r="C2389" s="7" t="inlineStr">
        <is>
          <t>A - Agen</t>
        </is>
      </c>
      <c r="D2389" s="1" t="inlineStr">
        <is>
          <t>OP00002</t>
        </is>
      </c>
      <c r="E2389" s="8" t="n">
        <v>45901.05902777778</v>
      </c>
      <c r="F2389" s="7" t="inlineStr">
        <is>
          <t>AGEN</t>
        </is>
      </c>
      <c r="G2389" s="7" t="inlineStr">
        <is>
          <t>OP18958</t>
        </is>
      </c>
      <c r="H2389" s="19">
        <f>UPPER(Table3[[#This Row],[Agen id]]&amp;"-"&amp;VLOOKUP(Table3[[#This Row],[Agen id]],A:B,2,0)&amp;"("&amp;Table3[[#This Row],[Short]]&amp;")")</f>
        <v/>
      </c>
      <c r="J2389" s="7">
        <f>VLOOKUP(Table3[[#This Row],[Agen id]],Agen!A:C,3,0)</f>
        <v/>
      </c>
      <c r="K2389" s="37">
        <f>TRIM(LEFT(Table3[[#This Row],[Group]],2))</f>
        <v/>
      </c>
      <c r="L2389" s="3" t="inlineStr">
        <is>
          <t>NON SALES</t>
        </is>
      </c>
    </row>
    <row r="2390">
      <c r="A2390" s="5" t="inlineStr">
        <is>
          <t>OP18959</t>
        </is>
      </c>
      <c r="B2390" s="6" t="inlineStr">
        <is>
          <t>Siti M</t>
        </is>
      </c>
      <c r="C2390" s="7" t="inlineStr">
        <is>
          <t>AV - Agen Verified</t>
        </is>
      </c>
      <c r="D2390" s="1" t="inlineStr">
        <is>
          <t>OP00002</t>
        </is>
      </c>
      <c r="E2390" s="8" t="n">
        <v>45901.57013888889</v>
      </c>
      <c r="F2390" s="7" t="inlineStr">
        <is>
          <t>AGEN</t>
        </is>
      </c>
      <c r="G2390" s="18" t="inlineStr">
        <is>
          <t>OP18959</t>
        </is>
      </c>
      <c r="H2390" s="19">
        <f>UPPER(Table3[[#This Row],[Agen id]]&amp;"-"&amp;VLOOKUP(Table3[[#This Row],[Agen id]],A:B,2,0)&amp;"("&amp;Table3[[#This Row],[Short]]&amp;")")</f>
        <v/>
      </c>
      <c r="J2390" s="7">
        <f>VLOOKUP(Table3[[#This Row],[Agen id]],Agen!A:C,3,0)</f>
        <v/>
      </c>
      <c r="K2390" s="37">
        <f>TRIM(LEFT(Table3[[#This Row],[Group]],2))</f>
        <v/>
      </c>
      <c r="L2390" s="3" t="inlineStr">
        <is>
          <t>NON SALES</t>
        </is>
      </c>
    </row>
    <row r="2391">
      <c r="A2391" s="5" t="inlineStr">
        <is>
          <t>OP18960</t>
        </is>
      </c>
      <c r="B2391" s="6" t="inlineStr">
        <is>
          <t>Supriyadi</t>
        </is>
      </c>
      <c r="C2391" s="7" t="inlineStr">
        <is>
          <t>AV - Agen Verified</t>
        </is>
      </c>
      <c r="D2391" s="1" t="inlineStr">
        <is>
          <t>OP00002</t>
        </is>
      </c>
      <c r="E2391" s="8" t="n">
        <v>45903.375</v>
      </c>
      <c r="F2391" s="7" t="inlineStr">
        <is>
          <t>AGEN</t>
        </is>
      </c>
      <c r="G2391" s="7" t="inlineStr">
        <is>
          <t>OP18960</t>
        </is>
      </c>
      <c r="H2391" s="19">
        <f>UPPER(Table3[[#This Row],[Agen id]]&amp;"-"&amp;VLOOKUP(Table3[[#This Row],[Agen id]],A:B,2,0)&amp;"("&amp;Table3[[#This Row],[Short]]&amp;")")</f>
        <v/>
      </c>
      <c r="J2391" s="7">
        <f>VLOOKUP(Table3[[#This Row],[Agen id]],Agen!A:C,3,0)</f>
        <v/>
      </c>
      <c r="K2391" s="37">
        <f>TRIM(LEFT(Table3[[#This Row],[Group]],2))</f>
        <v/>
      </c>
      <c r="L2391" s="3" t="inlineStr">
        <is>
          <t>NON SALES</t>
        </is>
      </c>
    </row>
    <row r="2392">
      <c r="A2392" s="5" t="inlineStr">
        <is>
          <t>OP18966</t>
        </is>
      </c>
      <c r="B2392" s="6" t="inlineStr">
        <is>
          <t>Bambang</t>
        </is>
      </c>
      <c r="C2392" s="7" t="inlineStr">
        <is>
          <t>A - Agen</t>
        </is>
      </c>
      <c r="D2392" s="1" t="inlineStr">
        <is>
          <t>OP00002</t>
        </is>
      </c>
      <c r="E2392" s="8" t="n">
        <v>45904.78958333333</v>
      </c>
      <c r="F2392" s="7" t="inlineStr">
        <is>
          <t>AGEN</t>
        </is>
      </c>
      <c r="G2392" s="18" t="inlineStr">
        <is>
          <t>OP18966</t>
        </is>
      </c>
      <c r="H2392" s="19">
        <f>UPPER(Table3[[#This Row],[Agen id]]&amp;"-"&amp;VLOOKUP(Table3[[#This Row],[Agen id]],A:B,2,0)&amp;"("&amp;Table3[[#This Row],[Short]]&amp;")")</f>
        <v/>
      </c>
      <c r="J2392" s="7">
        <f>VLOOKUP(Table3[[#This Row],[Agen id]],Agen!A:C,3,0)</f>
        <v/>
      </c>
      <c r="K2392" s="37">
        <f>TRIM(LEFT(Table3[[#This Row],[Group]],2))</f>
        <v/>
      </c>
      <c r="L2392" s="3" t="inlineStr">
        <is>
          <t>NON SALES</t>
        </is>
      </c>
    </row>
    <row r="2393">
      <c r="A2393" s="5" t="inlineStr">
        <is>
          <t>OP18967</t>
        </is>
      </c>
      <c r="B2393" s="6" t="inlineStr">
        <is>
          <t>Latifah</t>
        </is>
      </c>
      <c r="C2393" s="7" t="inlineStr">
        <is>
          <t>A - Agen</t>
        </is>
      </c>
      <c r="D2393" s="1" t="inlineStr">
        <is>
          <t>OP00002</t>
        </is>
      </c>
      <c r="E2393" s="8" t="n">
        <v>45904.97361111111</v>
      </c>
      <c r="F2393" s="7" t="inlineStr">
        <is>
          <t>AGEN</t>
        </is>
      </c>
      <c r="G2393" s="18" t="inlineStr">
        <is>
          <t>OP18967</t>
        </is>
      </c>
      <c r="H2393" s="19">
        <f>UPPER(Table3[[#This Row],[Agen id]]&amp;"-"&amp;VLOOKUP(Table3[[#This Row],[Agen id]],A:B,2,0)&amp;"("&amp;Table3[[#This Row],[Short]]&amp;")")</f>
        <v/>
      </c>
      <c r="J2393" s="7">
        <f>VLOOKUP(Table3[[#This Row],[Agen id]],Agen!A:C,3,0)</f>
        <v/>
      </c>
      <c r="K2393" s="37">
        <f>TRIM(LEFT(Table3[[#This Row],[Group]],2))</f>
        <v/>
      </c>
      <c r="L2393" s="3" t="inlineStr">
        <is>
          <t>NON SALES</t>
        </is>
      </c>
    </row>
    <row r="2394">
      <c r="A2394" s="5" t="inlineStr">
        <is>
          <t>OP18968</t>
        </is>
      </c>
      <c r="B2394" s="6" t="inlineStr">
        <is>
          <t>YUVA</t>
        </is>
      </c>
      <c r="C2394" s="7" t="inlineStr">
        <is>
          <t>A - Agen</t>
        </is>
      </c>
      <c r="D2394" s="1" t="inlineStr">
        <is>
          <t>OP07683</t>
        </is>
      </c>
      <c r="E2394" s="8" t="n">
        <v>45905.90138888889</v>
      </c>
      <c r="F2394" s="7" t="inlineStr">
        <is>
          <t>AGEN</t>
        </is>
      </c>
      <c r="G2394" s="18" t="inlineStr">
        <is>
          <t>OP18968</t>
        </is>
      </c>
      <c r="H2394" s="19">
        <f>UPPER(Table3[[#This Row],[Agen id]]&amp;"-"&amp;VLOOKUP(Table3[[#This Row],[Agen id]],A:B,2,0)&amp;"("&amp;Table3[[#This Row],[Short]]&amp;")")</f>
        <v/>
      </c>
      <c r="J2394" s="7">
        <f>VLOOKUP(Table3[[#This Row],[Agen id]],Agen!A:C,3,0)</f>
        <v/>
      </c>
      <c r="K2394" s="37">
        <f>TRIM(LEFT(Table3[[#This Row],[Group]],2))</f>
        <v/>
      </c>
      <c r="L2394" s="3" t="inlineStr">
        <is>
          <t>NON SALES</t>
        </is>
      </c>
    </row>
    <row r="2395">
      <c r="A2395" s="5" t="inlineStr">
        <is>
          <t>OP18973</t>
        </is>
      </c>
      <c r="B2395" s="6" t="inlineStr">
        <is>
          <t>RSW TRONIK</t>
        </is>
      </c>
      <c r="C2395" s="7" t="inlineStr">
        <is>
          <t>A - Agen</t>
        </is>
      </c>
      <c r="D2395" s="1" t="inlineStr">
        <is>
          <t>OP00002</t>
        </is>
      </c>
      <c r="E2395" s="8" t="n">
        <v>45908.52152777778</v>
      </c>
      <c r="F2395" s="7" t="inlineStr">
        <is>
          <t>AGEN</t>
        </is>
      </c>
      <c r="G2395" s="7" t="inlineStr">
        <is>
          <t>OP18973</t>
        </is>
      </c>
      <c r="H2395" s="19">
        <f>UPPER(Table3[[#This Row],[Agen id]]&amp;"-"&amp;VLOOKUP(Table3[[#This Row],[Agen id]],A:B,2,0)&amp;"("&amp;Table3[[#This Row],[Short]]&amp;")")</f>
        <v/>
      </c>
      <c r="J2395" s="7">
        <f>VLOOKUP(Table3[[#This Row],[Agen id]],Agen!A:C,3,0)</f>
        <v/>
      </c>
      <c r="K2395" s="37">
        <f>TRIM(LEFT(Table3[[#This Row],[Group]],2))</f>
        <v/>
      </c>
      <c r="L2395" s="3" t="inlineStr">
        <is>
          <t>NON SALES</t>
        </is>
      </c>
    </row>
    <row r="2396">
      <c r="A2396" s="5" t="inlineStr">
        <is>
          <t>OP19042</t>
        </is>
      </c>
      <c r="B2396" s="6" t="inlineStr">
        <is>
          <t>Hardin 2</t>
        </is>
      </c>
      <c r="C2396" s="7" t="inlineStr">
        <is>
          <t>A - Agen</t>
        </is>
      </c>
      <c r="D2396" s="1" t="inlineStr">
        <is>
          <t>OP00002</t>
        </is>
      </c>
      <c r="E2396" s="8" t="n">
        <v>45912.78263888889</v>
      </c>
      <c r="F2396" s="7" t="inlineStr">
        <is>
          <t>AGEN</t>
        </is>
      </c>
      <c r="G2396" s="7" t="inlineStr">
        <is>
          <t>OP19042</t>
        </is>
      </c>
      <c r="H2396" s="19">
        <f>UPPER(Table3[[#This Row],[Agen id]]&amp;"-"&amp;VLOOKUP(Table3[[#This Row],[Agen id]],A:B,2,0)&amp;"("&amp;Table3[[#This Row],[Short]]&amp;")")</f>
        <v/>
      </c>
      <c r="J2396" s="7">
        <f>VLOOKUP(Table3[[#This Row],[Agen id]],Agen!A:C,3,0)</f>
        <v/>
      </c>
      <c r="K2396" s="37">
        <f>TRIM(LEFT(Table3[[#This Row],[Group]],2))</f>
        <v/>
      </c>
      <c r="L2396" s="3" t="inlineStr">
        <is>
          <t>NON SALES</t>
        </is>
      </c>
    </row>
    <row r="2397">
      <c r="A2397" s="5" t="inlineStr">
        <is>
          <t>OP19046</t>
        </is>
      </c>
      <c r="B2397" s="6" t="inlineStr">
        <is>
          <t>Indrafariz</t>
        </is>
      </c>
      <c r="C2397" s="7" t="inlineStr">
        <is>
          <t>A - Agen</t>
        </is>
      </c>
      <c r="D2397" s="1" t="inlineStr">
        <is>
          <t>OP00002</t>
        </is>
      </c>
      <c r="E2397" s="8" t="n">
        <v>45912.82777777778</v>
      </c>
      <c r="F2397" s="7" t="inlineStr">
        <is>
          <t>AGEN</t>
        </is>
      </c>
      <c r="G2397" s="18" t="inlineStr">
        <is>
          <t>OP19046</t>
        </is>
      </c>
      <c r="H2397" s="19">
        <f>UPPER(Table3[[#This Row],[Agen id]]&amp;"-"&amp;VLOOKUP(Table3[[#This Row],[Agen id]],A:B,2,0)&amp;"("&amp;Table3[[#This Row],[Short]]&amp;")")</f>
        <v/>
      </c>
      <c r="J2397" s="7">
        <f>VLOOKUP(Table3[[#This Row],[Agen id]],Agen!A:C,3,0)</f>
        <v/>
      </c>
      <c r="K2397" s="37">
        <f>TRIM(LEFT(Table3[[#This Row],[Group]],2))</f>
        <v/>
      </c>
      <c r="L2397" s="3" t="inlineStr">
        <is>
          <t>NON SALES</t>
        </is>
      </c>
    </row>
    <row r="2398">
      <c r="A2398" s="5" t="inlineStr">
        <is>
          <t>OP19072</t>
        </is>
      </c>
      <c r="B2398" s="6" t="inlineStr">
        <is>
          <t>afifatus soleha</t>
        </is>
      </c>
      <c r="C2398" s="7" t="inlineStr">
        <is>
          <t>A - Agen</t>
        </is>
      </c>
      <c r="D2398" s="1" t="inlineStr">
        <is>
          <t>OP00002</t>
        </is>
      </c>
      <c r="E2398" s="8" t="n">
        <v>45913.80694444444</v>
      </c>
      <c r="F2398" s="7" t="inlineStr">
        <is>
          <t>AGEN</t>
        </is>
      </c>
      <c r="G2398" s="7" t="inlineStr">
        <is>
          <t>OP19072</t>
        </is>
      </c>
      <c r="H2398" s="19">
        <f>UPPER(Table3[[#This Row],[Agen id]]&amp;"-"&amp;VLOOKUP(Table3[[#This Row],[Agen id]],A:B,2,0)&amp;"("&amp;Table3[[#This Row],[Short]]&amp;")")</f>
        <v/>
      </c>
      <c r="J2398" s="7">
        <f>VLOOKUP(Table3[[#This Row],[Agen id]],Agen!A:C,3,0)</f>
        <v/>
      </c>
      <c r="K2398" s="37">
        <f>TRIM(LEFT(Table3[[#This Row],[Group]],2))</f>
        <v/>
      </c>
      <c r="L2398" s="3" t="inlineStr">
        <is>
          <t>NON SALES</t>
        </is>
      </c>
    </row>
    <row r="2399">
      <c r="A2399" s="5" t="inlineStr">
        <is>
          <t>OP19106</t>
        </is>
      </c>
      <c r="B2399" s="6" t="inlineStr">
        <is>
          <t>Divacell</t>
        </is>
      </c>
      <c r="C2399" s="7" t="inlineStr">
        <is>
          <t>A - Agen</t>
        </is>
      </c>
      <c r="D2399" s="1" t="inlineStr">
        <is>
          <t>OP00002</t>
        </is>
      </c>
      <c r="E2399" s="8" t="n">
        <v>45914.83472222222</v>
      </c>
      <c r="F2399" s="7" t="inlineStr">
        <is>
          <t>AGEN</t>
        </is>
      </c>
      <c r="G2399" s="18" t="inlineStr">
        <is>
          <t>OP19106</t>
        </is>
      </c>
      <c r="H2399" s="19">
        <f>UPPER(Table3[[#This Row],[Agen id]]&amp;"-"&amp;VLOOKUP(Table3[[#This Row],[Agen id]],A:B,2,0)&amp;"("&amp;Table3[[#This Row],[Short]]&amp;")")</f>
        <v/>
      </c>
      <c r="J2399" s="7">
        <f>VLOOKUP(Table3[[#This Row],[Agen id]],Agen!A:C,3,0)</f>
        <v/>
      </c>
      <c r="K2399" s="37">
        <f>TRIM(LEFT(Table3[[#This Row],[Group]],2))</f>
        <v/>
      </c>
      <c r="L2399" s="3" t="inlineStr">
        <is>
          <t>NON SALES</t>
        </is>
      </c>
    </row>
    <row r="2400">
      <c r="A2400" s="5" t="inlineStr">
        <is>
          <t>OP19145</t>
        </is>
      </c>
      <c r="B2400" s="6" t="inlineStr">
        <is>
          <t>Suharman</t>
        </is>
      </c>
      <c r="C2400" s="7" t="inlineStr">
        <is>
          <t>A - Agen</t>
        </is>
      </c>
      <c r="D2400" s="1" t="inlineStr">
        <is>
          <t>OP00002</t>
        </is>
      </c>
      <c r="E2400" s="8" t="n">
        <v>45915.88472222222</v>
      </c>
      <c r="F2400" s="7" t="inlineStr">
        <is>
          <t>AGEN</t>
        </is>
      </c>
      <c r="G2400" s="18" t="inlineStr">
        <is>
          <t>OP19145</t>
        </is>
      </c>
      <c r="H2400" s="19">
        <f>UPPER(Table3[[#This Row],[Agen id]]&amp;"-"&amp;VLOOKUP(Table3[[#This Row],[Agen id]],A:B,2,0)&amp;"("&amp;Table3[[#This Row],[Short]]&amp;")")</f>
        <v/>
      </c>
      <c r="J2400" s="7">
        <f>VLOOKUP(Table3[[#This Row],[Agen id]],Agen!A:C,3,0)</f>
        <v/>
      </c>
      <c r="K2400" s="37">
        <f>TRIM(LEFT(Table3[[#This Row],[Group]],2))</f>
        <v/>
      </c>
      <c r="L2400" s="3" t="inlineStr">
        <is>
          <t>NON SALES</t>
        </is>
      </c>
    </row>
    <row r="2401">
      <c r="A2401" s="5" t="inlineStr">
        <is>
          <t>OP19178</t>
        </is>
      </c>
      <c r="B2401" s="6" t="inlineStr">
        <is>
          <t>Amrin</t>
        </is>
      </c>
      <c r="C2401" s="7" t="inlineStr">
        <is>
          <t>A - Agen</t>
        </is>
      </c>
      <c r="D2401" s="1" t="inlineStr">
        <is>
          <t>OP00002</t>
        </is>
      </c>
      <c r="E2401" s="8" t="n">
        <v>45916.91666666666</v>
      </c>
      <c r="F2401" s="7" t="inlineStr">
        <is>
          <t>AGEN</t>
        </is>
      </c>
      <c r="G2401" s="7" t="inlineStr">
        <is>
          <t>OP19178</t>
        </is>
      </c>
      <c r="H2401" s="19">
        <f>UPPER(Table3[[#This Row],[Agen id]]&amp;"-"&amp;VLOOKUP(Table3[[#This Row],[Agen id]],A:B,2,0)&amp;"("&amp;Table3[[#This Row],[Short]]&amp;")")</f>
        <v/>
      </c>
      <c r="J2401" s="7">
        <f>VLOOKUP(Table3[[#This Row],[Agen id]],Agen!A:C,3,0)</f>
        <v/>
      </c>
      <c r="K2401" s="37">
        <f>TRIM(LEFT(Table3[[#This Row],[Group]],2))</f>
        <v/>
      </c>
      <c r="L2401" s="3" t="inlineStr">
        <is>
          <t>NON SALES</t>
        </is>
      </c>
    </row>
    <row r="2402">
      <c r="A2402" s="5" t="inlineStr">
        <is>
          <t>OP19210</t>
        </is>
      </c>
      <c r="B2402" s="6" t="inlineStr">
        <is>
          <t>Khanafi</t>
        </is>
      </c>
      <c r="C2402" s="7" t="inlineStr">
        <is>
          <t>A - Agen</t>
        </is>
      </c>
      <c r="D2402" s="1" t="inlineStr">
        <is>
          <t>OP00002</t>
        </is>
      </c>
      <c r="E2402" s="8" t="n">
        <v>45917.91458333333</v>
      </c>
      <c r="F2402" s="7" t="inlineStr">
        <is>
          <t>AGEN</t>
        </is>
      </c>
      <c r="G2402" s="7" t="inlineStr">
        <is>
          <t>OP19210</t>
        </is>
      </c>
      <c r="H2402" s="19">
        <f>UPPER(Table3[[#This Row],[Agen id]]&amp;"-"&amp;VLOOKUP(Table3[[#This Row],[Agen id]],A:B,2,0)&amp;"("&amp;Table3[[#This Row],[Short]]&amp;")")</f>
        <v/>
      </c>
      <c r="J2402" s="7">
        <f>VLOOKUP(Table3[[#This Row],[Agen id]],Agen!A:C,3,0)</f>
        <v/>
      </c>
      <c r="K2402" s="37">
        <f>TRIM(LEFT(Table3[[#This Row],[Group]],2))</f>
        <v/>
      </c>
      <c r="L2402" s="3" t="inlineStr">
        <is>
          <t>NON SALES</t>
        </is>
      </c>
    </row>
    <row r="2403">
      <c r="A2403" s="5" t="inlineStr">
        <is>
          <t>OP19212</t>
        </is>
      </c>
      <c r="B2403" s="6" t="inlineStr">
        <is>
          <t>Royan Pulsa</t>
        </is>
      </c>
      <c r="C2403" s="7" t="inlineStr">
        <is>
          <t>AV - Agen Verified</t>
        </is>
      </c>
      <c r="D2403" s="1" t="inlineStr">
        <is>
          <t>OP05688</t>
        </is>
      </c>
      <c r="E2403" s="8" t="n">
        <v>45918.3375</v>
      </c>
      <c r="F2403" s="7" t="inlineStr">
        <is>
          <t>DOWNLINE</t>
        </is>
      </c>
      <c r="G2403" s="18" t="inlineStr">
        <is>
          <t>OP00049</t>
        </is>
      </c>
      <c r="H2403" s="19">
        <f>UPPER(Table3[[#This Row],[Agen id]]&amp;"-"&amp;VLOOKUP(Table3[[#This Row],[Agen id]],A:B,2,0)&amp;"("&amp;Table3[[#This Row],[Short]]&amp;")")</f>
        <v/>
      </c>
      <c r="J2403" s="7">
        <f>VLOOKUP(Table3[[#This Row],[Agen id]],Agen!A:C,3,0)</f>
        <v/>
      </c>
      <c r="K2403" s="37">
        <f>TRIM(LEFT(Table3[[#This Row],[Group]],2))</f>
        <v/>
      </c>
      <c r="L2403" s="3" t="inlineStr">
        <is>
          <t>NON SALES</t>
        </is>
      </c>
    </row>
    <row r="2404">
      <c r="A2404" s="5" t="inlineStr">
        <is>
          <t>OP19216</t>
        </is>
      </c>
      <c r="B2404" s="6" t="inlineStr">
        <is>
          <t>adam</t>
        </is>
      </c>
      <c r="C2404" s="7" t="inlineStr">
        <is>
          <t>AV - Agen Verified</t>
        </is>
      </c>
      <c r="D2404" s="1" t="inlineStr">
        <is>
          <t>OP00003</t>
        </is>
      </c>
      <c r="E2404" s="8" t="n">
        <v>45918.59513888889</v>
      </c>
      <c r="F2404" s="7" t="inlineStr">
        <is>
          <t>AGEN</t>
        </is>
      </c>
      <c r="G2404" s="7" t="inlineStr">
        <is>
          <t>OP19216</t>
        </is>
      </c>
      <c r="H2404" s="19">
        <f>UPPER(Table3[[#This Row],[Agen id]]&amp;"-"&amp;VLOOKUP(Table3[[#This Row],[Agen id]],A:B,2,0)&amp;"("&amp;Table3[[#This Row],[Short]]&amp;")")</f>
        <v/>
      </c>
      <c r="J2404" s="7">
        <f>VLOOKUP(Table3[[#This Row],[Agen id]],Agen!A:C,3,0)</f>
        <v/>
      </c>
      <c r="K2404" s="37">
        <f>TRIM(LEFT(Table3[[#This Row],[Group]],2))</f>
        <v/>
      </c>
      <c r="L2404" s="3" t="inlineStr">
        <is>
          <t>NON SALES</t>
        </is>
      </c>
    </row>
    <row r="2405">
      <c r="A2405" s="5" t="inlineStr">
        <is>
          <t>OP19226</t>
        </is>
      </c>
      <c r="B2405" s="6" t="inlineStr">
        <is>
          <t>24CELLULAR 6</t>
        </is>
      </c>
      <c r="C2405" s="7" t="inlineStr">
        <is>
          <t>MK - Marketing</t>
        </is>
      </c>
      <c r="D2405" s="1" t="inlineStr">
        <is>
          <t>OP07489</t>
        </is>
      </c>
      <c r="E2405" s="8" t="n">
        <v>45918.90694444445</v>
      </c>
      <c r="F2405" s="7" t="inlineStr">
        <is>
          <t>DOWNLINE</t>
        </is>
      </c>
      <c r="G2405" s="18" t="inlineStr">
        <is>
          <t>OP07489</t>
        </is>
      </c>
      <c r="H2405" s="19">
        <f>UPPER(Table3[[#This Row],[Agen id]]&amp;"-"&amp;VLOOKUP(Table3[[#This Row],[Agen id]],A:B,2,0)&amp;"("&amp;Table3[[#This Row],[Short]]&amp;")")</f>
        <v/>
      </c>
      <c r="J2405" s="7">
        <f>VLOOKUP(Table3[[#This Row],[Agen id]],Agen!A:C,3,0)</f>
        <v/>
      </c>
      <c r="K2405" s="37">
        <f>TRIM(LEFT(Table3[[#This Row],[Group]],2))</f>
        <v/>
      </c>
      <c r="L2405" s="3" t="inlineStr">
        <is>
          <t>NON SALES</t>
        </is>
      </c>
    </row>
    <row r="2406">
      <c r="A2406" s="5" t="inlineStr">
        <is>
          <t>OP19228</t>
        </is>
      </c>
      <c r="B2406" s="6" t="inlineStr">
        <is>
          <t>Daniacell</t>
        </is>
      </c>
      <c r="C2406" s="7" t="inlineStr">
        <is>
          <t>MK - Marketing</t>
        </is>
      </c>
      <c r="D2406" s="1" t="inlineStr">
        <is>
          <t>OP07489</t>
        </is>
      </c>
      <c r="E2406" s="8" t="n">
        <v>45919.4375</v>
      </c>
      <c r="F2406" s="7" t="inlineStr">
        <is>
          <t>DOWNLINE</t>
        </is>
      </c>
      <c r="G2406" s="18" t="inlineStr">
        <is>
          <t>OP07489</t>
        </is>
      </c>
      <c r="H2406" s="19">
        <f>UPPER(Table3[[#This Row],[Agen id]]&amp;"-"&amp;VLOOKUP(Table3[[#This Row],[Agen id]],A:B,2,0)&amp;"("&amp;Table3[[#This Row],[Short]]&amp;")")</f>
        <v/>
      </c>
      <c r="J2406" s="7">
        <f>VLOOKUP(Table3[[#This Row],[Agen id]],Agen!A:C,3,0)</f>
        <v/>
      </c>
      <c r="K2406" s="37">
        <f>TRIM(LEFT(Table3[[#This Row],[Group]],2))</f>
        <v/>
      </c>
      <c r="L2406" s="3" t="inlineStr">
        <is>
          <t>NON SALES</t>
        </is>
      </c>
    </row>
    <row r="2407">
      <c r="A2407" s="5" t="inlineStr">
        <is>
          <t>OP19261</t>
        </is>
      </c>
      <c r="B2407" s="6" t="inlineStr">
        <is>
          <t>471 Cell</t>
        </is>
      </c>
      <c r="C2407" s="7" t="inlineStr">
        <is>
          <t>A - Agen</t>
        </is>
      </c>
      <c r="D2407" s="1" t="inlineStr">
        <is>
          <t>OP00002</t>
        </is>
      </c>
      <c r="E2407" s="8" t="n">
        <v>45921.46805555555</v>
      </c>
      <c r="F2407" s="7" t="inlineStr">
        <is>
          <t>AGEN</t>
        </is>
      </c>
      <c r="G2407" s="18" t="inlineStr">
        <is>
          <t>OP19261</t>
        </is>
      </c>
      <c r="H2407" s="19">
        <f>UPPER(Table3[[#This Row],[Agen id]]&amp;"-"&amp;VLOOKUP(Table3[[#This Row],[Agen id]],A:B,2,0)&amp;"("&amp;Table3[[#This Row],[Short]]&amp;")")</f>
        <v/>
      </c>
      <c r="J2407" s="7">
        <f>VLOOKUP(Table3[[#This Row],[Agen id]],Agen!A:C,3,0)</f>
        <v/>
      </c>
      <c r="K2407" s="37">
        <f>TRIM(LEFT(Table3[[#This Row],[Group]],2))</f>
        <v/>
      </c>
      <c r="L2407" s="3" t="inlineStr">
        <is>
          <t>NON SALES</t>
        </is>
      </c>
    </row>
    <row r="2408">
      <c r="A2408" s="5" t="inlineStr">
        <is>
          <t>OP19268</t>
        </is>
      </c>
      <c r="B2408" s="6" t="inlineStr">
        <is>
          <t>TOKO IMAM</t>
        </is>
      </c>
      <c r="C2408" s="7" t="inlineStr">
        <is>
          <t>A - Agen</t>
        </is>
      </c>
      <c r="D2408" s="1" t="inlineStr">
        <is>
          <t>OP00002</t>
        </is>
      </c>
      <c r="E2408" s="8" t="n">
        <v>45921.78819444445</v>
      </c>
      <c r="F2408" s="7" t="inlineStr">
        <is>
          <t>AGEN</t>
        </is>
      </c>
      <c r="G2408" s="7" t="inlineStr">
        <is>
          <t>OP19268</t>
        </is>
      </c>
      <c r="H2408" s="19">
        <f>UPPER(Table3[[#This Row],[Agen id]]&amp;"-"&amp;VLOOKUP(Table3[[#This Row],[Agen id]],A:B,2,0)&amp;"("&amp;Table3[[#This Row],[Short]]&amp;")")</f>
        <v/>
      </c>
      <c r="J2408" s="7">
        <f>VLOOKUP(Table3[[#This Row],[Agen id]],Agen!A:C,3,0)</f>
        <v/>
      </c>
      <c r="K2408" s="37">
        <f>TRIM(LEFT(Table3[[#This Row],[Group]],2))</f>
        <v/>
      </c>
      <c r="L2408" s="3" t="inlineStr">
        <is>
          <t>NON SALES</t>
        </is>
      </c>
    </row>
    <row r="2409">
      <c r="A2409" s="5" t="inlineStr">
        <is>
          <t>OP19282</t>
        </is>
      </c>
      <c r="B2409" s="6" t="inlineStr">
        <is>
          <t>Andika</t>
        </is>
      </c>
      <c r="C2409" s="7" t="inlineStr">
        <is>
          <t>AV - Agen Verified</t>
        </is>
      </c>
      <c r="D2409" s="1" t="inlineStr">
        <is>
          <t>OP03783</t>
        </is>
      </c>
      <c r="E2409" s="8" t="n">
        <v>45922.30625</v>
      </c>
      <c r="F2409" s="7" t="inlineStr">
        <is>
          <t>DOWNLINE</t>
        </is>
      </c>
      <c r="G2409" s="18" t="inlineStr">
        <is>
          <t>OP03699</t>
        </is>
      </c>
      <c r="H2409" s="19">
        <f>UPPER(Table3[[#This Row],[Agen id]]&amp;"-"&amp;VLOOKUP(Table3[[#This Row],[Agen id]],A:B,2,0)&amp;"("&amp;Table3[[#This Row],[Short]]&amp;")")</f>
        <v/>
      </c>
      <c r="J2409" s="7">
        <f>VLOOKUP(Table3[[#This Row],[Agen id]],Agen!A:C,3,0)</f>
        <v/>
      </c>
      <c r="K2409" s="37">
        <f>TRIM(LEFT(Table3[[#This Row],[Group]],2))</f>
        <v/>
      </c>
      <c r="L2409" s="3" t="inlineStr">
        <is>
          <t>NON SALES</t>
        </is>
      </c>
    </row>
    <row r="2410">
      <c r="A2410" s="5" t="inlineStr">
        <is>
          <t>OP19341</t>
        </is>
      </c>
      <c r="B2410" s="6" t="inlineStr">
        <is>
          <t>Ken Palma</t>
        </is>
      </c>
      <c r="C2410" s="7" t="inlineStr">
        <is>
          <t>AV - Agen Verified</t>
        </is>
      </c>
      <c r="D2410" s="1" t="inlineStr">
        <is>
          <t>OP00002</t>
        </is>
      </c>
      <c r="E2410" s="8" t="n">
        <v>45925.88680555556</v>
      </c>
      <c r="F2410" s="7" t="inlineStr">
        <is>
          <t>AGEN</t>
        </is>
      </c>
      <c r="G2410" s="18" t="inlineStr">
        <is>
          <t>OP19341</t>
        </is>
      </c>
      <c r="H2410" s="19">
        <f>UPPER(Table3[[#This Row],[Agen id]]&amp;"-"&amp;VLOOKUP(Table3[[#This Row],[Agen id]],A:B,2,0)&amp;"("&amp;Table3[[#This Row],[Short]]&amp;")")</f>
        <v/>
      </c>
      <c r="J2410" s="7">
        <f>VLOOKUP(Table3[[#This Row],[Agen id]],Agen!A:C,3,0)</f>
        <v/>
      </c>
      <c r="K2410" s="37">
        <f>TRIM(LEFT(Table3[[#This Row],[Group]],2))</f>
        <v/>
      </c>
      <c r="L2410" s="3" t="inlineStr">
        <is>
          <t>NON SALES</t>
        </is>
      </c>
    </row>
    <row r="2411">
      <c r="A2411" s="5" t="inlineStr">
        <is>
          <t>OP19365</t>
        </is>
      </c>
      <c r="B2411" s="6" t="inlineStr">
        <is>
          <t>Rizak</t>
        </is>
      </c>
      <c r="C2411" s="7" t="inlineStr">
        <is>
          <t>A - Agen</t>
        </is>
      </c>
      <c r="D2411" s="1" t="inlineStr">
        <is>
          <t>OP00002</t>
        </is>
      </c>
      <c r="E2411" s="8" t="n">
        <v>45928.08055555556</v>
      </c>
      <c r="F2411" s="7" t="inlineStr">
        <is>
          <t>AGEN</t>
        </is>
      </c>
      <c r="G2411" s="7" t="inlineStr">
        <is>
          <t>OP19365</t>
        </is>
      </c>
      <c r="H2411" s="19">
        <f>UPPER(Table3[[#This Row],[Agen id]]&amp;"-"&amp;VLOOKUP(Table3[[#This Row],[Agen id]],A:B,2,0)&amp;"("&amp;Table3[[#This Row],[Short]]&amp;")")</f>
        <v/>
      </c>
      <c r="J2411" s="7">
        <f>VLOOKUP(Table3[[#This Row],[Agen id]],Agen!A:C,3,0)</f>
        <v/>
      </c>
      <c r="K2411" s="37">
        <f>TRIM(LEFT(Table3[[#This Row],[Group]],2))</f>
        <v/>
      </c>
      <c r="L2411" s="3" t="inlineStr">
        <is>
          <t>NON SALES</t>
        </is>
      </c>
    </row>
    <row r="2412">
      <c r="A2412" s="5" t="inlineStr">
        <is>
          <t>OP19404</t>
        </is>
      </c>
      <c r="B2412" s="6" t="inlineStr">
        <is>
          <t>BONO CELL</t>
        </is>
      </c>
      <c r="C2412" s="7" t="inlineStr">
        <is>
          <t>AV - Agen Verified</t>
        </is>
      </c>
      <c r="D2412" s="1" t="inlineStr">
        <is>
          <t>OP00002</t>
        </is>
      </c>
      <c r="E2412" s="8" t="n">
        <v>45930.55972222222</v>
      </c>
      <c r="F2412" s="7" t="inlineStr">
        <is>
          <t>AGEN</t>
        </is>
      </c>
      <c r="G2412" s="18" t="inlineStr">
        <is>
          <t>OP19404</t>
        </is>
      </c>
      <c r="H2412" s="19">
        <f>UPPER(Table3[[#This Row],[Agen id]]&amp;"-"&amp;VLOOKUP(Table3[[#This Row],[Agen id]],A:B,2,0)&amp;"("&amp;Table3[[#This Row],[Short]]&amp;")")</f>
        <v/>
      </c>
      <c r="J2412" s="7">
        <f>VLOOKUP(Table3[[#This Row],[Agen id]],Agen!A:C,3,0)</f>
        <v/>
      </c>
      <c r="K2412" s="37">
        <f>TRIM(LEFT(Table3[[#This Row],[Group]],2))</f>
        <v/>
      </c>
      <c r="L2412" s="3" t="inlineStr">
        <is>
          <t>NON SALES</t>
        </is>
      </c>
    </row>
    <row r="2413">
      <c r="A2413" s="5" t="inlineStr">
        <is>
          <t>OP19417</t>
        </is>
      </c>
      <c r="B2413" s="6" t="inlineStr">
        <is>
          <t>Adira</t>
        </is>
      </c>
      <c r="C2413" s="7" t="inlineStr">
        <is>
          <t>A - Agen</t>
        </is>
      </c>
      <c r="D2413" s="1" t="inlineStr">
        <is>
          <t>OP00002</t>
        </is>
      </c>
      <c r="E2413" s="8" t="n">
        <v>45931.37013888889</v>
      </c>
      <c r="F2413" s="7" t="inlineStr">
        <is>
          <t>AGEN</t>
        </is>
      </c>
      <c r="G2413" s="18" t="inlineStr">
        <is>
          <t>OP19417</t>
        </is>
      </c>
      <c r="H2413" s="19">
        <f>UPPER(Table3[[#This Row],[Agen id]]&amp;"-"&amp;VLOOKUP(Table3[[#This Row],[Agen id]],A:B,2,0)&amp;"("&amp;Table3[[#This Row],[Short]]&amp;")")</f>
        <v/>
      </c>
      <c r="J2413" s="7">
        <f>VLOOKUP(Table3[[#This Row],[Agen id]],Agen!A:C,3,0)</f>
        <v/>
      </c>
      <c r="K2413" s="37">
        <f>TRIM(LEFT(Table3[[#This Row],[Group]],2))</f>
        <v/>
      </c>
      <c r="L2413" s="3" t="inlineStr">
        <is>
          <t>NON SALES</t>
        </is>
      </c>
    </row>
    <row r="2414">
      <c r="A2414" s="5" t="inlineStr">
        <is>
          <t>OP19442</t>
        </is>
      </c>
      <c r="B2414" s="6" t="inlineStr">
        <is>
          <t>Wati S Pelang</t>
        </is>
      </c>
      <c r="C2414" s="7" t="inlineStr">
        <is>
          <t>A - Agen</t>
        </is>
      </c>
      <c r="D2414" s="1" t="inlineStr">
        <is>
          <t>OP00002</t>
        </is>
      </c>
      <c r="E2414" s="8" t="n">
        <v>45932.92986111111</v>
      </c>
      <c r="F2414" s="7" t="inlineStr">
        <is>
          <t>AGEN</t>
        </is>
      </c>
      <c r="G2414" s="18" t="inlineStr">
        <is>
          <t>OP19442</t>
        </is>
      </c>
      <c r="H2414" s="19">
        <f>UPPER(Table3[[#This Row],[Agen id]]&amp;"-"&amp;VLOOKUP(Table3[[#This Row],[Agen id]],A:B,2,0)&amp;"("&amp;Table3[[#This Row],[Short]]&amp;")")</f>
        <v/>
      </c>
      <c r="J2414" s="7">
        <f>VLOOKUP(Table3[[#This Row],[Agen id]],Agen!A:C,3,0)</f>
        <v/>
      </c>
      <c r="K2414" s="37">
        <f>TRIM(LEFT(Table3[[#This Row],[Group]],2))</f>
        <v/>
      </c>
      <c r="L2414" s="3" t="inlineStr">
        <is>
          <t>NON SALES</t>
        </is>
      </c>
    </row>
    <row r="2415">
      <c r="A2415" s="5" t="inlineStr">
        <is>
          <t>OP19459</t>
        </is>
      </c>
      <c r="B2415" s="6" t="inlineStr">
        <is>
          <t>Hadi Wijaya</t>
        </is>
      </c>
      <c r="C2415" s="7" t="inlineStr">
        <is>
          <t>A - Agen</t>
        </is>
      </c>
      <c r="D2415" s="1" t="inlineStr">
        <is>
          <t>OP00002</t>
        </is>
      </c>
      <c r="E2415" s="8" t="n">
        <v>45934.41111111111</v>
      </c>
      <c r="F2415" s="7" t="inlineStr">
        <is>
          <t>AGEN</t>
        </is>
      </c>
      <c r="G2415" s="18" t="inlineStr">
        <is>
          <t>OP19459</t>
        </is>
      </c>
      <c r="H2415" s="19">
        <f>UPPER(Table3[[#This Row],[Agen id]]&amp;"-"&amp;VLOOKUP(Table3[[#This Row],[Agen id]],A:B,2,0)&amp;"("&amp;Table3[[#This Row],[Short]]&amp;")")</f>
        <v/>
      </c>
      <c r="J2415" s="7">
        <f>VLOOKUP(Table3[[#This Row],[Agen id]],Agen!A:C,3,0)</f>
        <v/>
      </c>
      <c r="K2415" s="37">
        <f>TRIM(LEFT(Table3[[#This Row],[Group]],2))</f>
        <v/>
      </c>
      <c r="L2415" s="3" t="inlineStr">
        <is>
          <t>NON SALES</t>
        </is>
      </c>
    </row>
    <row r="2416">
      <c r="A2416" s="5" t="inlineStr">
        <is>
          <t>OP19513</t>
        </is>
      </c>
      <c r="B2416" s="6" t="inlineStr">
        <is>
          <t>bintangg21</t>
        </is>
      </c>
      <c r="C2416" s="7" t="inlineStr">
        <is>
          <t>A - Agen</t>
        </is>
      </c>
      <c r="D2416" s="1" t="inlineStr">
        <is>
          <t>OP00002</t>
        </is>
      </c>
      <c r="E2416" s="8" t="n">
        <v>45938.38055555556</v>
      </c>
      <c r="F2416" s="7" t="inlineStr">
        <is>
          <t>AGEN</t>
        </is>
      </c>
      <c r="G2416" s="7" t="inlineStr">
        <is>
          <t>OP19513</t>
        </is>
      </c>
      <c r="H2416" s="19">
        <f>UPPER(Table3[[#This Row],[Agen id]]&amp;"-"&amp;VLOOKUP(Table3[[#This Row],[Agen id]],A:B,2,0)&amp;"("&amp;Table3[[#This Row],[Short]]&amp;")")</f>
        <v/>
      </c>
      <c r="J2416" s="7">
        <f>VLOOKUP(Table3[[#This Row],[Agen id]],Agen!A:C,3,0)</f>
        <v/>
      </c>
      <c r="K2416" s="37">
        <f>TRIM(LEFT(Table3[[#This Row],[Group]],2))</f>
        <v/>
      </c>
      <c r="L2416" s="3" t="inlineStr">
        <is>
          <t>NON SALES</t>
        </is>
      </c>
    </row>
    <row r="2417">
      <c r="A2417" s="5" t="inlineStr">
        <is>
          <t>OP19530</t>
        </is>
      </c>
      <c r="B2417" s="6" t="inlineStr">
        <is>
          <t>Wati Pelang</t>
        </is>
      </c>
      <c r="C2417" s="7" t="inlineStr">
        <is>
          <t>AV - Agen Verified</t>
        </is>
      </c>
      <c r="D2417" s="1" t="inlineStr">
        <is>
          <t>OP00002</t>
        </is>
      </c>
      <c r="E2417" s="8" t="n">
        <v>45939.41111111111</v>
      </c>
      <c r="F2417" s="7" t="inlineStr">
        <is>
          <t>AGEN</t>
        </is>
      </c>
      <c r="G2417" s="18" t="inlineStr">
        <is>
          <t>OP19530</t>
        </is>
      </c>
      <c r="H2417" s="19">
        <f>UPPER(Table3[[#This Row],[Agen id]]&amp;"-"&amp;VLOOKUP(Table3[[#This Row],[Agen id]],A:B,2,0)&amp;"("&amp;Table3[[#This Row],[Short]]&amp;")")</f>
        <v/>
      </c>
      <c r="J2417" s="7">
        <f>VLOOKUP(Table3[[#This Row],[Agen id]],Agen!A:C,3,0)</f>
        <v/>
      </c>
      <c r="K2417" s="37">
        <f>TRIM(LEFT(Table3[[#This Row],[Group]],2))</f>
        <v/>
      </c>
      <c r="L2417" s="3" t="inlineStr">
        <is>
          <t>NON SALES</t>
        </is>
      </c>
    </row>
    <row r="2418">
      <c r="A2418" s="5" t="inlineStr">
        <is>
          <t>OP19537</t>
        </is>
      </c>
      <c r="B2418" s="6" t="inlineStr">
        <is>
          <t>Jumiati</t>
        </is>
      </c>
      <c r="C2418" s="7" t="inlineStr">
        <is>
          <t>A - Agen</t>
        </is>
      </c>
      <c r="D2418" s="1" t="inlineStr">
        <is>
          <t>OP00002</t>
        </is>
      </c>
      <c r="E2418" s="8" t="n">
        <v>45940.39861111111</v>
      </c>
      <c r="F2418" s="7" t="inlineStr">
        <is>
          <t>AGEN</t>
        </is>
      </c>
      <c r="G2418" s="18" t="inlineStr">
        <is>
          <t>OP19537</t>
        </is>
      </c>
      <c r="H2418" s="19">
        <f>UPPER(Table3[[#This Row],[Agen id]]&amp;"-"&amp;VLOOKUP(Table3[[#This Row],[Agen id]],A:B,2,0)&amp;"("&amp;Table3[[#This Row],[Short]]&amp;")")</f>
        <v/>
      </c>
      <c r="J2418" s="7">
        <f>VLOOKUP(Table3[[#This Row],[Agen id]],Agen!A:C,3,0)</f>
        <v/>
      </c>
      <c r="K2418" s="37">
        <f>TRIM(LEFT(Table3[[#This Row],[Group]],2))</f>
        <v/>
      </c>
      <c r="L2418" s="3" t="inlineStr">
        <is>
          <t>NON SALES</t>
        </is>
      </c>
    </row>
    <row r="2419">
      <c r="A2419" s="5" t="inlineStr">
        <is>
          <t>OP19565</t>
        </is>
      </c>
      <c r="B2419" s="6" t="inlineStr">
        <is>
          <t>EVI</t>
        </is>
      </c>
      <c r="C2419" s="7" t="inlineStr">
        <is>
          <t>A - Agen</t>
        </is>
      </c>
      <c r="D2419" s="1" t="inlineStr">
        <is>
          <t>OP14366</t>
        </is>
      </c>
      <c r="E2419" s="8" t="n">
        <v>45942.78819444445</v>
      </c>
      <c r="F2419" s="7" t="inlineStr">
        <is>
          <t>DOWNLINE</t>
        </is>
      </c>
      <c r="G2419" s="18" t="inlineStr">
        <is>
          <t>OP00431</t>
        </is>
      </c>
      <c r="H2419" s="19">
        <f>UPPER(Table3[[#This Row],[Agen id]]&amp;"-"&amp;VLOOKUP(Table3[[#This Row],[Agen id]],A:B,2,0)&amp;"("&amp;Table3[[#This Row],[Short]]&amp;")")</f>
        <v/>
      </c>
      <c r="J2419" s="7">
        <f>VLOOKUP(Table3[[#This Row],[Agen id]],Agen!A:C,3,0)</f>
        <v/>
      </c>
      <c r="K2419" s="37">
        <f>TRIM(LEFT(Table3[[#This Row],[Group]],2))</f>
        <v/>
      </c>
      <c r="L2419" s="3" t="inlineStr">
        <is>
          <t>NON SALES</t>
        </is>
      </c>
    </row>
    <row r="2420">
      <c r="A2420" s="5" t="inlineStr">
        <is>
          <t>OP19578</t>
        </is>
      </c>
      <c r="B2420" s="6" t="inlineStr">
        <is>
          <t>Devita Arum</t>
        </is>
      </c>
      <c r="C2420" s="7" t="inlineStr">
        <is>
          <t>A - Agen</t>
        </is>
      </c>
      <c r="D2420" s="1" t="inlineStr">
        <is>
          <t>OP13281</t>
        </is>
      </c>
      <c r="E2420" s="8" t="n">
        <v>45943.98541666667</v>
      </c>
      <c r="F2420" s="7" t="inlineStr">
        <is>
          <t>DOWNLINE</t>
        </is>
      </c>
      <c r="G2420" s="18" t="inlineStr">
        <is>
          <t>OP13281</t>
        </is>
      </c>
      <c r="H2420" s="19">
        <f>UPPER(Table3[[#This Row],[Agen id]]&amp;"-"&amp;VLOOKUP(Table3[[#This Row],[Agen id]],A:B,2,0)&amp;"("&amp;Table3[[#This Row],[Short]]&amp;")")</f>
        <v/>
      </c>
      <c r="J2420" s="7">
        <f>VLOOKUP(Table3[[#This Row],[Agen id]],Agen!A:C,3,0)</f>
        <v/>
      </c>
      <c r="K2420" s="37">
        <f>TRIM(LEFT(Table3[[#This Row],[Group]],2))</f>
        <v/>
      </c>
      <c r="L2420" s="3" t="inlineStr">
        <is>
          <t>NON SALES</t>
        </is>
      </c>
    </row>
    <row r="2421">
      <c r="A2421" s="5" t="inlineStr">
        <is>
          <t>OP19587</t>
        </is>
      </c>
      <c r="B2421" s="6" t="inlineStr">
        <is>
          <t>vanen cell</t>
        </is>
      </c>
      <c r="C2421" s="7" t="inlineStr">
        <is>
          <t>AV - Agen Verified</t>
        </is>
      </c>
      <c r="D2421" s="1" t="inlineStr">
        <is>
          <t>OP00002</t>
        </is>
      </c>
      <c r="E2421" s="8" t="n">
        <v>45944.59305555555</v>
      </c>
      <c r="F2421" s="7" t="inlineStr">
        <is>
          <t>AGEN</t>
        </is>
      </c>
      <c r="G2421" s="18" t="inlineStr">
        <is>
          <t>OP19587</t>
        </is>
      </c>
      <c r="H2421" s="19">
        <f>UPPER(Table3[[#This Row],[Agen id]]&amp;"-"&amp;VLOOKUP(Table3[[#This Row],[Agen id]],A:B,2,0)&amp;"("&amp;Table3[[#This Row],[Short]]&amp;")")</f>
        <v/>
      </c>
      <c r="J2421" s="7">
        <f>VLOOKUP(Table3[[#This Row],[Agen id]],Agen!A:C,3,0)</f>
        <v/>
      </c>
      <c r="K2421" s="37">
        <f>TRIM(LEFT(Table3[[#This Row],[Group]],2))</f>
        <v/>
      </c>
      <c r="L2421" s="3" t="inlineStr">
        <is>
          <t>NON SALES</t>
        </is>
      </c>
    </row>
    <row r="2422">
      <c r="A2422" s="5" t="inlineStr">
        <is>
          <t>OP19637</t>
        </is>
      </c>
      <c r="B2422" s="6" t="inlineStr">
        <is>
          <t>Rantel Cell</t>
        </is>
      </c>
      <c r="C2422" s="7" t="inlineStr">
        <is>
          <t>AV - Agen Verified</t>
        </is>
      </c>
      <c r="D2422" s="1" t="inlineStr">
        <is>
          <t>OP00002</t>
        </is>
      </c>
      <c r="E2422" s="8" t="n">
        <v>45948.61388888889</v>
      </c>
      <c r="F2422" s="7" t="inlineStr">
        <is>
          <t>AGEN</t>
        </is>
      </c>
      <c r="G2422" s="18" t="inlineStr">
        <is>
          <t>OP19637</t>
        </is>
      </c>
      <c r="H2422" s="19">
        <f>UPPER(Table3[[#This Row],[Agen id]]&amp;"-"&amp;VLOOKUP(Table3[[#This Row],[Agen id]],A:B,2,0)&amp;"("&amp;Table3[[#This Row],[Short]]&amp;")")</f>
        <v/>
      </c>
      <c r="J2422" s="7">
        <f>VLOOKUP(Table3[[#This Row],[Agen id]],Agen!A:C,3,0)</f>
        <v/>
      </c>
      <c r="K2422" s="37">
        <f>TRIM(LEFT(Table3[[#This Row],[Group]],2))</f>
        <v/>
      </c>
      <c r="L2422" s="3" t="inlineStr">
        <is>
          <t>NON SALES</t>
        </is>
      </c>
    </row>
    <row r="2423">
      <c r="A2423" s="5" t="inlineStr">
        <is>
          <t>OP19640</t>
        </is>
      </c>
      <c r="B2423" s="6" t="inlineStr">
        <is>
          <t>P. Dimas</t>
        </is>
      </c>
      <c r="C2423" s="7" t="inlineStr">
        <is>
          <t>AV - Agen Verified</t>
        </is>
      </c>
      <c r="D2423" s="1" t="inlineStr">
        <is>
          <t>OP00002</t>
        </is>
      </c>
      <c r="E2423" s="8" t="n">
        <v>45949.33472222222</v>
      </c>
      <c r="F2423" s="7" t="inlineStr">
        <is>
          <t>AGEN</t>
        </is>
      </c>
      <c r="G2423" s="18" t="inlineStr">
        <is>
          <t>OP19640</t>
        </is>
      </c>
      <c r="H2423" s="19">
        <f>UPPER(Table3[[#This Row],[Agen id]]&amp;"-"&amp;VLOOKUP(Table3[[#This Row],[Agen id]],A:B,2,0)&amp;"("&amp;Table3[[#This Row],[Short]]&amp;")")</f>
        <v/>
      </c>
      <c r="J2423" s="7">
        <f>VLOOKUP(Table3[[#This Row],[Agen id]],Agen!A:C,3,0)</f>
        <v/>
      </c>
      <c r="K2423" s="37">
        <f>TRIM(LEFT(Table3[[#This Row],[Group]],2))</f>
        <v/>
      </c>
      <c r="L2423" s="3" t="inlineStr">
        <is>
          <t>NON SALES</t>
        </is>
      </c>
    </row>
    <row r="2424">
      <c r="A2424" s="5" t="inlineStr">
        <is>
          <t>OP19660</t>
        </is>
      </c>
      <c r="B2424" s="6" t="inlineStr">
        <is>
          <t>Malik Adin</t>
        </is>
      </c>
      <c r="C2424" s="7" t="inlineStr">
        <is>
          <t>A - Agen</t>
        </is>
      </c>
      <c r="D2424" s="1" t="inlineStr">
        <is>
          <t>OP00002</t>
        </is>
      </c>
      <c r="E2424" s="8" t="n">
        <v>45952.78611111111</v>
      </c>
      <c r="F2424" s="7" t="inlineStr">
        <is>
          <t>AGEN</t>
        </is>
      </c>
      <c r="G2424" s="18" t="inlineStr">
        <is>
          <t>OP19660</t>
        </is>
      </c>
      <c r="H2424" s="19">
        <f>UPPER(Table3[[#This Row],[Agen id]]&amp;"-"&amp;VLOOKUP(Table3[[#This Row],[Agen id]],A:B,2,0)&amp;"("&amp;Table3[[#This Row],[Short]]&amp;")")</f>
        <v/>
      </c>
      <c r="J2424" s="7">
        <f>VLOOKUP(Table3[[#This Row],[Agen id]],Agen!A:C,3,0)</f>
        <v/>
      </c>
      <c r="K2424" s="37">
        <f>TRIM(LEFT(Table3[[#This Row],[Group]],2))</f>
        <v/>
      </c>
      <c r="L2424" s="3" t="inlineStr">
        <is>
          <t>NON SALES</t>
        </is>
      </c>
    </row>
    <row r="2425">
      <c r="A2425" s="5" t="inlineStr">
        <is>
          <t>OP19674</t>
        </is>
      </c>
      <c r="B2425" s="6" t="inlineStr">
        <is>
          <t>SANDI</t>
        </is>
      </c>
      <c r="C2425" s="7" t="inlineStr">
        <is>
          <t>A - Agen</t>
        </is>
      </c>
      <c r="D2425" s="1" t="inlineStr">
        <is>
          <t>OP00002</t>
        </is>
      </c>
      <c r="E2425" s="8" t="n">
        <v>45954.49027777778</v>
      </c>
      <c r="F2425" s="7" t="inlineStr">
        <is>
          <t>AGEN</t>
        </is>
      </c>
      <c r="G2425" s="18" t="inlineStr">
        <is>
          <t>OP19674</t>
        </is>
      </c>
      <c r="H2425" s="19">
        <f>UPPER(Table3[[#This Row],[Agen id]]&amp;"-"&amp;VLOOKUP(Table3[[#This Row],[Agen id]],A:B,2,0)&amp;"("&amp;Table3[[#This Row],[Short]]&amp;")")</f>
        <v/>
      </c>
      <c r="J2425" s="7">
        <f>VLOOKUP(Table3[[#This Row],[Agen id]],Agen!A:C,3,0)</f>
        <v/>
      </c>
      <c r="K2425" s="37">
        <f>TRIM(LEFT(Table3[[#This Row],[Group]],2))</f>
        <v/>
      </c>
      <c r="L2425" s="3" t="inlineStr">
        <is>
          <t>NON SALES</t>
        </is>
      </c>
    </row>
    <row r="2426">
      <c r="A2426" s="5" t="inlineStr">
        <is>
          <t>OP19675</t>
        </is>
      </c>
      <c r="B2426" s="6" t="inlineStr">
        <is>
          <t>DEDI</t>
        </is>
      </c>
      <c r="C2426" s="7" t="inlineStr">
        <is>
          <t>A - Agen</t>
        </is>
      </c>
      <c r="D2426" s="1" t="inlineStr">
        <is>
          <t>OP00002</t>
        </is>
      </c>
      <c r="E2426" s="8" t="n">
        <v>45954.57222222222</v>
      </c>
      <c r="F2426" s="7" t="inlineStr">
        <is>
          <t>AGEN</t>
        </is>
      </c>
      <c r="G2426" s="18" t="inlineStr">
        <is>
          <t>OP19675</t>
        </is>
      </c>
      <c r="H2426" s="19">
        <f>UPPER(Table3[[#This Row],[Agen id]]&amp;"-"&amp;VLOOKUP(Table3[[#This Row],[Agen id]],A:B,2,0)&amp;"("&amp;Table3[[#This Row],[Short]]&amp;")")</f>
        <v/>
      </c>
      <c r="J2426" s="7">
        <f>VLOOKUP(Table3[[#This Row],[Agen id]],Agen!A:C,3,0)</f>
        <v/>
      </c>
      <c r="K2426" s="37">
        <f>TRIM(LEFT(Table3[[#This Row],[Group]],2))</f>
        <v/>
      </c>
      <c r="L2426" s="3" t="inlineStr">
        <is>
          <t>NON SALES</t>
        </is>
      </c>
    </row>
    <row r="2427">
      <c r="A2427" s="5" t="inlineStr">
        <is>
          <t>OP19677</t>
        </is>
      </c>
      <c r="B2427" s="6" t="inlineStr">
        <is>
          <t>Asraf120</t>
        </is>
      </c>
      <c r="C2427" s="7" t="inlineStr">
        <is>
          <t>AV - Agen Verified</t>
        </is>
      </c>
      <c r="D2427" s="1" t="inlineStr">
        <is>
          <t>OP00002</t>
        </is>
      </c>
      <c r="E2427" s="8" t="n">
        <v>45954.69097222222</v>
      </c>
      <c r="F2427" s="7" t="inlineStr">
        <is>
          <t>AGEN</t>
        </is>
      </c>
      <c r="G2427" s="18" t="inlineStr">
        <is>
          <t>OP19677</t>
        </is>
      </c>
      <c r="H2427" s="19">
        <f>UPPER(Table3[[#This Row],[Agen id]]&amp;"-"&amp;VLOOKUP(Table3[[#This Row],[Agen id]],A:B,2,0)&amp;"("&amp;Table3[[#This Row],[Short]]&amp;")")</f>
        <v/>
      </c>
      <c r="J2427" s="7">
        <f>VLOOKUP(Table3[[#This Row],[Agen id]],Agen!A:C,3,0)</f>
        <v/>
      </c>
      <c r="K2427" s="37">
        <f>TRIM(LEFT(Table3[[#This Row],[Group]],2))</f>
        <v/>
      </c>
      <c r="L2427" s="3" t="inlineStr">
        <is>
          <t>NON SALES</t>
        </is>
      </c>
    </row>
    <row r="2428">
      <c r="A2428" s="5" t="inlineStr">
        <is>
          <t>OP19687</t>
        </is>
      </c>
      <c r="B2428" s="6" t="inlineStr">
        <is>
          <t>AYIPCELL</t>
        </is>
      </c>
      <c r="C2428" s="7" t="inlineStr">
        <is>
          <t>AV - Agen Verified</t>
        </is>
      </c>
      <c r="D2428" s="1" t="inlineStr">
        <is>
          <t>OP00002</t>
        </is>
      </c>
      <c r="E2428" s="8" t="n">
        <v>45956.6</v>
      </c>
      <c r="F2428" s="7" t="inlineStr">
        <is>
          <t>AGEN</t>
        </is>
      </c>
      <c r="G2428" s="18" t="inlineStr">
        <is>
          <t>OP19687</t>
        </is>
      </c>
      <c r="H2428" s="19">
        <f>UPPER(Table3[[#This Row],[Agen id]]&amp;"-"&amp;VLOOKUP(Table3[[#This Row],[Agen id]],A:B,2,0)&amp;"("&amp;Table3[[#This Row],[Short]]&amp;")")</f>
        <v/>
      </c>
      <c r="J2428" s="7">
        <f>VLOOKUP(Table3[[#This Row],[Agen id]],Agen!A:C,3,0)</f>
        <v/>
      </c>
      <c r="K2428" s="37">
        <f>TRIM(LEFT(Table3[[#This Row],[Group]],2))</f>
        <v/>
      </c>
      <c r="L2428" s="3" t="inlineStr">
        <is>
          <t>NON SALES</t>
        </is>
      </c>
    </row>
    <row r="2429">
      <c r="A2429" s="5" t="inlineStr">
        <is>
          <t>OP19688</t>
        </is>
      </c>
      <c r="B2429" s="6" t="inlineStr">
        <is>
          <t>24CELLULAR 7</t>
        </is>
      </c>
      <c r="C2429" s="7" t="inlineStr">
        <is>
          <t>MK - Marketing</t>
        </is>
      </c>
      <c r="D2429" s="1" t="inlineStr">
        <is>
          <t>OP07489</t>
        </is>
      </c>
      <c r="E2429" s="8" t="n">
        <v>45957.56597222222</v>
      </c>
      <c r="F2429" s="7" t="inlineStr">
        <is>
          <t>DOWNLINE</t>
        </is>
      </c>
      <c r="G2429" s="18" t="inlineStr">
        <is>
          <t>OP07489</t>
        </is>
      </c>
      <c r="H2429" s="19">
        <f>UPPER(Table3[[#This Row],[Agen id]]&amp;"-"&amp;VLOOKUP(Table3[[#This Row],[Agen id]],A:B,2,0)&amp;"("&amp;Table3[[#This Row],[Short]]&amp;")")</f>
        <v/>
      </c>
      <c r="J2429" s="7">
        <f>VLOOKUP(Table3[[#This Row],[Agen id]],Agen!A:C,3,0)</f>
        <v/>
      </c>
      <c r="K2429" s="37">
        <f>TRIM(LEFT(Table3[[#This Row],[Group]],2))</f>
        <v/>
      </c>
      <c r="L2429" s="3" t="inlineStr">
        <is>
          <t>NON SALES</t>
        </is>
      </c>
    </row>
    <row r="2430">
      <c r="A2430" s="5" t="inlineStr">
        <is>
          <t>OP19689</t>
        </is>
      </c>
      <c r="B2430" s="6" t="inlineStr">
        <is>
          <t>Yusmina W. Kabnani</t>
        </is>
      </c>
      <c r="C2430" s="7" t="inlineStr">
        <is>
          <t>A - Agen</t>
        </is>
      </c>
      <c r="D2430" s="1" t="inlineStr">
        <is>
          <t>OP00002</t>
        </is>
      </c>
      <c r="E2430" s="8" t="n">
        <v>45957.63402777778</v>
      </c>
      <c r="F2430" s="7" t="inlineStr">
        <is>
          <t>AGEN</t>
        </is>
      </c>
      <c r="G2430" s="18" t="inlineStr">
        <is>
          <t>OP19689</t>
        </is>
      </c>
      <c r="H2430" s="19">
        <f>UPPER(Table3[[#This Row],[Agen id]]&amp;"-"&amp;VLOOKUP(Table3[[#This Row],[Agen id]],A:B,2,0)&amp;"("&amp;Table3[[#This Row],[Short]]&amp;")")</f>
        <v/>
      </c>
      <c r="J2430" s="7">
        <f>VLOOKUP(Table3[[#This Row],[Agen id]],Agen!A:C,3,0)</f>
        <v/>
      </c>
      <c r="K2430" s="37">
        <f>TRIM(LEFT(Table3[[#This Row],[Group]],2))</f>
        <v/>
      </c>
      <c r="L2430" s="3" t="inlineStr">
        <is>
          <t>NON SALES</t>
        </is>
      </c>
    </row>
    <row r="2431">
      <c r="A2431" s="5" t="inlineStr">
        <is>
          <t>OP19698</t>
        </is>
      </c>
      <c r="B2431" s="6" t="inlineStr">
        <is>
          <t>Junaidj</t>
        </is>
      </c>
      <c r="C2431" s="7" t="inlineStr">
        <is>
          <t>A - Agen</t>
        </is>
      </c>
      <c r="D2431" s="1" t="inlineStr">
        <is>
          <t>OP15668</t>
        </is>
      </c>
      <c r="E2431" s="8" t="n">
        <v>45961.56388888889</v>
      </c>
      <c r="F2431" s="7" t="inlineStr">
        <is>
          <t>DOWNLINE</t>
        </is>
      </c>
      <c r="G2431" s="18" t="inlineStr">
        <is>
          <t>OP15668</t>
        </is>
      </c>
      <c r="H2431" s="19">
        <f>UPPER(Table3[[#This Row],[Agen id]]&amp;"-"&amp;VLOOKUP(Table3[[#This Row],[Agen id]],A:B,2,0)&amp;"("&amp;Table3[[#This Row],[Short]]&amp;")")</f>
        <v/>
      </c>
      <c r="J2431" s="7">
        <f>VLOOKUP(Table3[[#This Row],[Agen id]],Agen!A:C,3,0)</f>
        <v/>
      </c>
      <c r="K2431" s="37">
        <f>TRIM(LEFT(Table3[[#This Row],[Group]],2))</f>
        <v/>
      </c>
      <c r="L2431" s="3" t="inlineStr">
        <is>
          <t>NON SALES</t>
        </is>
      </c>
    </row>
    <row r="2432">
      <c r="A2432" s="5" t="inlineStr">
        <is>
          <t>OP19699</t>
        </is>
      </c>
      <c r="B2432" s="6" t="inlineStr">
        <is>
          <t>Sudirman</t>
        </is>
      </c>
      <c r="C2432" s="7" t="inlineStr">
        <is>
          <t>AV - Agen Verified</t>
        </is>
      </c>
      <c r="D2432" s="1" t="inlineStr">
        <is>
          <t>OP00002</t>
        </is>
      </c>
      <c r="E2432" s="8" t="n">
        <v>45961.82013888889</v>
      </c>
      <c r="F2432" s="7" t="inlineStr">
        <is>
          <t>AGEN</t>
        </is>
      </c>
      <c r="G2432" s="18" t="inlineStr">
        <is>
          <t>OP19699</t>
        </is>
      </c>
      <c r="H2432" s="19">
        <f>UPPER(Table3[[#This Row],[Agen id]]&amp;"-"&amp;VLOOKUP(Table3[[#This Row],[Agen id]],A:B,2,0)&amp;"("&amp;Table3[[#This Row],[Short]]&amp;")")</f>
        <v/>
      </c>
      <c r="J2432" s="7">
        <f>VLOOKUP(Table3[[#This Row],[Agen id]],Agen!A:C,3,0)</f>
        <v/>
      </c>
      <c r="K2432" s="37">
        <f>TRIM(LEFT(Table3[[#This Row],[Group]],2))</f>
        <v/>
      </c>
      <c r="L2432" s="3" t="inlineStr">
        <is>
          <t>NON SALES</t>
        </is>
      </c>
    </row>
    <row r="2433">
      <c r="A2433" s="5" t="inlineStr">
        <is>
          <t>OP19705</t>
        </is>
      </c>
      <c r="B2433" s="6" t="inlineStr">
        <is>
          <t>SALAFIAH</t>
        </is>
      </c>
      <c r="C2433" s="7" t="inlineStr">
        <is>
          <t>AV - Agen Verified</t>
        </is>
      </c>
      <c r="D2433" s="1" t="inlineStr">
        <is>
          <t>OP00002</t>
        </is>
      </c>
      <c r="E2433" s="8" t="n">
        <v>45962.81180555555</v>
      </c>
      <c r="F2433" s="7" t="inlineStr">
        <is>
          <t>AGEN</t>
        </is>
      </c>
      <c r="G2433" s="18" t="inlineStr">
        <is>
          <t>OP19705</t>
        </is>
      </c>
      <c r="H2433" s="19">
        <f>UPPER(Table3[[#This Row],[Agen id]]&amp;"-"&amp;VLOOKUP(Table3[[#This Row],[Agen id]],A:B,2,0)&amp;"("&amp;Table3[[#This Row],[Short]]&amp;")")</f>
        <v/>
      </c>
      <c r="J2433" s="7">
        <f>VLOOKUP(Table3[[#This Row],[Agen id]],Agen!A:C,3,0)</f>
        <v/>
      </c>
      <c r="K2433" s="37">
        <f>TRIM(LEFT(Table3[[#This Row],[Group]],2))</f>
        <v/>
      </c>
      <c r="L2433" s="3" t="inlineStr">
        <is>
          <t>NON SALES</t>
        </is>
      </c>
    </row>
    <row r="2434">
      <c r="A2434" s="5" t="inlineStr">
        <is>
          <t>OP19710</t>
        </is>
      </c>
      <c r="B2434" s="6" t="inlineStr">
        <is>
          <t>Agus A</t>
        </is>
      </c>
      <c r="C2434" s="7" t="inlineStr">
        <is>
          <t>A - Agen</t>
        </is>
      </c>
      <c r="D2434" s="1" t="inlineStr">
        <is>
          <t>OP00002</t>
        </is>
      </c>
      <c r="E2434" s="8" t="n">
        <v>45963.99097222222</v>
      </c>
      <c r="F2434" s="7" t="inlineStr">
        <is>
          <t>AGEN</t>
        </is>
      </c>
      <c r="G2434" s="18" t="inlineStr">
        <is>
          <t>OP19710</t>
        </is>
      </c>
      <c r="H2434" s="19">
        <f>UPPER(Table3[[#This Row],[Agen id]]&amp;"-"&amp;VLOOKUP(Table3[[#This Row],[Agen id]],A:B,2,0)&amp;"("&amp;Table3[[#This Row],[Short]]&amp;")")</f>
        <v/>
      </c>
      <c r="J2434" s="7">
        <f>VLOOKUP(Table3[[#This Row],[Agen id]],Agen!A:C,3,0)</f>
        <v/>
      </c>
      <c r="K2434" s="37">
        <f>TRIM(LEFT(Table3[[#This Row],[Group]],2))</f>
        <v/>
      </c>
      <c r="L2434" s="3" t="inlineStr">
        <is>
          <t>NON SALES</t>
        </is>
      </c>
    </row>
    <row r="2435">
      <c r="A2435" s="5" t="inlineStr">
        <is>
          <t>OP19713</t>
        </is>
      </c>
      <c r="B2435" s="6" t="inlineStr">
        <is>
          <t>Nur Yasmin</t>
        </is>
      </c>
      <c r="C2435" s="7" t="inlineStr">
        <is>
          <t>AV - Agen Verified</t>
        </is>
      </c>
      <c r="D2435" s="1" t="inlineStr">
        <is>
          <t>OP00002</t>
        </is>
      </c>
      <c r="E2435" s="8" t="n">
        <v>45964.48819444444</v>
      </c>
      <c r="F2435" s="7" t="inlineStr">
        <is>
          <t>AGEN</t>
        </is>
      </c>
      <c r="G2435" s="18" t="inlineStr">
        <is>
          <t>OP19713</t>
        </is>
      </c>
      <c r="H2435" s="19">
        <f>UPPER(Table3[[#This Row],[Agen id]]&amp;"-"&amp;VLOOKUP(Table3[[#This Row],[Agen id]],A:B,2,0)&amp;"("&amp;Table3[[#This Row],[Short]]&amp;")")</f>
        <v/>
      </c>
      <c r="J2435" s="7">
        <f>VLOOKUP(Table3[[#This Row],[Agen id]],Agen!A:C,3,0)</f>
        <v/>
      </c>
      <c r="K2435" s="37">
        <f>TRIM(LEFT(Table3[[#This Row],[Group]],2))</f>
        <v/>
      </c>
      <c r="L2435" s="3" t="inlineStr">
        <is>
          <t>NON SALES</t>
        </is>
      </c>
    </row>
    <row r="2436">
      <c r="A2436" s="5" t="inlineStr">
        <is>
          <t>OP19729</t>
        </is>
      </c>
      <c r="B2436" s="6" t="inlineStr">
        <is>
          <t>Nafisah</t>
        </is>
      </c>
      <c r="C2436" s="7" t="inlineStr">
        <is>
          <t>A - Agen</t>
        </is>
      </c>
      <c r="D2436" s="1" t="inlineStr">
        <is>
          <t>OP00002</t>
        </is>
      </c>
      <c r="E2436" s="8" t="n">
        <v>45980.81666666667</v>
      </c>
      <c r="F2436" s="7" t="inlineStr">
        <is>
          <t>AGEN</t>
        </is>
      </c>
      <c r="G2436" s="18" t="inlineStr">
        <is>
          <t>OP19729</t>
        </is>
      </c>
      <c r="H2436" s="19">
        <f>UPPER(Table3[[#This Row],[Agen id]]&amp;"-"&amp;VLOOKUP(Table3[[#This Row],[Agen id]],A:B,2,0)&amp;"("&amp;Table3[[#This Row],[Short]]&amp;")")</f>
        <v/>
      </c>
      <c r="J2436" s="7">
        <f>VLOOKUP(Table3[[#This Row],[Agen id]],Agen!A:C,3,0)</f>
        <v/>
      </c>
      <c r="K2436" s="37">
        <f>TRIM(LEFT(Table3[[#This Row],[Group]],2))</f>
        <v/>
      </c>
      <c r="L2436" s="3" t="inlineStr">
        <is>
          <t>NON SALES</t>
        </is>
      </c>
    </row>
    <row r="2437">
      <c r="A2437" s="5" t="inlineStr">
        <is>
          <t>OP19730</t>
        </is>
      </c>
      <c r="B2437" s="6" t="inlineStr">
        <is>
          <t>AGUS CELL</t>
        </is>
      </c>
      <c r="C2437" s="7" t="inlineStr">
        <is>
          <t>AB1 - Agen Kab Bogor</t>
        </is>
      </c>
      <c r="D2437" s="1" t="inlineStr">
        <is>
          <t>OP08206</t>
        </is>
      </c>
      <c r="E2437" s="8" t="n">
        <v>45981.55416666667</v>
      </c>
      <c r="F2437" s="7" t="inlineStr">
        <is>
          <t>DOWNLINE</t>
        </is>
      </c>
      <c r="G2437" s="18" t="inlineStr">
        <is>
          <t>OP08206</t>
        </is>
      </c>
      <c r="H2437" s="19">
        <f>UPPER(Table3[[#This Row],[Agen id]]&amp;"-"&amp;VLOOKUP(Table3[[#This Row],[Agen id]],A:B,2,0)&amp;"("&amp;Table3[[#This Row],[Short]]&amp;")")</f>
        <v/>
      </c>
      <c r="J2437" s="7">
        <f>VLOOKUP(Table3[[#This Row],[Agen id]],Agen!A:C,3,0)</f>
        <v/>
      </c>
      <c r="K2437" s="37">
        <f>TRIM(LEFT(Table3[[#This Row],[Group]],2))</f>
        <v/>
      </c>
      <c r="L2437" s="3" t="inlineStr">
        <is>
          <t>NON SALES</t>
        </is>
      </c>
    </row>
    <row r="2438">
      <c r="A2438" s="5" t="inlineStr">
        <is>
          <t>OP19734</t>
        </is>
      </c>
      <c r="B2438" s="6" t="inlineStr">
        <is>
          <t>Riniska Momole</t>
        </is>
      </c>
      <c r="C2438" s="7" t="inlineStr">
        <is>
          <t>A - Agen</t>
        </is>
      </c>
      <c r="D2438" s="1" t="inlineStr">
        <is>
          <t>OP03230</t>
        </is>
      </c>
      <c r="E2438" s="8" t="n">
        <v>45983.65833333333</v>
      </c>
      <c r="F2438" s="7" t="inlineStr">
        <is>
          <t>DOWNLINE</t>
        </is>
      </c>
      <c r="G2438" s="18" t="inlineStr">
        <is>
          <t>OP03230</t>
        </is>
      </c>
      <c r="H2438" s="19">
        <f>UPPER(Table3[[#This Row],[Agen id]]&amp;"-"&amp;VLOOKUP(Table3[[#This Row],[Agen id]],A:B,2,0)&amp;"("&amp;Table3[[#This Row],[Short]]&amp;")")</f>
        <v/>
      </c>
      <c r="J2438" s="7">
        <f>VLOOKUP(Table3[[#This Row],[Agen id]],Agen!A:C,3,0)</f>
        <v/>
      </c>
      <c r="K2438" s="37">
        <f>TRIM(LEFT(Table3[[#This Row],[Group]],2))</f>
        <v/>
      </c>
      <c r="L2438" s="3" t="inlineStr">
        <is>
          <t>NON SALES</t>
        </is>
      </c>
    </row>
    <row r="2439">
      <c r="A2439" s="5" t="inlineStr">
        <is>
          <t>OP19743</t>
        </is>
      </c>
      <c r="B2439" s="6" t="inlineStr">
        <is>
          <t>Madura Iyon 3</t>
        </is>
      </c>
      <c r="C2439" s="7" t="inlineStr">
        <is>
          <t>AV - Agen Verified</t>
        </is>
      </c>
      <c r="D2439" s="1" t="inlineStr">
        <is>
          <t>OP00003</t>
        </is>
      </c>
      <c r="E2439" s="8" t="n">
        <v>45985.44027777778</v>
      </c>
      <c r="F2439" s="7" t="inlineStr">
        <is>
          <t>AGEN</t>
        </is>
      </c>
      <c r="G2439" s="18" t="inlineStr">
        <is>
          <t>OP19743</t>
        </is>
      </c>
      <c r="H2439" s="19">
        <f>UPPER(Table3[[#This Row],[Agen id]]&amp;"-"&amp;VLOOKUP(Table3[[#This Row],[Agen id]],A:B,2,0)&amp;"("&amp;Table3[[#This Row],[Short]]&amp;")")</f>
        <v/>
      </c>
      <c r="J2439" s="7">
        <f>VLOOKUP(Table3[[#This Row],[Agen id]],Agen!A:C,3,0)</f>
        <v/>
      </c>
      <c r="K2439" s="37">
        <f>TRIM(LEFT(Table3[[#This Row],[Group]],2))</f>
        <v/>
      </c>
      <c r="L2439" s="3" t="inlineStr">
        <is>
          <t>NON SALES</t>
        </is>
      </c>
    </row>
    <row r="2440">
      <c r="A2440" s="5" t="inlineStr">
        <is>
          <t>OP19748</t>
        </is>
      </c>
      <c r="B2440" s="6" t="inlineStr">
        <is>
          <t>Putri Erginia</t>
        </is>
      </c>
      <c r="C2440" s="7" t="inlineStr">
        <is>
          <t>AV - Agen Verified</t>
        </is>
      </c>
      <c r="D2440" s="1" t="inlineStr">
        <is>
          <t>OP00002</t>
        </is>
      </c>
      <c r="E2440" s="8" t="n">
        <v>45986.73541666667</v>
      </c>
      <c r="F2440" s="7" t="inlineStr">
        <is>
          <t>AGEN</t>
        </is>
      </c>
      <c r="G2440" s="18" t="inlineStr">
        <is>
          <t>OP19748</t>
        </is>
      </c>
      <c r="H2440" s="19">
        <f>UPPER(Table3[[#This Row],[Agen id]]&amp;"-"&amp;VLOOKUP(Table3[[#This Row],[Agen id]],A:B,2,0)&amp;"("&amp;Table3[[#This Row],[Short]]&amp;")")</f>
        <v/>
      </c>
      <c r="J2440" s="7">
        <f>VLOOKUP(Table3[[#This Row],[Agen id]],Agen!A:C,3,0)</f>
        <v/>
      </c>
      <c r="K2440" s="37">
        <f>TRIM(LEFT(Table3[[#This Row],[Group]],2))</f>
        <v/>
      </c>
      <c r="L2440" s="3" t="inlineStr">
        <is>
          <t>NON SALES</t>
        </is>
      </c>
    </row>
    <row r="2441">
      <c r="A2441" s="5" t="inlineStr">
        <is>
          <t>OP19751</t>
        </is>
      </c>
      <c r="B2441" s="6" t="inlineStr">
        <is>
          <t>rosna2</t>
        </is>
      </c>
      <c r="C2441" s="7" t="inlineStr">
        <is>
          <t>AV - Agen Verified</t>
        </is>
      </c>
      <c r="D2441" s="1" t="inlineStr">
        <is>
          <t>OP13466</t>
        </is>
      </c>
      <c r="E2441" s="8" t="n">
        <v>45987.65902777778</v>
      </c>
      <c r="F2441" s="7" t="inlineStr">
        <is>
          <t>DOWNLINE</t>
        </is>
      </c>
      <c r="G2441" s="18" t="inlineStr">
        <is>
          <t>OP13466</t>
        </is>
      </c>
      <c r="H2441" s="19">
        <f>UPPER(Table3[[#This Row],[Agen id]]&amp;"-"&amp;VLOOKUP(Table3[[#This Row],[Agen id]],A:B,2,0)&amp;"("&amp;Table3[[#This Row],[Short]]&amp;")")</f>
        <v/>
      </c>
      <c r="J2441" s="7">
        <f>VLOOKUP(Table3[[#This Row],[Agen id]],Agen!A:C,3,0)</f>
        <v/>
      </c>
      <c r="K2441" s="37">
        <f>TRIM(LEFT(Table3[[#This Row],[Group]],2))</f>
        <v/>
      </c>
      <c r="L2441" s="3" t="inlineStr">
        <is>
          <t>NON SALES</t>
        </is>
      </c>
    </row>
    <row r="2442">
      <c r="A2442" s="5" t="inlineStr">
        <is>
          <t>OP19754</t>
        </is>
      </c>
      <c r="B2442" s="6" t="inlineStr">
        <is>
          <t>Akmal</t>
        </is>
      </c>
      <c r="C2442" s="7" t="inlineStr">
        <is>
          <t>A - Agen</t>
        </is>
      </c>
      <c r="D2442" s="1" t="inlineStr">
        <is>
          <t>OP00002</t>
        </is>
      </c>
      <c r="E2442" s="8" t="n">
        <v>45988.66805555556</v>
      </c>
      <c r="F2442" s="7" t="inlineStr">
        <is>
          <t>AGEN</t>
        </is>
      </c>
      <c r="G2442" s="18" t="inlineStr">
        <is>
          <t>OP19754</t>
        </is>
      </c>
      <c r="H2442" s="19">
        <f>UPPER(Table3[[#This Row],[Agen id]]&amp;"-"&amp;VLOOKUP(Table3[[#This Row],[Agen id]],A:B,2,0)&amp;"("&amp;Table3[[#This Row],[Short]]&amp;")")</f>
        <v/>
      </c>
      <c r="J2442" s="7">
        <f>VLOOKUP(Table3[[#This Row],[Agen id]],Agen!A:C,3,0)</f>
        <v/>
      </c>
      <c r="K2442" s="37">
        <f>TRIM(LEFT(Table3[[#This Row],[Group]],2))</f>
        <v/>
      </c>
      <c r="L2442" s="3" t="inlineStr">
        <is>
          <t>NON SALES</t>
        </is>
      </c>
    </row>
    <row r="2443">
      <c r="A2443" s="5" t="inlineStr">
        <is>
          <t>OP19755</t>
        </is>
      </c>
      <c r="B2443" s="6" t="inlineStr">
        <is>
          <t>SUHARTO</t>
        </is>
      </c>
      <c r="C2443" s="7" t="inlineStr">
        <is>
          <t>A - Agen</t>
        </is>
      </c>
      <c r="D2443" s="1" t="inlineStr">
        <is>
          <t>OP00002</t>
        </is>
      </c>
      <c r="E2443" s="8" t="n">
        <v>45989.32152777778</v>
      </c>
      <c r="F2443" s="7" t="inlineStr">
        <is>
          <t>AGEN</t>
        </is>
      </c>
      <c r="G2443" s="18" t="inlineStr">
        <is>
          <t>OP19755</t>
        </is>
      </c>
      <c r="H2443" s="19">
        <f>UPPER(Table3[[#This Row],[Agen id]]&amp;"-"&amp;VLOOKUP(Table3[[#This Row],[Agen id]],A:B,2,0)&amp;"("&amp;Table3[[#This Row],[Short]]&amp;")")</f>
        <v/>
      </c>
      <c r="J2443" s="7">
        <f>VLOOKUP(Table3[[#This Row],[Agen id]],Agen!A:C,3,0)</f>
        <v/>
      </c>
      <c r="K2443" s="37">
        <f>TRIM(LEFT(Table3[[#This Row],[Group]],2))</f>
        <v/>
      </c>
      <c r="L2443" s="3" t="inlineStr">
        <is>
          <t>NON SALES</t>
        </is>
      </c>
    </row>
    <row r="2444">
      <c r="A2444" s="5" t="inlineStr">
        <is>
          <t>OP19760</t>
        </is>
      </c>
      <c r="B2444" s="6" t="inlineStr">
        <is>
          <t>Syafira</t>
        </is>
      </c>
      <c r="C2444" s="7" t="inlineStr">
        <is>
          <t>AV - Agen Verified</t>
        </is>
      </c>
      <c r="D2444" s="1" t="inlineStr">
        <is>
          <t>OP00002</t>
        </is>
      </c>
      <c r="E2444" s="8" t="n">
        <v>45991.86041666667</v>
      </c>
      <c r="F2444" s="7" t="inlineStr">
        <is>
          <t>AGEN</t>
        </is>
      </c>
      <c r="G2444" s="18" t="inlineStr">
        <is>
          <t>OP19760</t>
        </is>
      </c>
      <c r="H2444" s="19">
        <f>UPPER(Table3[[#This Row],[Agen id]]&amp;"-"&amp;VLOOKUP(Table3[[#This Row],[Agen id]],A:B,2,0)&amp;"("&amp;Table3[[#This Row],[Short]]&amp;")")</f>
        <v/>
      </c>
      <c r="J2444" s="7">
        <f>VLOOKUP(Table3[[#This Row],[Agen id]],Agen!A:C,3,0)</f>
        <v/>
      </c>
      <c r="K2444" s="37">
        <f>TRIM(LEFT(Table3[[#This Row],[Group]],2))</f>
        <v/>
      </c>
      <c r="L2444" s="3" t="inlineStr">
        <is>
          <t>NON SALES</t>
        </is>
      </c>
    </row>
    <row r="2445">
      <c r="A2445" s="5" t="inlineStr">
        <is>
          <t>OP19761</t>
        </is>
      </c>
      <c r="B2445" s="6" t="inlineStr">
        <is>
          <t>SUMBER RIZQI 4B</t>
        </is>
      </c>
      <c r="C2445" s="7" t="inlineStr">
        <is>
          <t>A - Agen</t>
        </is>
      </c>
      <c r="D2445" s="1" t="inlineStr">
        <is>
          <t>OP00002</t>
        </is>
      </c>
      <c r="E2445" s="8" t="n">
        <v>45992.72361111111</v>
      </c>
      <c r="F2445" s="7" t="inlineStr">
        <is>
          <t>AGEN</t>
        </is>
      </c>
      <c r="G2445" s="18" t="inlineStr">
        <is>
          <t>OP19761</t>
        </is>
      </c>
      <c r="H2445" s="19">
        <f>UPPER(Table3[[#This Row],[Agen id]]&amp;"-"&amp;VLOOKUP(Table3[[#This Row],[Agen id]],A:B,2,0)&amp;"("&amp;Table3[[#This Row],[Short]]&amp;")")</f>
        <v/>
      </c>
      <c r="J2445" s="7">
        <f>VLOOKUP(Table3[[#This Row],[Agen id]],Agen!A:C,3,0)</f>
        <v/>
      </c>
      <c r="K2445" s="37">
        <f>TRIM(LEFT(Table3[[#This Row],[Group]],2))</f>
        <v/>
      </c>
      <c r="L2445" s="3" t="inlineStr">
        <is>
          <t>NON SALES</t>
        </is>
      </c>
    </row>
    <row r="2446">
      <c r="A2446" s="5" t="inlineStr">
        <is>
          <t>OP19765</t>
        </is>
      </c>
      <c r="B2446" s="6" t="inlineStr">
        <is>
          <t>fathar</t>
        </is>
      </c>
      <c r="C2446" s="7" t="inlineStr">
        <is>
          <t>AB1 - Agen Kab Bogor</t>
        </is>
      </c>
      <c r="D2446" s="1" t="inlineStr">
        <is>
          <t>OP07456</t>
        </is>
      </c>
      <c r="E2446" s="8" t="n">
        <v>45994.44791666666</v>
      </c>
      <c r="F2446" s="7" t="inlineStr">
        <is>
          <t>DOWNLINE</t>
        </is>
      </c>
      <c r="G2446" s="18" t="inlineStr">
        <is>
          <t>OP07456</t>
        </is>
      </c>
      <c r="H2446" s="19">
        <f>UPPER(Table3[[#This Row],[Agen id]]&amp;"-"&amp;VLOOKUP(Table3[[#This Row],[Agen id]],A:B,2,0)&amp;"("&amp;Table3[[#This Row],[Short]]&amp;")")</f>
        <v/>
      </c>
      <c r="J2446" s="7">
        <f>VLOOKUP(Table3[[#This Row],[Agen id]],Agen!A:C,3,0)</f>
        <v/>
      </c>
      <c r="K2446" s="37">
        <f>TRIM(LEFT(Table3[[#This Row],[Group]],2))</f>
        <v/>
      </c>
      <c r="L2446" s="3" t="inlineStr">
        <is>
          <t>NON SALES</t>
        </is>
      </c>
    </row>
    <row r="2447">
      <c r="A2447" s="5" t="inlineStr">
        <is>
          <t>OP19769</t>
        </is>
      </c>
      <c r="B2447" s="6" t="inlineStr">
        <is>
          <t>Bangkev Store</t>
        </is>
      </c>
      <c r="C2447" s="7" t="inlineStr">
        <is>
          <t>AV - Agen Verified</t>
        </is>
      </c>
      <c r="D2447" s="1" t="inlineStr">
        <is>
          <t>OP00002</t>
        </is>
      </c>
      <c r="E2447" s="8" t="n">
        <v>45997.23263888889</v>
      </c>
      <c r="F2447" s="7" t="inlineStr">
        <is>
          <t>AGEN</t>
        </is>
      </c>
      <c r="G2447" s="18" t="inlineStr">
        <is>
          <t>OP19769</t>
        </is>
      </c>
      <c r="H2447" s="19">
        <f>UPPER(Table3[[#This Row],[Agen id]]&amp;"-"&amp;VLOOKUP(Table3[[#This Row],[Agen id]],A:B,2,0)&amp;"("&amp;Table3[[#This Row],[Short]]&amp;")")</f>
        <v/>
      </c>
      <c r="J2447" s="7">
        <f>VLOOKUP(Table3[[#This Row],[Agen id]],Agen!A:C,3,0)</f>
        <v/>
      </c>
      <c r="K2447" s="37">
        <f>TRIM(LEFT(Table3[[#This Row],[Group]],2))</f>
        <v/>
      </c>
      <c r="L2447" s="3" t="inlineStr">
        <is>
          <t>NON SALES</t>
        </is>
      </c>
    </row>
    <row r="2448">
      <c r="A2448" s="5" t="inlineStr">
        <is>
          <t>OP19770</t>
        </is>
      </c>
      <c r="B2448" s="6" t="inlineStr">
        <is>
          <t>nur</t>
        </is>
      </c>
      <c r="C2448" s="7" t="inlineStr">
        <is>
          <t>A - Agen</t>
        </is>
      </c>
      <c r="D2448" s="1" t="inlineStr">
        <is>
          <t>OP00002</t>
        </is>
      </c>
      <c r="E2448" s="8" t="n">
        <v>45997.66180555556</v>
      </c>
      <c r="F2448" s="7" t="inlineStr">
        <is>
          <t>AGEN</t>
        </is>
      </c>
      <c r="G2448" s="18" t="inlineStr">
        <is>
          <t>OP19770</t>
        </is>
      </c>
      <c r="H2448" s="19">
        <f>UPPER(Table3[[#This Row],[Agen id]]&amp;"-"&amp;VLOOKUP(Table3[[#This Row],[Agen id]],A:B,2,0)&amp;"("&amp;Table3[[#This Row],[Short]]&amp;")")</f>
        <v/>
      </c>
      <c r="J2448" s="7">
        <f>VLOOKUP(Table3[[#This Row],[Agen id]],Agen!A:C,3,0)</f>
        <v/>
      </c>
      <c r="K2448" s="37">
        <f>TRIM(LEFT(Table3[[#This Row],[Group]],2))</f>
        <v/>
      </c>
      <c r="L2448" s="3" t="inlineStr">
        <is>
          <t>NON SALES</t>
        </is>
      </c>
    </row>
    <row r="2449">
      <c r="A2449" s="5" t="inlineStr">
        <is>
          <t>OP19773</t>
        </is>
      </c>
      <c r="B2449" s="6" t="inlineStr">
        <is>
          <t>SUCSES CELL</t>
        </is>
      </c>
      <c r="C2449" s="7" t="inlineStr">
        <is>
          <t>AV - Agen Verified</t>
        </is>
      </c>
      <c r="D2449" s="1" t="inlineStr">
        <is>
          <t>OP10272</t>
        </is>
      </c>
      <c r="E2449" s="8" t="n">
        <v>45999.73402777778</v>
      </c>
      <c r="F2449" s="7" t="inlineStr">
        <is>
          <t>DOWNLINE</t>
        </is>
      </c>
      <c r="G2449" s="18" t="inlineStr">
        <is>
          <t>OP10272</t>
        </is>
      </c>
      <c r="H2449" s="19">
        <f>UPPER(Table3[[#This Row],[Agen id]]&amp;"-"&amp;VLOOKUP(Table3[[#This Row],[Agen id]],A:B,2,0)&amp;"("&amp;Table3[[#This Row],[Short]]&amp;")")</f>
        <v/>
      </c>
      <c r="J2449" s="7">
        <f>VLOOKUP(Table3[[#This Row],[Agen id]],Agen!A:C,3,0)</f>
        <v/>
      </c>
      <c r="K2449" s="37">
        <f>TRIM(LEFT(Table3[[#This Row],[Group]],2))</f>
        <v/>
      </c>
      <c r="L2449" s="3" t="inlineStr">
        <is>
          <t>NON SALES</t>
        </is>
      </c>
    </row>
    <row r="2450">
      <c r="A2450" s="5" t="inlineStr">
        <is>
          <t>OP19774</t>
        </is>
      </c>
      <c r="B2450" s="6" t="inlineStr">
        <is>
          <t>TOKO RAMA WIRA</t>
        </is>
      </c>
      <c r="C2450" s="7" t="inlineStr">
        <is>
          <t>AV - Agen Verified</t>
        </is>
      </c>
      <c r="D2450" s="1" t="inlineStr">
        <is>
          <t>OP00002</t>
        </is>
      </c>
      <c r="E2450" s="8" t="n">
        <v>46000.79930555556</v>
      </c>
      <c r="F2450" s="7" t="inlineStr">
        <is>
          <t>AGEN</t>
        </is>
      </c>
      <c r="G2450" s="18" t="inlineStr">
        <is>
          <t>OP19774</t>
        </is>
      </c>
      <c r="H2450" s="19">
        <f>UPPER(Table3[[#This Row],[Agen id]]&amp;"-"&amp;VLOOKUP(Table3[[#This Row],[Agen id]],A:B,2,0)&amp;"("&amp;Table3[[#This Row],[Short]]&amp;")")</f>
        <v/>
      </c>
      <c r="J2450" s="7">
        <f>VLOOKUP(Table3[[#This Row],[Agen id]],Agen!A:C,3,0)</f>
        <v/>
      </c>
      <c r="K2450" s="37">
        <f>TRIM(LEFT(Table3[[#This Row],[Group]],2))</f>
        <v/>
      </c>
      <c r="L2450" s="3" t="inlineStr">
        <is>
          <t>NON SALES</t>
        </is>
      </c>
    </row>
    <row r="2451">
      <c r="A2451" s="5" t="inlineStr">
        <is>
          <t>OP19779</t>
        </is>
      </c>
      <c r="B2451" s="6" t="inlineStr">
        <is>
          <t>RINDANG JAYA CELLULAR</t>
        </is>
      </c>
      <c r="C2451" s="7" t="inlineStr">
        <is>
          <t>AV - Agen Verified</t>
        </is>
      </c>
      <c r="D2451" s="1" t="inlineStr">
        <is>
          <t>OP00949</t>
        </is>
      </c>
      <c r="E2451" s="8" t="n">
        <v>46002.59791666667</v>
      </c>
      <c r="F2451" s="7" t="inlineStr">
        <is>
          <t>DOWNLINE</t>
        </is>
      </c>
      <c r="G2451" s="18" t="inlineStr">
        <is>
          <t>OP00949</t>
        </is>
      </c>
      <c r="H2451" s="19">
        <f>UPPER(Table3[[#This Row],[Agen id]]&amp;"-"&amp;VLOOKUP(Table3[[#This Row],[Agen id]],A:B,2,0)&amp;"("&amp;Table3[[#This Row],[Short]]&amp;")")</f>
        <v/>
      </c>
      <c r="J2451" s="7">
        <f>VLOOKUP(Table3[[#This Row],[Agen id]],Agen!A:C,3,0)</f>
        <v/>
      </c>
      <c r="K2451" s="37">
        <f>TRIM(LEFT(Table3[[#This Row],[Group]],2))</f>
        <v/>
      </c>
      <c r="L2451" s="3" t="inlineStr">
        <is>
          <t>NON SALES</t>
        </is>
      </c>
    </row>
    <row r="2452">
      <c r="A2452" s="5" t="inlineStr">
        <is>
          <t>OP19782</t>
        </is>
      </c>
      <c r="B2452" s="6" t="inlineStr">
        <is>
          <t>JULIAWAN CELL</t>
        </is>
      </c>
      <c r="C2452" s="7" t="inlineStr">
        <is>
          <t>AV - Agen Verified</t>
        </is>
      </c>
      <c r="D2452" s="1" t="inlineStr">
        <is>
          <t>OP00003</t>
        </is>
      </c>
      <c r="E2452" s="8" t="n">
        <v>46003.40625</v>
      </c>
      <c r="F2452" s="7" t="inlineStr">
        <is>
          <t>AGEN</t>
        </is>
      </c>
      <c r="G2452" s="18" t="inlineStr">
        <is>
          <t>OP19782</t>
        </is>
      </c>
      <c r="H2452" s="19">
        <f>UPPER(Table3[[#This Row],[Agen id]]&amp;"-"&amp;VLOOKUP(Table3[[#This Row],[Agen id]],A:B,2,0)&amp;"("&amp;Table3[[#This Row],[Short]]&amp;")")</f>
        <v/>
      </c>
      <c r="J2452" s="7">
        <f>VLOOKUP(Table3[[#This Row],[Agen id]],Agen!A:C,3,0)</f>
        <v/>
      </c>
      <c r="K2452" s="37">
        <f>TRIM(LEFT(Table3[[#This Row],[Group]],2))</f>
        <v/>
      </c>
      <c r="L2452" s="3" t="inlineStr">
        <is>
          <t>NON SALES</t>
        </is>
      </c>
    </row>
    <row r="2453">
      <c r="A2453" s="5" t="inlineStr">
        <is>
          <t>OP19793</t>
        </is>
      </c>
      <c r="B2453" s="6" t="inlineStr">
        <is>
          <t>MYA CELL</t>
        </is>
      </c>
      <c r="C2453" s="7" t="inlineStr">
        <is>
          <t>AV - Agen Verified</t>
        </is>
      </c>
      <c r="D2453" s="1" t="inlineStr">
        <is>
          <t>OP03216</t>
        </is>
      </c>
      <c r="E2453" s="8" t="n">
        <v>46008.51319444444</v>
      </c>
      <c r="F2453" s="7" t="inlineStr">
        <is>
          <t>DOWNLINE</t>
        </is>
      </c>
      <c r="G2453" s="18" t="inlineStr">
        <is>
          <t>OP00049</t>
        </is>
      </c>
      <c r="H2453" s="19">
        <f>UPPER(Table3[[#This Row],[Agen id]]&amp;"-"&amp;VLOOKUP(Table3[[#This Row],[Agen id]],A:B,2,0)&amp;"("&amp;Table3[[#This Row],[Short]]&amp;")")</f>
        <v/>
      </c>
      <c r="J2453" s="7">
        <f>VLOOKUP(Table3[[#This Row],[Agen id]],Agen!A:C,3,0)</f>
        <v/>
      </c>
      <c r="K2453" s="37">
        <f>TRIM(LEFT(Table3[[#This Row],[Group]],2))</f>
        <v/>
      </c>
      <c r="L2453" s="3" t="inlineStr">
        <is>
          <t>NON SALES</t>
        </is>
      </c>
    </row>
    <row r="2454">
      <c r="A2454" s="5" t="inlineStr">
        <is>
          <t>OP19814</t>
        </is>
      </c>
      <c r="B2454" s="6" t="inlineStr">
        <is>
          <t>vanen 02</t>
        </is>
      </c>
      <c r="C2454" s="7" t="inlineStr">
        <is>
          <t>A - Agen</t>
        </is>
      </c>
      <c r="D2454" s="1" t="inlineStr">
        <is>
          <t>OP19587</t>
        </is>
      </c>
      <c r="E2454" s="8" t="n">
        <v>46016.84513888889</v>
      </c>
      <c r="F2454" s="7" t="inlineStr">
        <is>
          <t>DOWNLINE</t>
        </is>
      </c>
      <c r="G2454" s="18" t="inlineStr">
        <is>
          <t>OP19587</t>
        </is>
      </c>
      <c r="H2454" s="19">
        <f>UPPER(Table3[[#This Row],[Agen id]]&amp;"-"&amp;VLOOKUP(Table3[[#This Row],[Agen id]],A:B,2,0)&amp;"("&amp;Table3[[#This Row],[Short]]&amp;")")</f>
        <v/>
      </c>
      <c r="J2454" s="7">
        <f>VLOOKUP(Table3[[#This Row],[Agen id]],Agen!A:C,3,0)</f>
        <v/>
      </c>
      <c r="K2454" s="37">
        <f>TRIM(LEFT(Table3[[#This Row],[Group]],2))</f>
        <v/>
      </c>
      <c r="L2454" s="3" t="inlineStr">
        <is>
          <t>NON SALES</t>
        </is>
      </c>
    </row>
    <row r="2455">
      <c r="A2455" s="5" t="inlineStr">
        <is>
          <t>OP19816</t>
        </is>
      </c>
      <c r="B2455" s="6" t="inlineStr">
        <is>
          <t>KEENAN22</t>
        </is>
      </c>
      <c r="C2455" s="7" t="inlineStr">
        <is>
          <t>AV - Agen Verified</t>
        </is>
      </c>
      <c r="D2455" s="1" t="inlineStr">
        <is>
          <t>OP00002</t>
        </is>
      </c>
      <c r="E2455" s="8" t="n">
        <v>46017.97361111111</v>
      </c>
      <c r="F2455" s="7" t="inlineStr">
        <is>
          <t>AGEN</t>
        </is>
      </c>
      <c r="G2455" s="18" t="inlineStr">
        <is>
          <t>OP19816</t>
        </is>
      </c>
      <c r="H2455" s="19">
        <f>UPPER(Table3[[#This Row],[Agen id]]&amp;"-"&amp;VLOOKUP(Table3[[#This Row],[Agen id]],A:B,2,0)&amp;"("&amp;Table3[[#This Row],[Short]]&amp;")")</f>
        <v/>
      </c>
      <c r="J2455" s="7">
        <f>VLOOKUP(Table3[[#This Row],[Agen id]],Agen!A:C,3,0)</f>
        <v/>
      </c>
      <c r="K2455" s="37">
        <f>TRIM(LEFT(Table3[[#This Row],[Group]],2))</f>
        <v/>
      </c>
      <c r="L2455" s="3" t="inlineStr">
        <is>
          <t>NON SALES</t>
        </is>
      </c>
    </row>
    <row r="2456">
      <c r="A2456" s="5" t="inlineStr">
        <is>
          <t>OP19828</t>
        </is>
      </c>
      <c r="B2456" s="6" t="inlineStr">
        <is>
          <t>Deded</t>
        </is>
      </c>
      <c r="C2456" s="7" t="inlineStr">
        <is>
          <t>AV - Agen Verified</t>
        </is>
      </c>
      <c r="D2456" s="1" t="inlineStr">
        <is>
          <t>OP00002</t>
        </is>
      </c>
      <c r="E2456" s="8" t="n">
        <v>46025.37569444445</v>
      </c>
      <c r="F2456" s="7" t="inlineStr">
        <is>
          <t>AGEN</t>
        </is>
      </c>
      <c r="G2456" s="18" t="inlineStr">
        <is>
          <t>OP19828</t>
        </is>
      </c>
      <c r="H2456" s="19">
        <f>UPPER(Table3[[#This Row],[Agen id]]&amp;"-"&amp;VLOOKUP(Table3[[#This Row],[Agen id]],A:B,2,0)&amp;"("&amp;Table3[[#This Row],[Short]]&amp;")")</f>
        <v/>
      </c>
      <c r="J2456" s="7">
        <f>VLOOKUP(Table3[[#This Row],[Agen id]],Agen!A:C,3,0)</f>
        <v/>
      </c>
      <c r="K2456" s="37">
        <f>TRIM(LEFT(Table3[[#This Row],[Group]],2))</f>
        <v/>
      </c>
      <c r="L2456" s="3" t="inlineStr">
        <is>
          <t>NON SALES</t>
        </is>
      </c>
    </row>
    <row r="2457">
      <c r="A2457" s="5" t="inlineStr">
        <is>
          <t>OP19829</t>
        </is>
      </c>
      <c r="B2457" s="6" t="inlineStr">
        <is>
          <t>PUTRI YULIA</t>
        </is>
      </c>
      <c r="C2457" s="7" t="inlineStr">
        <is>
          <t>AV - Agen Verified</t>
        </is>
      </c>
      <c r="D2457" s="1" t="inlineStr">
        <is>
          <t>OP15668</t>
        </is>
      </c>
      <c r="E2457" s="8" t="n">
        <v>46025.78819444445</v>
      </c>
      <c r="F2457" s="7" t="inlineStr">
        <is>
          <t>DOWNLINE</t>
        </is>
      </c>
      <c r="G2457" s="18" t="inlineStr">
        <is>
          <t>OP15668</t>
        </is>
      </c>
      <c r="H2457" s="19">
        <f>UPPER(Table3[[#This Row],[Agen id]]&amp;"-"&amp;VLOOKUP(Table3[[#This Row],[Agen id]],A:B,2,0)&amp;"("&amp;Table3[[#This Row],[Short]]&amp;")")</f>
        <v/>
      </c>
      <c r="J2457" s="7">
        <f>VLOOKUP(Table3[[#This Row],[Agen id]],Agen!A:C,3,0)</f>
        <v/>
      </c>
      <c r="K2457" s="37">
        <f>TRIM(LEFT(Table3[[#This Row],[Group]],2))</f>
        <v/>
      </c>
      <c r="L2457" s="3" t="inlineStr">
        <is>
          <t>NON SALES</t>
        </is>
      </c>
    </row>
    <row r="2458">
      <c r="A2458" s="5" t="inlineStr">
        <is>
          <t>OP19837</t>
        </is>
      </c>
      <c r="B2458" s="6" t="inlineStr">
        <is>
          <t>Upin Ipin</t>
        </is>
      </c>
      <c r="C2458" s="7" t="inlineStr">
        <is>
          <t>A - Agen</t>
        </is>
      </c>
      <c r="D2458" s="1" t="inlineStr">
        <is>
          <t>OP00002</t>
        </is>
      </c>
      <c r="E2458" s="8" t="n">
        <v>46028.49930555555</v>
      </c>
      <c r="F2458" s="7" t="inlineStr">
        <is>
          <t>AGEN</t>
        </is>
      </c>
      <c r="G2458" s="18" t="inlineStr">
        <is>
          <t>OP19837</t>
        </is>
      </c>
      <c r="H2458" s="19">
        <f>UPPER(Table3[[#This Row],[Agen id]]&amp;"-"&amp;VLOOKUP(Table3[[#This Row],[Agen id]],A:B,2,0)&amp;"("&amp;Table3[[#This Row],[Short]]&amp;")")</f>
        <v/>
      </c>
      <c r="J2458" s="7">
        <f>VLOOKUP(Table3[[#This Row],[Agen id]],Agen!A:C,3,0)</f>
        <v/>
      </c>
      <c r="K2458" s="37">
        <f>TRIM(LEFT(Table3[[#This Row],[Group]],2))</f>
        <v/>
      </c>
      <c r="L2458" s="3" t="inlineStr">
        <is>
          <t>NON SALES</t>
        </is>
      </c>
    </row>
    <row r="2459">
      <c r="A2459" s="5" t="inlineStr">
        <is>
          <t>OP19838</t>
        </is>
      </c>
      <c r="B2459" s="6" t="inlineStr">
        <is>
          <t>Mulyadi</t>
        </is>
      </c>
      <c r="C2459" s="7" t="inlineStr">
        <is>
          <t>A - Agen</t>
        </is>
      </c>
      <c r="D2459" s="1" t="inlineStr">
        <is>
          <t>OP00002</t>
        </is>
      </c>
      <c r="E2459" s="8" t="n">
        <v>46029.35347222222</v>
      </c>
      <c r="F2459" s="7" t="inlineStr">
        <is>
          <t>AGEN</t>
        </is>
      </c>
      <c r="G2459" s="18" t="inlineStr">
        <is>
          <t>OP19838</t>
        </is>
      </c>
      <c r="H2459" s="19">
        <f>UPPER(Table3[[#This Row],[Agen id]]&amp;"-"&amp;VLOOKUP(Table3[[#This Row],[Agen id]],A:B,2,0)&amp;"("&amp;Table3[[#This Row],[Short]]&amp;")")</f>
        <v/>
      </c>
      <c r="J2459" s="7">
        <f>VLOOKUP(Table3[[#This Row],[Agen id]],Agen!A:C,3,0)</f>
        <v/>
      </c>
      <c r="K2459" s="37">
        <f>TRIM(LEFT(Table3[[#This Row],[Group]],2))</f>
        <v/>
      </c>
      <c r="L2459" s="3" t="inlineStr">
        <is>
          <t>NON SALES</t>
        </is>
      </c>
    </row>
    <row r="2460">
      <c r="A2460" s="5" t="inlineStr">
        <is>
          <t>OP19841</t>
        </is>
      </c>
      <c r="B2460" s="6" t="inlineStr">
        <is>
          <t>Abian</t>
        </is>
      </c>
      <c r="C2460" s="7" t="inlineStr">
        <is>
          <t>A - Agen</t>
        </is>
      </c>
      <c r="D2460" s="1" t="inlineStr">
        <is>
          <t>OP00002</t>
        </is>
      </c>
      <c r="E2460" s="8" t="n">
        <v>46030.27222222222</v>
      </c>
      <c r="F2460" s="7" t="inlineStr">
        <is>
          <t>AGEN</t>
        </is>
      </c>
      <c r="G2460" s="18" t="inlineStr">
        <is>
          <t>OP19841</t>
        </is>
      </c>
      <c r="H2460" s="19">
        <f>UPPER(Table3[[#This Row],[Agen id]]&amp;"-"&amp;VLOOKUP(Table3[[#This Row],[Agen id]],A:B,2,0)&amp;"("&amp;Table3[[#This Row],[Short]]&amp;")")</f>
        <v/>
      </c>
      <c r="J2460" s="7">
        <f>VLOOKUP(Table3[[#This Row],[Agen id]],Agen!A:C,3,0)</f>
        <v/>
      </c>
      <c r="K2460" s="37">
        <f>TRIM(LEFT(Table3[[#This Row],[Group]],2))</f>
        <v/>
      </c>
      <c r="L2460" s="3" t="inlineStr">
        <is>
          <t>NON SALES</t>
        </is>
      </c>
    </row>
    <row r="2461">
      <c r="A2461" s="5" t="inlineStr">
        <is>
          <t>OP19849</t>
        </is>
      </c>
      <c r="B2461" s="6" t="inlineStr">
        <is>
          <t>Reyza Cell</t>
        </is>
      </c>
      <c r="C2461" s="7" t="inlineStr">
        <is>
          <t>A - Agen</t>
        </is>
      </c>
      <c r="D2461" s="1" t="inlineStr">
        <is>
          <t>OP00002</t>
        </is>
      </c>
      <c r="E2461" s="8" t="n">
        <v>46033.88472222222</v>
      </c>
      <c r="F2461" s="7" t="inlineStr">
        <is>
          <t>AGEN</t>
        </is>
      </c>
      <c r="G2461" s="18" t="inlineStr">
        <is>
          <t>OP19849</t>
        </is>
      </c>
      <c r="H2461" s="19">
        <f>UPPER(Table3[[#This Row],[Agen id]]&amp;"-"&amp;VLOOKUP(Table3[[#This Row],[Agen id]],A:B,2,0)&amp;"("&amp;Table3[[#This Row],[Short]]&amp;")")</f>
        <v/>
      </c>
      <c r="J2461" s="7">
        <f>VLOOKUP(Table3[[#This Row],[Agen id]],Agen!A:C,3,0)</f>
        <v/>
      </c>
      <c r="K2461" s="37">
        <f>TRIM(LEFT(Table3[[#This Row],[Group]],2))</f>
        <v/>
      </c>
      <c r="L2461" s="3" t="inlineStr">
        <is>
          <t>NON SALES</t>
        </is>
      </c>
    </row>
    <row r="2462">
      <c r="A2462" s="5" t="inlineStr">
        <is>
          <t>OP19867</t>
        </is>
      </c>
      <c r="B2462" s="6" t="inlineStr">
        <is>
          <t>RESA ANDANI</t>
        </is>
      </c>
      <c r="C2462" s="7" t="inlineStr">
        <is>
          <t>A - Agen</t>
        </is>
      </c>
      <c r="D2462" s="1" t="inlineStr">
        <is>
          <t>OP00003</t>
        </is>
      </c>
      <c r="E2462" s="8" t="n">
        <v>46042.61527777778</v>
      </c>
      <c r="F2462" s="7" t="inlineStr">
        <is>
          <t>AGEN</t>
        </is>
      </c>
      <c r="G2462" s="18" t="inlineStr">
        <is>
          <t>OP19867</t>
        </is>
      </c>
      <c r="H2462" s="19">
        <f>UPPER(Table3[[#This Row],[Agen id]]&amp;"-"&amp;VLOOKUP(Table3[[#This Row],[Agen id]],A:B,2,0)&amp;"("&amp;Table3[[#This Row],[Short]]&amp;")")</f>
        <v/>
      </c>
      <c r="J2462" s="7">
        <f>VLOOKUP(Table3[[#This Row],[Agen id]],Agen!A:C,3,0)</f>
        <v/>
      </c>
      <c r="K2462" s="37">
        <f>TRIM(LEFT(Table3[[#This Row],[Group]],2))</f>
        <v/>
      </c>
      <c r="L2462" s="3" t="inlineStr">
        <is>
          <t>NON SALES</t>
        </is>
      </c>
    </row>
    <row r="2463">
      <c r="A2463" s="5" t="inlineStr">
        <is>
          <t>OP19869</t>
        </is>
      </c>
      <c r="B2463" s="6" t="inlineStr">
        <is>
          <t>sri pangestu</t>
        </is>
      </c>
      <c r="C2463" s="7" t="inlineStr">
        <is>
          <t>AV - Agen Verified</t>
        </is>
      </c>
      <c r="D2463" s="1" t="inlineStr">
        <is>
          <t>OP19677</t>
        </is>
      </c>
      <c r="E2463" s="8" t="n">
        <v>46044.39305555556</v>
      </c>
      <c r="F2463" s="7" t="inlineStr">
        <is>
          <t>DOWNLINE</t>
        </is>
      </c>
      <c r="G2463" s="18" t="inlineStr">
        <is>
          <t>OP19677</t>
        </is>
      </c>
      <c r="H2463" s="19">
        <f>UPPER(Table3[[#This Row],[Agen id]]&amp;"-"&amp;VLOOKUP(Table3[[#This Row],[Agen id]],A:B,2,0)&amp;"("&amp;Table3[[#This Row],[Short]]&amp;")")</f>
        <v/>
      </c>
      <c r="J2463" s="7">
        <f>VLOOKUP(Table3[[#This Row],[Agen id]],Agen!A:C,3,0)</f>
        <v/>
      </c>
      <c r="K2463" s="37">
        <f>TRIM(LEFT(Table3[[#This Row],[Group]],2))</f>
        <v/>
      </c>
      <c r="L2463" s="3" t="inlineStr">
        <is>
          <t>NON SALES</t>
        </is>
      </c>
    </row>
    <row r="2464">
      <c r="A2464" s="5" t="inlineStr">
        <is>
          <t>OP19871</t>
        </is>
      </c>
      <c r="B2464" s="6" t="inlineStr">
        <is>
          <t>Viky</t>
        </is>
      </c>
      <c r="C2464" s="7" t="inlineStr">
        <is>
          <t>A - Agen</t>
        </is>
      </c>
      <c r="D2464" s="1" t="inlineStr">
        <is>
          <t>OP00002</t>
        </is>
      </c>
      <c r="E2464" s="8" t="n">
        <v>46045.12569444445</v>
      </c>
      <c r="F2464" s="7" t="inlineStr">
        <is>
          <t>AGEN</t>
        </is>
      </c>
      <c r="G2464" s="18" t="inlineStr">
        <is>
          <t>OP19871</t>
        </is>
      </c>
      <c r="H2464" s="19">
        <f>UPPER(Table3[[#This Row],[Agen id]]&amp;"-"&amp;VLOOKUP(Table3[[#This Row],[Agen id]],A:B,2,0)&amp;"("&amp;Table3[[#This Row],[Short]]&amp;")")</f>
        <v/>
      </c>
      <c r="J2464" s="7">
        <f>VLOOKUP(Table3[[#This Row],[Agen id]],Agen!A:C,3,0)</f>
        <v/>
      </c>
      <c r="K2464" s="37">
        <f>TRIM(LEFT(Table3[[#This Row],[Group]],2))</f>
        <v/>
      </c>
      <c r="L2464" s="3" t="inlineStr">
        <is>
          <t>NON SALES</t>
        </is>
      </c>
    </row>
    <row r="2465">
      <c r="A2465" s="5" t="inlineStr">
        <is>
          <t>OP19876</t>
        </is>
      </c>
      <c r="B2465" s="6" t="inlineStr">
        <is>
          <t>Daffa</t>
        </is>
      </c>
      <c r="C2465" s="7" t="inlineStr">
        <is>
          <t>AV - Agen Verified</t>
        </is>
      </c>
      <c r="D2465" s="1" t="inlineStr">
        <is>
          <t>OP19779</t>
        </is>
      </c>
      <c r="E2465" s="8" t="n">
        <v>46046.52569444444</v>
      </c>
      <c r="F2465" s="7" t="inlineStr">
        <is>
          <t>DOWNLINE</t>
        </is>
      </c>
      <c r="G2465" s="18" t="inlineStr">
        <is>
          <t>OP00949</t>
        </is>
      </c>
      <c r="H2465" s="19">
        <f>UPPER(Table3[[#This Row],[Agen id]]&amp;"-"&amp;VLOOKUP(Table3[[#This Row],[Agen id]],A:B,2,0)&amp;"("&amp;Table3[[#This Row],[Short]]&amp;")")</f>
        <v/>
      </c>
      <c r="J2465" s="7">
        <f>VLOOKUP(Table3[[#This Row],[Agen id]],Agen!A:C,3,0)</f>
        <v/>
      </c>
      <c r="K2465" s="37">
        <f>TRIM(LEFT(Table3[[#This Row],[Group]],2))</f>
        <v/>
      </c>
      <c r="L2465" s="3" t="inlineStr">
        <is>
          <t>NON SALES</t>
        </is>
      </c>
    </row>
    <row r="2466">
      <c r="A2466" s="5" t="inlineStr">
        <is>
          <t>OP19882</t>
        </is>
      </c>
      <c r="B2466" s="6" t="inlineStr">
        <is>
          <t>Onisius Kamlasi</t>
        </is>
      </c>
      <c r="C2466" s="7" t="inlineStr">
        <is>
          <t>AV - Agen Verified</t>
        </is>
      </c>
      <c r="D2466" s="1" t="inlineStr">
        <is>
          <t>OP00002</t>
        </is>
      </c>
      <c r="E2466" s="8" t="n">
        <v>46048.49513888889</v>
      </c>
      <c r="F2466" s="7" t="inlineStr">
        <is>
          <t>AGEN</t>
        </is>
      </c>
      <c r="G2466" s="18" t="inlineStr">
        <is>
          <t>OP19882</t>
        </is>
      </c>
      <c r="H2466" s="19">
        <f>UPPER(Table3[[#This Row],[Agen id]]&amp;"-"&amp;VLOOKUP(Table3[[#This Row],[Agen id]],A:B,2,0)&amp;"("&amp;Table3[[#This Row],[Short]]&amp;")")</f>
        <v/>
      </c>
      <c r="J2466" s="7">
        <f>VLOOKUP(Table3[[#This Row],[Agen id]],Agen!A:C,3,0)</f>
        <v/>
      </c>
      <c r="K2466" s="37">
        <f>TRIM(LEFT(Table3[[#This Row],[Group]],2))</f>
        <v/>
      </c>
      <c r="L2466" s="3" t="inlineStr">
        <is>
          <t>NON SALES</t>
        </is>
      </c>
    </row>
    <row r="2467">
      <c r="A2467" s="5" t="inlineStr">
        <is>
          <t>OP19887</t>
        </is>
      </c>
      <c r="B2467" s="6" t="inlineStr">
        <is>
          <t>Ryan</t>
        </is>
      </c>
      <c r="C2467" s="7" t="inlineStr">
        <is>
          <t>AV - Agen Verified</t>
        </is>
      </c>
      <c r="D2467" s="1" t="inlineStr">
        <is>
          <t>OP19876</t>
        </is>
      </c>
      <c r="E2467" s="8" t="n">
        <v>46051.36597222222</v>
      </c>
      <c r="F2467" s="7" t="inlineStr">
        <is>
          <t>DOWNLINE</t>
        </is>
      </c>
      <c r="G2467" s="18" t="inlineStr">
        <is>
          <t>OP00949</t>
        </is>
      </c>
      <c r="H2467" s="19">
        <f>UPPER(Table3[[#This Row],[Agen id]]&amp;"-"&amp;VLOOKUP(Table3[[#This Row],[Agen id]],A:B,2,0)&amp;"("&amp;Table3[[#This Row],[Short]]&amp;")")</f>
        <v/>
      </c>
      <c r="J2467" s="7">
        <f>VLOOKUP(Table3[[#This Row],[Agen id]],Agen!A:C,3,0)</f>
        <v/>
      </c>
      <c r="K2467" s="37">
        <f>TRIM(LEFT(Table3[[#This Row],[Group]],2))</f>
        <v/>
      </c>
      <c r="L2467" s="3" t="inlineStr">
        <is>
          <t>NON SALES</t>
        </is>
      </c>
    </row>
    <row r="2468">
      <c r="A2468" s="5" t="inlineStr">
        <is>
          <t>OP19896</t>
        </is>
      </c>
      <c r="B2468" s="6" t="inlineStr">
        <is>
          <t>Sarwati</t>
        </is>
      </c>
      <c r="C2468" s="7" t="inlineStr">
        <is>
          <t>AV - Agen Verified</t>
        </is>
      </c>
      <c r="D2468" s="1" t="inlineStr">
        <is>
          <t>OP19876</t>
        </is>
      </c>
      <c r="E2468" s="8" t="n">
        <v>46053.91319444445</v>
      </c>
      <c r="F2468" s="7" t="inlineStr">
        <is>
          <t>DOWNLINE</t>
        </is>
      </c>
      <c r="G2468" s="18" t="inlineStr">
        <is>
          <t>OP00949</t>
        </is>
      </c>
      <c r="H2468" s="19">
        <f>UPPER(Table3[[#This Row],[Agen id]]&amp;"-"&amp;VLOOKUP(Table3[[#This Row],[Agen id]],A:B,2,0)&amp;"("&amp;Table3[[#This Row],[Short]]&amp;")")</f>
        <v/>
      </c>
      <c r="J2468" s="7">
        <f>VLOOKUP(Table3[[#This Row],[Agen id]],Agen!A:C,3,0)</f>
        <v/>
      </c>
      <c r="K2468" s="37">
        <f>TRIM(LEFT(Table3[[#This Row],[Group]],2))</f>
        <v/>
      </c>
      <c r="L2468" s="3" t="inlineStr">
        <is>
          <t>NON SALES</t>
        </is>
      </c>
    </row>
    <row r="2469">
      <c r="A2469" s="5" t="inlineStr">
        <is>
          <t>OP19897</t>
        </is>
      </c>
      <c r="B2469" s="6" t="inlineStr">
        <is>
          <t>Erna</t>
        </is>
      </c>
      <c r="C2469" s="7" t="inlineStr">
        <is>
          <t>AV - Agen Verified</t>
        </is>
      </c>
      <c r="D2469" s="1" t="inlineStr">
        <is>
          <t>OP19876</t>
        </is>
      </c>
      <c r="E2469" s="8" t="n">
        <v>46053.91458333333</v>
      </c>
      <c r="F2469" s="7" t="inlineStr">
        <is>
          <t>DOWNLINE</t>
        </is>
      </c>
      <c r="G2469" s="18" t="inlineStr">
        <is>
          <t>OP00949</t>
        </is>
      </c>
      <c r="H2469" s="19">
        <f>UPPER(Table3[[#This Row],[Agen id]]&amp;"-"&amp;VLOOKUP(Table3[[#This Row],[Agen id]],A:B,2,0)&amp;"("&amp;Table3[[#This Row],[Short]]&amp;")")</f>
        <v/>
      </c>
      <c r="J2469" s="7">
        <f>VLOOKUP(Table3[[#This Row],[Agen id]],Agen!A:C,3,0)</f>
        <v/>
      </c>
      <c r="K2469" s="37">
        <f>TRIM(LEFT(Table3[[#This Row],[Group]],2))</f>
        <v/>
      </c>
      <c r="L2469" s="3" t="inlineStr">
        <is>
          <t>NON SALES</t>
        </is>
      </c>
    </row>
    <row r="2470">
      <c r="A2470" s="5" t="inlineStr">
        <is>
          <t>OP19902</t>
        </is>
      </c>
      <c r="B2470" s="6" t="inlineStr">
        <is>
          <t>Nia Cell</t>
        </is>
      </c>
      <c r="C2470" s="7" t="inlineStr">
        <is>
          <t>AV - Agen Verified</t>
        </is>
      </c>
      <c r="D2470" s="1" t="inlineStr">
        <is>
          <t>OP19876</t>
        </is>
      </c>
      <c r="E2470" s="8" t="n">
        <v>46053.91875</v>
      </c>
      <c r="F2470" s="7" t="inlineStr">
        <is>
          <t>DOWNLINE</t>
        </is>
      </c>
      <c r="G2470" s="18" t="inlineStr">
        <is>
          <t>OP00949</t>
        </is>
      </c>
      <c r="H2470" s="19">
        <f>UPPER(Table3[[#This Row],[Agen id]]&amp;"-"&amp;VLOOKUP(Table3[[#This Row],[Agen id]],A:B,2,0)&amp;"("&amp;Table3[[#This Row],[Short]]&amp;")")</f>
        <v/>
      </c>
      <c r="J2470" s="7">
        <f>VLOOKUP(Table3[[#This Row],[Agen id]],Agen!A:C,3,0)</f>
        <v/>
      </c>
      <c r="K2470" s="37">
        <f>TRIM(LEFT(Table3[[#This Row],[Group]],2))</f>
        <v/>
      </c>
      <c r="L2470" s="3" t="inlineStr">
        <is>
          <t>NON SALES</t>
        </is>
      </c>
    </row>
    <row r="2471">
      <c r="A2471" s="5" t="inlineStr">
        <is>
          <t>OP19904</t>
        </is>
      </c>
      <c r="B2471" s="6" t="inlineStr">
        <is>
          <t>Ana Cell</t>
        </is>
      </c>
      <c r="C2471" s="7" t="inlineStr">
        <is>
          <t>AV - Agen Verified</t>
        </is>
      </c>
      <c r="D2471" s="1" t="inlineStr">
        <is>
          <t>OP19876</t>
        </is>
      </c>
      <c r="E2471" s="8" t="n">
        <v>46053.92222222222</v>
      </c>
      <c r="F2471" s="7" t="inlineStr">
        <is>
          <t>DOWNLINE</t>
        </is>
      </c>
      <c r="G2471" s="18" t="inlineStr">
        <is>
          <t>OP00949</t>
        </is>
      </c>
      <c r="H2471" s="19">
        <f>UPPER(Table3[[#This Row],[Agen id]]&amp;"-"&amp;VLOOKUP(Table3[[#This Row],[Agen id]],A:B,2,0)&amp;"("&amp;Table3[[#This Row],[Short]]&amp;")")</f>
        <v/>
      </c>
      <c r="J2471" s="7">
        <f>VLOOKUP(Table3[[#This Row],[Agen id]],Agen!A:C,3,0)</f>
        <v/>
      </c>
      <c r="K2471" s="37">
        <f>TRIM(LEFT(Table3[[#This Row],[Group]],2))</f>
        <v/>
      </c>
      <c r="L2471" s="3" t="inlineStr">
        <is>
          <t>NON SALES</t>
        </is>
      </c>
    </row>
    <row r="2472">
      <c r="A2472" s="5" t="inlineStr">
        <is>
          <t>OP19914</t>
        </is>
      </c>
      <c r="B2472" s="6" t="inlineStr">
        <is>
          <t>Iis Hamidah</t>
        </is>
      </c>
      <c r="C2472" s="7" t="inlineStr">
        <is>
          <t>AV - Agen Verified</t>
        </is>
      </c>
      <c r="D2472" s="1" t="inlineStr">
        <is>
          <t>OP00002</t>
        </is>
      </c>
      <c r="E2472" s="8" t="n">
        <v>46054.32430555556</v>
      </c>
      <c r="F2472" s="7" t="inlineStr">
        <is>
          <t>AGEN</t>
        </is>
      </c>
      <c r="G2472" s="18" t="inlineStr">
        <is>
          <t>OP19914</t>
        </is>
      </c>
      <c r="H2472" s="19">
        <f>UPPER(Table3[[#This Row],[Agen id]]&amp;"-"&amp;VLOOKUP(Table3[[#This Row],[Agen id]],A:B,2,0)&amp;"("&amp;Table3[[#This Row],[Short]]&amp;")")</f>
        <v/>
      </c>
      <c r="J2472" s="7">
        <f>VLOOKUP(Table3[[#This Row],[Agen id]],Agen!A:C,3,0)</f>
        <v/>
      </c>
      <c r="K2472" s="37">
        <f>TRIM(LEFT(Table3[[#This Row],[Group]],2))</f>
        <v/>
      </c>
      <c r="L2472" s="3" t="inlineStr">
        <is>
          <t>NON SALES</t>
        </is>
      </c>
    </row>
    <row r="2473">
      <c r="A2473" s="5" t="inlineStr">
        <is>
          <t>OP19918</t>
        </is>
      </c>
      <c r="B2473" s="6" t="inlineStr">
        <is>
          <t>Zulfa Yanti</t>
        </is>
      </c>
      <c r="C2473" s="7" t="inlineStr">
        <is>
          <t>A - Agen</t>
        </is>
      </c>
      <c r="D2473" s="1" t="inlineStr">
        <is>
          <t>OP00002</t>
        </is>
      </c>
      <c r="E2473" s="8" t="n">
        <v>46056.62708333333</v>
      </c>
      <c r="F2473" s="7" t="inlineStr">
        <is>
          <t>AGEN</t>
        </is>
      </c>
      <c r="G2473" s="18" t="inlineStr">
        <is>
          <t>OP19918</t>
        </is>
      </c>
      <c r="H2473" s="19">
        <f>UPPER(Table3[[#This Row],[Agen id]]&amp;"-"&amp;VLOOKUP(Table3[[#This Row],[Agen id]],A:B,2,0)&amp;"("&amp;Table3[[#This Row],[Short]]&amp;")")</f>
        <v/>
      </c>
      <c r="J2473" s="7">
        <f>VLOOKUP(Table3[[#This Row],[Agen id]],Agen!A:C,3,0)</f>
        <v/>
      </c>
      <c r="K2473" s="37">
        <f>TRIM(LEFT(Table3[[#This Row],[Group]],2))</f>
        <v/>
      </c>
      <c r="L2473" s="3" t="inlineStr">
        <is>
          <t>NON SALES</t>
        </is>
      </c>
    </row>
    <row r="2474">
      <c r="A2474" s="5" t="inlineStr">
        <is>
          <t>OP19920</t>
        </is>
      </c>
      <c r="B2474" s="6" t="inlineStr">
        <is>
          <t>Ahmad Widiyanto</t>
        </is>
      </c>
      <c r="C2474" s="7" t="inlineStr">
        <is>
          <t>A - Agen</t>
        </is>
      </c>
      <c r="D2474" s="1" t="inlineStr">
        <is>
          <t>OP00002</t>
        </is>
      </c>
      <c r="E2474" s="8" t="n">
        <v>46057.81527777778</v>
      </c>
      <c r="F2474" s="7" t="inlineStr">
        <is>
          <t>AGEN</t>
        </is>
      </c>
      <c r="G2474" s="18" t="inlineStr">
        <is>
          <t>OP19920</t>
        </is>
      </c>
      <c r="H2474" s="19">
        <f>UPPER(Table3[[#This Row],[Agen id]]&amp;"-"&amp;VLOOKUP(Table3[[#This Row],[Agen id]],A:B,2,0)&amp;"("&amp;Table3[[#This Row],[Short]]&amp;")")</f>
        <v/>
      </c>
      <c r="J2474" s="7">
        <f>VLOOKUP(Table3[[#This Row],[Agen id]],Agen!A:C,3,0)</f>
        <v/>
      </c>
      <c r="K2474" s="37">
        <f>TRIM(LEFT(Table3[[#This Row],[Group]],2))</f>
        <v/>
      </c>
      <c r="L2474" s="3" t="inlineStr">
        <is>
          <t>NON SALES</t>
        </is>
      </c>
    </row>
    <row r="2475">
      <c r="A2475" s="5" t="inlineStr">
        <is>
          <t>OP19924</t>
        </is>
      </c>
      <c r="B2475" s="6" t="inlineStr">
        <is>
          <t>Rinati</t>
        </is>
      </c>
      <c r="C2475" s="7" t="inlineStr">
        <is>
          <t>A - Agen</t>
        </is>
      </c>
      <c r="D2475" s="1" t="inlineStr">
        <is>
          <t>OP00002</t>
        </is>
      </c>
      <c r="E2475" s="8" t="n">
        <v>46059.40486111111</v>
      </c>
      <c r="F2475" s="7" t="inlineStr">
        <is>
          <t>AGEN</t>
        </is>
      </c>
      <c r="G2475" s="18" t="inlineStr">
        <is>
          <t>OP19924</t>
        </is>
      </c>
      <c r="H2475" s="19">
        <f>UPPER(Table3[[#This Row],[Agen id]]&amp;"-"&amp;VLOOKUP(Table3[[#This Row],[Agen id]],A:B,2,0)&amp;"("&amp;Table3[[#This Row],[Short]]&amp;")")</f>
        <v/>
      </c>
      <c r="J2475" s="7">
        <f>VLOOKUP(Table3[[#This Row],[Agen id]],Agen!A:C,3,0)</f>
        <v/>
      </c>
      <c r="K2475" s="37">
        <f>TRIM(LEFT(Table3[[#This Row],[Group]],2))</f>
        <v/>
      </c>
      <c r="L2475" s="3" t="inlineStr">
        <is>
          <t>NON SALES</t>
        </is>
      </c>
    </row>
    <row r="2476">
      <c r="A2476" s="5" t="inlineStr">
        <is>
          <t>OP19926</t>
        </is>
      </c>
      <c r="B2476" s="6" t="inlineStr">
        <is>
          <t>jabirabdullah</t>
        </is>
      </c>
      <c r="C2476" s="7" t="inlineStr">
        <is>
          <t>A - Agen</t>
        </is>
      </c>
      <c r="D2476" s="1" t="inlineStr">
        <is>
          <t>OP00002</t>
        </is>
      </c>
      <c r="E2476" s="8" t="n">
        <v>46060.84097222222</v>
      </c>
      <c r="F2476" s="7" t="inlineStr">
        <is>
          <t>AGEN</t>
        </is>
      </c>
      <c r="G2476" s="18" t="inlineStr">
        <is>
          <t>OP19926</t>
        </is>
      </c>
      <c r="H2476" s="19">
        <f>UPPER(Table3[[#This Row],[Agen id]]&amp;"-"&amp;VLOOKUP(Table3[[#This Row],[Agen id]],A:B,2,0)&amp;"("&amp;Table3[[#This Row],[Short]]&amp;")")</f>
        <v/>
      </c>
      <c r="J2476" s="7">
        <f>VLOOKUP(Table3[[#This Row],[Agen id]],Agen!A:C,3,0)</f>
        <v/>
      </c>
      <c r="K2476" s="37">
        <f>TRIM(LEFT(Table3[[#This Row],[Group]],2))</f>
        <v/>
      </c>
      <c r="L2476" s="3" t="inlineStr">
        <is>
          <t>NON SALES</t>
        </is>
      </c>
    </row>
    <row r="2477">
      <c r="A2477" s="5" t="inlineStr">
        <is>
          <t>OP19929</t>
        </is>
      </c>
      <c r="B2477" s="6" t="inlineStr">
        <is>
          <t>Abdul Syukur</t>
        </is>
      </c>
      <c r="C2477" s="7" t="inlineStr">
        <is>
          <t>AV - Agen Verified</t>
        </is>
      </c>
      <c r="D2477" s="1" t="inlineStr">
        <is>
          <t>OP00002</t>
        </is>
      </c>
      <c r="E2477" s="8" t="n">
        <v>46062.93611111111</v>
      </c>
      <c r="F2477" s="7" t="inlineStr">
        <is>
          <t>AGEN</t>
        </is>
      </c>
      <c r="G2477" s="18" t="inlineStr">
        <is>
          <t>OP19929</t>
        </is>
      </c>
      <c r="H2477" s="19">
        <f>UPPER(Table3[[#This Row],[Agen id]]&amp;"-"&amp;VLOOKUP(Table3[[#This Row],[Agen id]],A:B,2,0)&amp;"("&amp;Table3[[#This Row],[Short]]&amp;")")</f>
        <v/>
      </c>
      <c r="J2477" s="7">
        <f>VLOOKUP(Table3[[#This Row],[Agen id]],Agen!A:C,3,0)</f>
        <v/>
      </c>
      <c r="K2477" s="37">
        <f>TRIM(LEFT(Table3[[#This Row],[Group]],2))</f>
        <v/>
      </c>
      <c r="L2477" s="3" t="inlineStr">
        <is>
          <t>NON SALES</t>
        </is>
      </c>
    </row>
    <row r="2478">
      <c r="A2478" s="5" t="inlineStr">
        <is>
          <t>OP19934</t>
        </is>
      </c>
      <c r="B2478" s="6" t="inlineStr">
        <is>
          <t>Rizki Gunawan</t>
        </is>
      </c>
      <c r="C2478" s="7" t="inlineStr">
        <is>
          <t>A - Agen</t>
        </is>
      </c>
      <c r="D2478" s="1" t="inlineStr">
        <is>
          <t>OP00002</t>
        </is>
      </c>
      <c r="E2478" s="8" t="n">
        <v>46065.52291666667</v>
      </c>
      <c r="F2478" s="7" t="inlineStr">
        <is>
          <t>AGEN</t>
        </is>
      </c>
      <c r="G2478" s="18" t="inlineStr">
        <is>
          <t>OP19934</t>
        </is>
      </c>
      <c r="H2478" s="19">
        <f>UPPER(Table3[[#This Row],[Agen id]]&amp;"-"&amp;VLOOKUP(Table3[[#This Row],[Agen id]],A:B,2,0)&amp;"("&amp;Table3[[#This Row],[Short]]&amp;")")</f>
        <v/>
      </c>
      <c r="J2478" s="7">
        <f>VLOOKUP(Table3[[#This Row],[Agen id]],Agen!A:C,3,0)</f>
        <v/>
      </c>
      <c r="K2478" s="37">
        <f>TRIM(LEFT(Table3[[#This Row],[Group]],2))</f>
        <v/>
      </c>
      <c r="L2478" s="3" t="inlineStr">
        <is>
          <t>NON SALES</t>
        </is>
      </c>
    </row>
    <row r="2479">
      <c r="A2479" s="5" t="inlineStr">
        <is>
          <t>OP19937</t>
        </is>
      </c>
      <c r="B2479" s="6" t="inlineStr">
        <is>
          <t>LUKI</t>
        </is>
      </c>
      <c r="C2479" s="7" t="inlineStr">
        <is>
          <t>A - Agen</t>
        </is>
      </c>
      <c r="D2479" s="1" t="inlineStr">
        <is>
          <t>OP00003</t>
        </is>
      </c>
      <c r="E2479" s="8" t="n">
        <v>46067.1</v>
      </c>
      <c r="F2479" s="7" t="inlineStr">
        <is>
          <t>AGEN</t>
        </is>
      </c>
      <c r="G2479" s="18" t="inlineStr">
        <is>
          <t>OP19937</t>
        </is>
      </c>
      <c r="H2479" s="19">
        <f>UPPER(Table3[[#This Row],[Agen id]]&amp;"-"&amp;VLOOKUP(Table3[[#This Row],[Agen id]],A:B,2,0)&amp;"("&amp;Table3[[#This Row],[Short]]&amp;")")</f>
        <v/>
      </c>
      <c r="J2479" s="7">
        <f>VLOOKUP(Table3[[#This Row],[Agen id]],Agen!A:C,3,0)</f>
        <v/>
      </c>
      <c r="K2479" s="37">
        <f>TRIM(LEFT(Table3[[#This Row],[Group]],2))</f>
        <v/>
      </c>
      <c r="L2479" s="3" t="inlineStr">
        <is>
          <t>NON SALES</t>
        </is>
      </c>
    </row>
    <row r="2480">
      <c r="A2480" s="5" t="inlineStr">
        <is>
          <t>OP19942</t>
        </is>
      </c>
      <c r="B2480" s="6" t="inlineStr">
        <is>
          <t>fitri yani</t>
        </is>
      </c>
      <c r="C2480" s="7" t="inlineStr">
        <is>
          <t>AV - Agen Verified</t>
        </is>
      </c>
      <c r="D2480" s="1" t="inlineStr">
        <is>
          <t>OP13466</t>
        </is>
      </c>
      <c r="E2480" s="8" t="n">
        <v>46070.78402777778</v>
      </c>
      <c r="F2480" s="7" t="inlineStr">
        <is>
          <t>DOWNLINE</t>
        </is>
      </c>
      <c r="G2480" s="18" t="inlineStr">
        <is>
          <t>OP13466</t>
        </is>
      </c>
      <c r="H2480" s="19">
        <f>UPPER(Table3[[#This Row],[Agen id]]&amp;"-"&amp;VLOOKUP(Table3[[#This Row],[Agen id]],A:B,2,0)&amp;"("&amp;Table3[[#This Row],[Short]]&amp;")")</f>
        <v/>
      </c>
      <c r="J2480" s="7">
        <f>VLOOKUP(Table3[[#This Row],[Agen id]],Agen!A:C,3,0)</f>
        <v/>
      </c>
      <c r="K2480" s="37">
        <f>TRIM(LEFT(Table3[[#This Row],[Group]],2))</f>
        <v/>
      </c>
      <c r="L2480" s="3" t="inlineStr">
        <is>
          <t>NON SALES</t>
        </is>
      </c>
    </row>
    <row r="2481">
      <c r="A2481" s="5" t="inlineStr">
        <is>
          <t>OP19950</t>
        </is>
      </c>
      <c r="B2481" s="6" t="inlineStr">
        <is>
          <t>Yumiati Hello</t>
        </is>
      </c>
      <c r="C2481" s="7" t="inlineStr">
        <is>
          <t>A - Agen</t>
        </is>
      </c>
      <c r="D2481" s="1" t="inlineStr">
        <is>
          <t>OP00049</t>
        </is>
      </c>
      <c r="E2481" s="8" t="n">
        <v>46077.34444444445</v>
      </c>
      <c r="F2481" s="7" t="inlineStr">
        <is>
          <t>DOWNLINE</t>
        </is>
      </c>
      <c r="G2481" s="18" t="inlineStr">
        <is>
          <t>OP00049</t>
        </is>
      </c>
      <c r="H2481" s="19">
        <f>UPPER(Table3[[#This Row],[Agen id]]&amp;"-"&amp;VLOOKUP(Table3[[#This Row],[Agen id]],A:B,2,0)&amp;"("&amp;Table3[[#This Row],[Short]]&amp;")")</f>
        <v/>
      </c>
      <c r="J2481" s="7">
        <f>VLOOKUP(Table3[[#This Row],[Agen id]],Agen!A:C,3,0)</f>
        <v/>
      </c>
      <c r="K2481" s="37">
        <f>TRIM(LEFT(Table3[[#This Row],[Group]],2))</f>
        <v/>
      </c>
      <c r="L2481" s="3" t="inlineStr">
        <is>
          <t>NON SALES</t>
        </is>
      </c>
    </row>
    <row r="2482">
      <c r="A2482" s="5" t="inlineStr">
        <is>
          <t>OP19951</t>
        </is>
      </c>
      <c r="B2482" s="6" t="inlineStr">
        <is>
          <t>aya cell</t>
        </is>
      </c>
      <c r="C2482" s="7" t="inlineStr">
        <is>
          <t>AB1 - Agen Kab Bogor</t>
        </is>
      </c>
      <c r="D2482" s="1" t="inlineStr">
        <is>
          <t>OP08200</t>
        </is>
      </c>
      <c r="E2482" s="8" t="n">
        <v>46079.90486111111</v>
      </c>
      <c r="F2482" s="7" t="inlineStr">
        <is>
          <t>DOWNLINE</t>
        </is>
      </c>
      <c r="G2482" s="18" t="inlineStr">
        <is>
          <t>OP08200</t>
        </is>
      </c>
      <c r="H2482" s="19">
        <f>UPPER(Table3[[#This Row],[Agen id]]&amp;"-"&amp;VLOOKUP(Table3[[#This Row],[Agen id]],A:B,2,0)&amp;"("&amp;Table3[[#This Row],[Short]]&amp;")")</f>
        <v/>
      </c>
      <c r="J2482" s="7">
        <f>VLOOKUP(Table3[[#This Row],[Agen id]],Agen!A:C,3,0)</f>
        <v/>
      </c>
      <c r="K2482" s="37">
        <f>TRIM(LEFT(Table3[[#This Row],[Group]],2))</f>
        <v/>
      </c>
      <c r="L2482" s="3" t="inlineStr">
        <is>
          <t>NON SALES</t>
        </is>
      </c>
    </row>
    <row r="2483">
      <c r="A2483" s="5" t="inlineStr">
        <is>
          <t>OP19953</t>
        </is>
      </c>
      <c r="B2483" s="6" t="inlineStr">
        <is>
          <t>Dian Rahadian</t>
        </is>
      </c>
      <c r="C2483" s="7" t="inlineStr">
        <is>
          <t>AV - Agen Verified</t>
        </is>
      </c>
      <c r="D2483" s="1" t="inlineStr">
        <is>
          <t>OP00002</t>
        </is>
      </c>
      <c r="E2483" s="8" t="n">
        <v>46082.91875</v>
      </c>
      <c r="F2483" s="7" t="inlineStr">
        <is>
          <t>AGEN</t>
        </is>
      </c>
      <c r="G2483" s="18" t="inlineStr">
        <is>
          <t>OP19953</t>
        </is>
      </c>
      <c r="H2483" s="19">
        <f>UPPER(Table3[[#This Row],[Agen id]]&amp;"-"&amp;VLOOKUP(Table3[[#This Row],[Agen id]],A:B,2,0)&amp;"("&amp;Table3[[#This Row],[Short]]&amp;")")</f>
        <v/>
      </c>
      <c r="J2483" s="7">
        <f>VLOOKUP(Table3[[#This Row],[Agen id]],Agen!A:C,3,0)</f>
        <v/>
      </c>
      <c r="K2483" s="37">
        <f>TRIM(LEFT(Table3[[#This Row],[Group]],2))</f>
        <v/>
      </c>
      <c r="L2483" s="3" t="inlineStr">
        <is>
          <t>NON SALES</t>
        </is>
      </c>
    </row>
    <row r="2484">
      <c r="A2484" s="5" t="inlineStr">
        <is>
          <t>OP19960</t>
        </is>
      </c>
      <c r="B2484" s="6" t="inlineStr">
        <is>
          <t>Nur</t>
        </is>
      </c>
      <c r="C2484" s="7" t="inlineStr">
        <is>
          <t>A - Agen</t>
        </is>
      </c>
      <c r="D2484" s="1" t="inlineStr">
        <is>
          <t>OP00004</t>
        </is>
      </c>
      <c r="E2484" s="8" t="n">
        <v>46086.59583333333</v>
      </c>
      <c r="F2484" s="7" t="inlineStr">
        <is>
          <t>AGEN</t>
        </is>
      </c>
      <c r="G2484" s="18" t="inlineStr">
        <is>
          <t>OP19960</t>
        </is>
      </c>
      <c r="H2484" s="19">
        <f>UPPER(Table3[[#This Row],[Agen id]]&amp;"-"&amp;VLOOKUP(Table3[[#This Row],[Agen id]],A:B,2,0)&amp;"("&amp;Table3[[#This Row],[Short]]&amp;")")</f>
        <v/>
      </c>
      <c r="J2484" s="7">
        <f>VLOOKUP(Table3[[#This Row],[Agen id]],Agen!A:C,3,0)</f>
        <v/>
      </c>
      <c r="K2484" s="37">
        <f>TRIM(LEFT(Table3[[#This Row],[Group]],2))</f>
        <v/>
      </c>
      <c r="L2484" s="3" t="inlineStr">
        <is>
          <t>NON SALES</t>
        </is>
      </c>
    </row>
    <row r="2485">
      <c r="A2485" s="5" t="inlineStr">
        <is>
          <t>OP19965</t>
        </is>
      </c>
      <c r="B2485" s="6" t="inlineStr">
        <is>
          <t>Dandik Budi Prasetyo</t>
        </is>
      </c>
      <c r="C2485" s="7" t="inlineStr">
        <is>
          <t>AV - Agen Verified</t>
        </is>
      </c>
      <c r="D2485" s="1" t="inlineStr">
        <is>
          <t>OP00002</t>
        </is>
      </c>
      <c r="E2485" s="8" t="n">
        <v>46089.37222222222</v>
      </c>
      <c r="F2485" s="7" t="inlineStr">
        <is>
          <t>AGEN</t>
        </is>
      </c>
      <c r="G2485" s="18" t="inlineStr">
        <is>
          <t>OP19965</t>
        </is>
      </c>
      <c r="H2485" s="19">
        <f>UPPER(Table3[[#This Row],[Agen id]]&amp;"-"&amp;VLOOKUP(Table3[[#This Row],[Agen id]],A:B,2,0)&amp;"("&amp;Table3[[#This Row],[Short]]&amp;")")</f>
        <v/>
      </c>
      <c r="J2485" s="7">
        <f>VLOOKUP(Table3[[#This Row],[Agen id]],Agen!A:C,3,0)</f>
        <v/>
      </c>
      <c r="K2485" s="37">
        <f>TRIM(LEFT(Table3[[#This Row],[Group]],2))</f>
        <v/>
      </c>
      <c r="L2485" s="3" t="inlineStr">
        <is>
          <t>NON SALES</t>
        </is>
      </c>
    </row>
    <row r="2486">
      <c r="A2486" s="5" t="inlineStr">
        <is>
          <t>OP19967</t>
        </is>
      </c>
      <c r="B2486" s="6" t="inlineStr">
        <is>
          <t>Asih</t>
        </is>
      </c>
      <c r="C2486" s="7" t="inlineStr">
        <is>
          <t>A - Agen</t>
        </is>
      </c>
      <c r="D2486" s="1" t="inlineStr">
        <is>
          <t>OP00002</t>
        </is>
      </c>
      <c r="E2486" s="8" t="n">
        <v>46090.49722222222</v>
      </c>
      <c r="F2486" s="7" t="inlineStr">
        <is>
          <t>AGEN</t>
        </is>
      </c>
      <c r="G2486" s="18" t="inlineStr">
        <is>
          <t>OP19967</t>
        </is>
      </c>
      <c r="H2486" s="19">
        <f>UPPER(Table3[[#This Row],[Agen id]]&amp;"-"&amp;VLOOKUP(Table3[[#This Row],[Agen id]],A:B,2,0)&amp;"("&amp;Table3[[#This Row],[Short]]&amp;")")</f>
        <v/>
      </c>
      <c r="J2486" s="7">
        <f>VLOOKUP(Table3[[#This Row],[Agen id]],Agen!A:C,3,0)</f>
        <v/>
      </c>
      <c r="K2486" s="37">
        <f>TRIM(LEFT(Table3[[#This Row],[Group]],2))</f>
        <v/>
      </c>
      <c r="L2486" s="3" t="inlineStr">
        <is>
          <t>NON SALES</t>
        </is>
      </c>
    </row>
    <row r="2487">
      <c r="A2487" s="5" t="inlineStr">
        <is>
          <t>OP19968</t>
        </is>
      </c>
      <c r="B2487" s="6" t="inlineStr">
        <is>
          <t>Neniatul Hasanah</t>
        </is>
      </c>
      <c r="C2487" s="7" t="inlineStr">
        <is>
          <t>AV - Agen Verified</t>
        </is>
      </c>
      <c r="D2487" s="1" t="inlineStr">
        <is>
          <t>OP00002</t>
        </is>
      </c>
      <c r="E2487" s="8" t="n">
        <v>46091.48402777778</v>
      </c>
      <c r="F2487" s="7" t="inlineStr">
        <is>
          <t>AGEN</t>
        </is>
      </c>
      <c r="G2487" s="18" t="inlineStr">
        <is>
          <t>OP19968</t>
        </is>
      </c>
      <c r="H2487" s="19">
        <f>UPPER(Table3[[#This Row],[Agen id]]&amp;"-"&amp;VLOOKUP(Table3[[#This Row],[Agen id]],A:B,2,0)&amp;"("&amp;Table3[[#This Row],[Short]]&amp;")")</f>
        <v/>
      </c>
      <c r="J2487" s="7">
        <f>VLOOKUP(Table3[[#This Row],[Agen id]],Agen!A:C,3,0)</f>
        <v/>
      </c>
      <c r="K2487" s="37">
        <f>TRIM(LEFT(Table3[[#This Row],[Group]],2))</f>
        <v/>
      </c>
      <c r="L2487" s="3" t="inlineStr">
        <is>
          <t>NON SALES</t>
        </is>
      </c>
    </row>
    <row r="2488">
      <c r="A2488" s="5" t="inlineStr">
        <is>
          <t>OP19970</t>
        </is>
      </c>
      <c r="B2488" s="6" t="inlineStr">
        <is>
          <t>Aisyah</t>
        </is>
      </c>
      <c r="C2488" s="7" t="inlineStr">
        <is>
          <t>A - Agen</t>
        </is>
      </c>
      <c r="D2488" s="1" t="inlineStr">
        <is>
          <t>OP09127</t>
        </is>
      </c>
      <c r="E2488" s="8" t="n">
        <v>46092.83680555555</v>
      </c>
      <c r="F2488" s="7" t="inlineStr">
        <is>
          <t>DOWNLINE</t>
        </is>
      </c>
      <c r="G2488" s="18" t="inlineStr">
        <is>
          <t>OP09127</t>
        </is>
      </c>
      <c r="H2488" s="19">
        <f>UPPER(Table3[[#This Row],[Agen id]]&amp;"-"&amp;VLOOKUP(Table3[[#This Row],[Agen id]],A:B,2,0)&amp;"("&amp;Table3[[#This Row],[Short]]&amp;")")</f>
        <v/>
      </c>
      <c r="J2488" s="7">
        <f>VLOOKUP(Table3[[#This Row],[Agen id]],Agen!A:C,3,0)</f>
        <v/>
      </c>
      <c r="K2488" s="37">
        <f>TRIM(LEFT(Table3[[#This Row],[Group]],2))</f>
        <v/>
      </c>
      <c r="L2488" s="3" t="inlineStr">
        <is>
          <t>NON SALES</t>
        </is>
      </c>
    </row>
    <row r="2489">
      <c r="A2489" s="5" t="inlineStr">
        <is>
          <t>OP19988</t>
        </is>
      </c>
      <c r="B2489" s="6" t="inlineStr">
        <is>
          <t>adipunks18</t>
        </is>
      </c>
      <c r="C2489" s="7" t="inlineStr">
        <is>
          <t>A - Agen</t>
        </is>
      </c>
      <c r="D2489" s="1" t="inlineStr">
        <is>
          <t>OP00002</t>
        </is>
      </c>
      <c r="E2489" s="8" t="n">
        <v>46103.82708333333</v>
      </c>
      <c r="F2489" s="7" t="inlineStr">
        <is>
          <t>AGEN</t>
        </is>
      </c>
      <c r="G2489" s="18" t="inlineStr">
        <is>
          <t>OP19988</t>
        </is>
      </c>
      <c r="H2489" s="19">
        <f>UPPER(Table3[[#This Row],[Agen id]]&amp;"-"&amp;VLOOKUP(Table3[[#This Row],[Agen id]],A:B,2,0)&amp;"("&amp;Table3[[#This Row],[Short]]&amp;")")</f>
        <v/>
      </c>
      <c r="J2489" s="7">
        <f>VLOOKUP(Table3[[#This Row],[Agen id]],Agen!A:C,3,0)</f>
        <v/>
      </c>
      <c r="K2489" s="37">
        <f>TRIM(LEFT(Table3[[#This Row],[Group]],2))</f>
        <v/>
      </c>
      <c r="L2489" s="3" t="inlineStr">
        <is>
          <t>NON SALES</t>
        </is>
      </c>
    </row>
    <row r="2490">
      <c r="A2490" s="5" t="inlineStr">
        <is>
          <t>OP19989</t>
        </is>
      </c>
      <c r="B2490" s="6" t="inlineStr">
        <is>
          <t>Irpan GT</t>
        </is>
      </c>
      <c r="C2490" s="7" t="inlineStr">
        <is>
          <t>A - Agen</t>
        </is>
      </c>
      <c r="D2490" s="1" t="inlineStr">
        <is>
          <t>OP00002</t>
        </is>
      </c>
      <c r="E2490" s="8" t="n">
        <v>46103.83125</v>
      </c>
      <c r="F2490" s="7" t="inlineStr">
        <is>
          <t>AGEN</t>
        </is>
      </c>
      <c r="G2490" s="18" t="inlineStr">
        <is>
          <t>OP19989</t>
        </is>
      </c>
      <c r="H2490" s="19">
        <f>UPPER(Table3[[#This Row],[Agen id]]&amp;"-"&amp;VLOOKUP(Table3[[#This Row],[Agen id]],A:B,2,0)&amp;"("&amp;Table3[[#This Row],[Short]]&amp;")")</f>
        <v/>
      </c>
      <c r="J2490" s="7">
        <f>VLOOKUP(Table3[[#This Row],[Agen id]],Agen!A:C,3,0)</f>
        <v/>
      </c>
      <c r="K2490" s="37">
        <f>TRIM(LEFT(Table3[[#This Row],[Group]],2))</f>
        <v/>
      </c>
      <c r="L2490" s="3" t="inlineStr">
        <is>
          <t>NON SALES</t>
        </is>
      </c>
    </row>
    <row r="2491">
      <c r="A2491" s="5" t="inlineStr">
        <is>
          <t>OP19997</t>
        </is>
      </c>
      <c r="B2491" s="6" t="inlineStr">
        <is>
          <t>helki</t>
        </is>
      </c>
      <c r="C2491" s="7" t="inlineStr">
        <is>
          <t>AV - Agen Verified</t>
        </is>
      </c>
      <c r="D2491" s="1" t="inlineStr">
        <is>
          <t>OP13466</t>
        </is>
      </c>
      <c r="E2491" s="8" t="n">
        <v>46109.43541666667</v>
      </c>
      <c r="F2491" s="7" t="inlineStr">
        <is>
          <t>DOWNLINE</t>
        </is>
      </c>
      <c r="G2491" s="18" t="inlineStr">
        <is>
          <t>OP13466</t>
        </is>
      </c>
      <c r="H2491" s="19">
        <f>UPPER(Table3[[#This Row],[Agen id]]&amp;"-"&amp;VLOOKUP(Table3[[#This Row],[Agen id]],A:B,2,0)&amp;"("&amp;Table3[[#This Row],[Short]]&amp;")")</f>
        <v/>
      </c>
      <c r="J2491" s="7">
        <f>VLOOKUP(Table3[[#This Row],[Agen id]],Agen!A:C,3,0)</f>
        <v/>
      </c>
      <c r="K2491" s="37">
        <f>TRIM(LEFT(Table3[[#This Row],[Group]],2))</f>
        <v/>
      </c>
      <c r="L2491" s="3" t="inlineStr">
        <is>
          <t>NON SALES</t>
        </is>
      </c>
    </row>
    <row r="2492">
      <c r="A2492" s="5" t="inlineStr">
        <is>
          <t>OP19998</t>
        </is>
      </c>
      <c r="B2492" s="6" t="inlineStr">
        <is>
          <t>Terry Wijaya</t>
        </is>
      </c>
      <c r="C2492" s="7" t="inlineStr">
        <is>
          <t>A - Agen</t>
        </is>
      </c>
      <c r="D2492" s="1" t="inlineStr">
        <is>
          <t>OP00002</t>
        </is>
      </c>
      <c r="E2492" s="8" t="n">
        <v>46110.65833333333</v>
      </c>
      <c r="F2492" s="7" t="inlineStr">
        <is>
          <t>AGEN</t>
        </is>
      </c>
      <c r="G2492" s="18" t="inlineStr">
        <is>
          <t>OP19998</t>
        </is>
      </c>
      <c r="H2492" s="19">
        <f>UPPER(Table3[[#This Row],[Agen id]]&amp;"-"&amp;VLOOKUP(Table3[[#This Row],[Agen id]],A:B,2,0)&amp;"("&amp;Table3[[#This Row],[Short]]&amp;")")</f>
        <v/>
      </c>
      <c r="J2492" s="7">
        <f>VLOOKUP(Table3[[#This Row],[Agen id]],Agen!A:C,3,0)</f>
        <v/>
      </c>
      <c r="K2492" s="37">
        <f>TRIM(LEFT(Table3[[#This Row],[Group]],2))</f>
        <v/>
      </c>
      <c r="L2492" s="3" t="inlineStr">
        <is>
          <t>NON SALES</t>
        </is>
      </c>
    </row>
    <row r="2493">
      <c r="A2493" s="5" t="inlineStr">
        <is>
          <t>OP20001</t>
        </is>
      </c>
      <c r="B2493" s="6" t="inlineStr">
        <is>
          <t>DUA PUTRA</t>
        </is>
      </c>
      <c r="C2493" s="7" t="inlineStr">
        <is>
          <t>AV - Agen Verified</t>
        </is>
      </c>
      <c r="D2493" s="1" t="inlineStr">
        <is>
          <t>OP00002</t>
        </is>
      </c>
      <c r="E2493" s="8" t="n">
        <v>46112.62916666667</v>
      </c>
      <c r="F2493" s="7" t="inlineStr">
        <is>
          <t>AGEN</t>
        </is>
      </c>
      <c r="G2493" s="18" t="inlineStr">
        <is>
          <t>OP20001</t>
        </is>
      </c>
      <c r="H2493" s="19">
        <f>UPPER(Table3[[#This Row],[Agen id]]&amp;"-"&amp;VLOOKUP(Table3[[#This Row],[Agen id]],A:B,2,0)&amp;"("&amp;Table3[[#This Row],[Short]]&amp;")")</f>
        <v/>
      </c>
      <c r="J2493" s="7">
        <f>VLOOKUP(Table3[[#This Row],[Agen id]],Agen!A:C,3,0)</f>
        <v/>
      </c>
      <c r="K2493" s="37">
        <f>TRIM(LEFT(Table3[[#This Row],[Group]],2))</f>
        <v/>
      </c>
      <c r="L2493" s="3" t="inlineStr">
        <is>
          <t>NON SALES</t>
        </is>
      </c>
    </row>
    <row r="2494">
      <c r="A2494" s="5" t="inlineStr">
        <is>
          <t>OP20002</t>
        </is>
      </c>
      <c r="B2494" s="6" t="inlineStr">
        <is>
          <t>Shanum Cell</t>
        </is>
      </c>
      <c r="C2494" s="7" t="inlineStr">
        <is>
          <t>AV - Agen Verified</t>
        </is>
      </c>
      <c r="D2494" s="1" t="inlineStr">
        <is>
          <t>OP10941</t>
        </is>
      </c>
      <c r="E2494" s="8" t="n">
        <v>46112.75902777778</v>
      </c>
      <c r="F2494" s="7" t="inlineStr">
        <is>
          <t>DOWNLINE</t>
        </is>
      </c>
      <c r="G2494" s="18" t="inlineStr">
        <is>
          <t>OP10941</t>
        </is>
      </c>
      <c r="H2494" s="19">
        <f>UPPER(Table3[[#This Row],[Agen id]]&amp;"-"&amp;VLOOKUP(Table3[[#This Row],[Agen id]],A:B,2,0)&amp;"("&amp;Table3[[#This Row],[Short]]&amp;")")</f>
        <v/>
      </c>
      <c r="J2494" s="7">
        <f>VLOOKUP(Table3[[#This Row],[Agen id]],Agen!A:C,3,0)</f>
        <v/>
      </c>
      <c r="K2494" s="37">
        <f>TRIM(LEFT(Table3[[#This Row],[Group]],2))</f>
        <v/>
      </c>
      <c r="L2494" s="3" t="inlineStr">
        <is>
          <t>NON SALES</t>
        </is>
      </c>
    </row>
    <row r="2495">
      <c r="A2495" s="5" t="inlineStr">
        <is>
          <t>OP20005</t>
        </is>
      </c>
      <c r="B2495" s="6" t="inlineStr">
        <is>
          <t>Arsya Cell</t>
        </is>
      </c>
      <c r="C2495" s="7" t="inlineStr">
        <is>
          <t>AV - Agen Verified</t>
        </is>
      </c>
      <c r="D2495" s="1" t="inlineStr">
        <is>
          <t>OP10941</t>
        </is>
      </c>
      <c r="E2495" s="8" t="n">
        <v>46113.92152777778</v>
      </c>
      <c r="F2495" s="7" t="inlineStr">
        <is>
          <t>DOWNLINE</t>
        </is>
      </c>
      <c r="G2495" s="18" t="inlineStr">
        <is>
          <t>OP10941</t>
        </is>
      </c>
      <c r="H2495" s="19">
        <f>UPPER(Table3[[#This Row],[Agen id]]&amp;"-"&amp;VLOOKUP(Table3[[#This Row],[Agen id]],A:B,2,0)&amp;"("&amp;Table3[[#This Row],[Short]]&amp;")")</f>
        <v/>
      </c>
      <c r="J2495" s="7">
        <f>VLOOKUP(Table3[[#This Row],[Agen id]],Agen!A:C,3,0)</f>
        <v/>
      </c>
      <c r="K2495" s="37">
        <f>TRIM(LEFT(Table3[[#This Row],[Group]],2))</f>
        <v/>
      </c>
      <c r="L2495" s="3" t="inlineStr">
        <is>
          <t>NON SALES</t>
        </is>
      </c>
    </row>
    <row r="2496">
      <c r="A2496" s="5" t="inlineStr">
        <is>
          <t>OP20007</t>
        </is>
      </c>
      <c r="B2496" s="6" t="inlineStr">
        <is>
          <t>LIA</t>
        </is>
      </c>
      <c r="C2496" s="7" t="inlineStr">
        <is>
          <t>AT1 - Agen Tangerang</t>
        </is>
      </c>
      <c r="D2496" s="1" t="inlineStr">
        <is>
          <t>OP13054</t>
        </is>
      </c>
      <c r="E2496" s="8" t="n">
        <v>46113.95138888889</v>
      </c>
      <c r="F2496" s="7" t="inlineStr">
        <is>
          <t>DOWNLINE</t>
        </is>
      </c>
      <c r="G2496" s="18" t="inlineStr">
        <is>
          <t>OP13054</t>
        </is>
      </c>
      <c r="H2496" s="19">
        <f>UPPER(Table3[[#This Row],[Agen id]]&amp;"-"&amp;VLOOKUP(Table3[[#This Row],[Agen id]],A:B,2,0)&amp;"("&amp;Table3[[#This Row],[Short]]&amp;")")</f>
        <v/>
      </c>
      <c r="J2496" s="7">
        <f>VLOOKUP(Table3[[#This Row],[Agen id]],Agen!A:C,3,0)</f>
        <v/>
      </c>
      <c r="K2496" s="37">
        <f>TRIM(LEFT(Table3[[#This Row],[Group]],2))</f>
        <v/>
      </c>
      <c r="L2496" s="3" t="inlineStr">
        <is>
          <t>NON SALES</t>
        </is>
      </c>
    </row>
    <row r="2497">
      <c r="A2497" s="5" t="inlineStr">
        <is>
          <t>OP20009</t>
        </is>
      </c>
      <c r="B2497" s="6" t="inlineStr">
        <is>
          <t>Alfin Cell</t>
        </is>
      </c>
      <c r="C2497" s="7" t="inlineStr">
        <is>
          <t>AV - Agen Verified</t>
        </is>
      </c>
      <c r="D2497" s="1" t="inlineStr">
        <is>
          <t>OP10941</t>
        </is>
      </c>
      <c r="E2497" s="8" t="n">
        <v>46115.40486111111</v>
      </c>
      <c r="F2497" s="7" t="inlineStr">
        <is>
          <t>DOWNLINE</t>
        </is>
      </c>
      <c r="G2497" s="18" t="inlineStr">
        <is>
          <t>OP10941</t>
        </is>
      </c>
      <c r="H2497" s="19">
        <f>UPPER(Table3[[#This Row],[Agen id]]&amp;"-"&amp;VLOOKUP(Table3[[#This Row],[Agen id]],A:B,2,0)&amp;"("&amp;Table3[[#This Row],[Short]]&amp;")")</f>
        <v/>
      </c>
      <c r="J2497" s="7">
        <f>VLOOKUP(Table3[[#This Row],[Agen id]],Agen!A:C,3,0)</f>
        <v/>
      </c>
      <c r="K2497" s="37">
        <f>TRIM(LEFT(Table3[[#This Row],[Group]],2))</f>
        <v/>
      </c>
      <c r="L2497" s="3" t="inlineStr">
        <is>
          <t>NON SALES</t>
        </is>
      </c>
    </row>
    <row r="2498">
      <c r="A2498" s="5" t="inlineStr">
        <is>
          <t>OP20014</t>
        </is>
      </c>
      <c r="B2498" s="6" t="inlineStr">
        <is>
          <t>MAYA</t>
        </is>
      </c>
      <c r="C2498" s="7" t="inlineStr">
        <is>
          <t>AV - Agen Verified</t>
        </is>
      </c>
      <c r="D2498" s="1" t="inlineStr">
        <is>
          <t>OP14366</t>
        </is>
      </c>
      <c r="E2498" s="8" t="n">
        <v>46116.48819444444</v>
      </c>
      <c r="F2498" s="7" t="inlineStr">
        <is>
          <t>DOWNLINE</t>
        </is>
      </c>
      <c r="G2498" s="18" t="inlineStr">
        <is>
          <t>OP00431</t>
        </is>
      </c>
      <c r="H2498" s="19">
        <f>UPPER(Table3[[#This Row],[Agen id]]&amp;"-"&amp;VLOOKUP(Table3[[#This Row],[Agen id]],A:B,2,0)&amp;"("&amp;Table3[[#This Row],[Short]]&amp;")")</f>
        <v/>
      </c>
      <c r="J2498" s="7">
        <f>VLOOKUP(Table3[[#This Row],[Agen id]],Agen!A:C,3,0)</f>
        <v/>
      </c>
      <c r="K2498" s="37">
        <f>TRIM(LEFT(Table3[[#This Row],[Group]],2))</f>
        <v/>
      </c>
      <c r="L2498" s="3" t="inlineStr">
        <is>
          <t>NON SALES</t>
        </is>
      </c>
    </row>
    <row r="2499">
      <c r="A2499" s="5" t="inlineStr">
        <is>
          <t>OP20019</t>
        </is>
      </c>
      <c r="B2499" s="6" t="inlineStr">
        <is>
          <t>ALVA FEBRIAN</t>
        </is>
      </c>
      <c r="C2499" s="7" t="inlineStr">
        <is>
          <t>A - Agen</t>
        </is>
      </c>
      <c r="D2499" s="1" t="inlineStr">
        <is>
          <t>OP00002</t>
        </is>
      </c>
      <c r="E2499" s="8" t="n">
        <v>46119.47430555556</v>
      </c>
      <c r="F2499" s="7" t="inlineStr">
        <is>
          <t>AGEN</t>
        </is>
      </c>
      <c r="G2499" s="18" t="inlineStr">
        <is>
          <t>OP20019</t>
        </is>
      </c>
      <c r="H2499" s="19">
        <f>UPPER(Table3[[#This Row],[Agen id]]&amp;"-"&amp;VLOOKUP(Table3[[#This Row],[Agen id]],A:B,2,0)&amp;"("&amp;Table3[[#This Row],[Short]]&amp;")")</f>
        <v/>
      </c>
      <c r="J2499" s="7">
        <f>VLOOKUP(Table3[[#This Row],[Agen id]],Agen!A:C,3,0)</f>
        <v/>
      </c>
      <c r="K2499" s="37">
        <f>TRIM(LEFT(Table3[[#This Row],[Group]],2))</f>
        <v/>
      </c>
      <c r="L2499" s="3" t="inlineStr">
        <is>
          <t>NON SALES</t>
        </is>
      </c>
    </row>
    <row r="2500">
      <c r="A2500" s="5" t="inlineStr">
        <is>
          <t>OP20023</t>
        </is>
      </c>
      <c r="B2500" s="6" t="inlineStr">
        <is>
          <t>SUSI ALMAIDAH</t>
        </is>
      </c>
      <c r="C2500" s="7" t="inlineStr">
        <is>
          <t>A - Agen</t>
        </is>
      </c>
      <c r="D2500" s="1" t="inlineStr">
        <is>
          <t>OP00002</t>
        </is>
      </c>
      <c r="E2500" s="8" t="n">
        <v>46120.53125</v>
      </c>
      <c r="F2500" s="7" t="inlineStr">
        <is>
          <t>AGEN</t>
        </is>
      </c>
      <c r="G2500" s="18" t="inlineStr">
        <is>
          <t>OP20023</t>
        </is>
      </c>
      <c r="H2500" s="19">
        <f>UPPER(Table3[[#This Row],[Agen id]]&amp;"-"&amp;VLOOKUP(Table3[[#This Row],[Agen id]],A:B,2,0)&amp;"("&amp;Table3[[#This Row],[Short]]&amp;")")</f>
        <v/>
      </c>
      <c r="J2500" s="7">
        <f>VLOOKUP(Table3[[#This Row],[Agen id]],Agen!A:C,3,0)</f>
        <v/>
      </c>
      <c r="K2500" s="37">
        <f>TRIM(LEFT(Table3[[#This Row],[Group]],2))</f>
        <v/>
      </c>
      <c r="L2500" s="3" t="inlineStr">
        <is>
          <t>NON SALES</t>
        </is>
      </c>
    </row>
    <row r="2501">
      <c r="A2501" s="5" t="inlineStr">
        <is>
          <t>OP20025</t>
        </is>
      </c>
      <c r="B2501" s="6" t="inlineStr">
        <is>
          <t>Bayu Dermawan</t>
        </is>
      </c>
      <c r="C2501" s="7" t="inlineStr">
        <is>
          <t>A - Agen</t>
        </is>
      </c>
      <c r="D2501" s="1" t="inlineStr">
        <is>
          <t>OP00335</t>
        </is>
      </c>
      <c r="E2501" s="8" t="n">
        <v>46121.98333333333</v>
      </c>
      <c r="F2501" s="7" t="inlineStr">
        <is>
          <t>DOWNLINE</t>
        </is>
      </c>
      <c r="G2501" s="18" t="inlineStr">
        <is>
          <t>OP00335</t>
        </is>
      </c>
      <c r="H2501" s="19">
        <f>UPPER(Table3[[#This Row],[Agen id]]&amp;"-"&amp;VLOOKUP(Table3[[#This Row],[Agen id]],A:B,2,0)&amp;"("&amp;Table3[[#This Row],[Short]]&amp;")")</f>
        <v/>
      </c>
      <c r="J2501" s="7">
        <f>VLOOKUP(Table3[[#This Row],[Agen id]],Agen!A:C,3,0)</f>
        <v/>
      </c>
      <c r="K2501" s="37">
        <f>TRIM(LEFT(Table3[[#This Row],[Group]],2))</f>
        <v/>
      </c>
      <c r="L2501" s="3" t="inlineStr">
        <is>
          <t>NON SALES</t>
        </is>
      </c>
    </row>
    <row r="2502">
      <c r="A2502" s="5" t="inlineStr">
        <is>
          <t>OP20031</t>
        </is>
      </c>
      <c r="B2502" s="6" t="inlineStr">
        <is>
          <t>elvi</t>
        </is>
      </c>
      <c r="C2502" s="7" t="inlineStr">
        <is>
          <t>AV - Agen Verified</t>
        </is>
      </c>
      <c r="D2502" s="1" t="inlineStr">
        <is>
          <t>OP13466</t>
        </is>
      </c>
      <c r="E2502" s="8" t="n">
        <v>46124.44513888889</v>
      </c>
      <c r="F2502" s="7" t="inlineStr">
        <is>
          <t>DOWNLINE</t>
        </is>
      </c>
      <c r="G2502" s="18" t="inlineStr">
        <is>
          <t>OP13466</t>
        </is>
      </c>
      <c r="H2502" s="19">
        <f>UPPER(Table3[[#This Row],[Agen id]]&amp;"-"&amp;VLOOKUP(Table3[[#This Row],[Agen id]],A:B,2,0)&amp;"("&amp;Table3[[#This Row],[Short]]&amp;")")</f>
        <v/>
      </c>
      <c r="J2502" s="7">
        <f>VLOOKUP(Table3[[#This Row],[Agen id]],Agen!A:C,3,0)</f>
        <v/>
      </c>
      <c r="K2502" s="37">
        <f>TRIM(LEFT(Table3[[#This Row],[Group]],2))</f>
        <v/>
      </c>
      <c r="L2502" s="3" t="inlineStr">
        <is>
          <t>NON SALES</t>
        </is>
      </c>
    </row>
    <row r="2503">
      <c r="A2503" s="5" t="inlineStr">
        <is>
          <t>OP20035</t>
        </is>
      </c>
      <c r="B2503" s="6" t="inlineStr">
        <is>
          <t>gawocell 2</t>
        </is>
      </c>
      <c r="C2503" s="7" t="inlineStr">
        <is>
          <t>AV - Agen Verified</t>
        </is>
      </c>
      <c r="D2503" s="1" t="inlineStr">
        <is>
          <t>OP17042</t>
        </is>
      </c>
      <c r="E2503" s="8" t="n">
        <v>46127.74652777778</v>
      </c>
      <c r="F2503" s="7" t="inlineStr">
        <is>
          <t>DOWNLINE</t>
        </is>
      </c>
      <c r="G2503" s="18" t="inlineStr">
        <is>
          <t>OP17042</t>
        </is>
      </c>
      <c r="H2503" s="19">
        <f>UPPER(Table3[[#This Row],[Agen id]]&amp;"-"&amp;VLOOKUP(Table3[[#This Row],[Agen id]],A:B,2,0)&amp;"("&amp;Table3[[#This Row],[Short]]&amp;")")</f>
        <v/>
      </c>
      <c r="J2503" s="7">
        <f>VLOOKUP(Table3[[#This Row],[Agen id]],Agen!A:C,3,0)</f>
        <v/>
      </c>
      <c r="K2503" s="37">
        <f>TRIM(LEFT(Table3[[#This Row],[Group]],2))</f>
        <v/>
      </c>
      <c r="L2503" s="3" t="inlineStr">
        <is>
          <t>NON SALES</t>
        </is>
      </c>
    </row>
    <row r="2504">
      <c r="A2504" s="5" t="inlineStr">
        <is>
          <t>OP20041</t>
        </is>
      </c>
      <c r="B2504" s="6" t="inlineStr">
        <is>
          <t>24CELLULAR</t>
        </is>
      </c>
      <c r="C2504" s="7" t="inlineStr">
        <is>
          <t>MK - Marketing</t>
        </is>
      </c>
      <c r="D2504" s="1" t="inlineStr">
        <is>
          <t>OP07489</t>
        </is>
      </c>
      <c r="E2504" s="8" t="n">
        <v>46135.66388888889</v>
      </c>
      <c r="F2504" s="7" t="inlineStr">
        <is>
          <t>DOWNLINE</t>
        </is>
      </c>
      <c r="G2504" s="18" t="inlineStr">
        <is>
          <t>OP07489</t>
        </is>
      </c>
      <c r="H2504" s="19">
        <f>UPPER(Table3[[#This Row],[Agen id]]&amp;"-"&amp;VLOOKUP(Table3[[#This Row],[Agen id]],A:B,2,0)&amp;"("&amp;Table3[[#This Row],[Short]]&amp;")")</f>
        <v/>
      </c>
      <c r="J2504" s="7">
        <f>VLOOKUP(Table3[[#This Row],[Agen id]],Agen!A:C,3,0)</f>
        <v/>
      </c>
      <c r="K2504" s="37">
        <f>TRIM(LEFT(Table3[[#This Row],[Group]],2))</f>
        <v/>
      </c>
      <c r="L2504" s="3" t="inlineStr">
        <is>
          <t>NON SALES</t>
        </is>
      </c>
    </row>
    <row r="2505">
      <c r="A2505" s="5" t="inlineStr">
        <is>
          <t>OP20050</t>
        </is>
      </c>
      <c r="B2505" s="6" t="inlineStr">
        <is>
          <t>novita cell</t>
        </is>
      </c>
      <c r="C2505" s="7" t="inlineStr">
        <is>
          <t>AV - Agen Verified</t>
        </is>
      </c>
      <c r="D2505" s="1" t="inlineStr">
        <is>
          <t>OP08054</t>
        </is>
      </c>
      <c r="E2505" s="8" t="n">
        <v>46140.61805555555</v>
      </c>
      <c r="F2505" s="7" t="inlineStr">
        <is>
          <t>DOWNLINE</t>
        </is>
      </c>
      <c r="G2505" s="18" t="inlineStr">
        <is>
          <t>OP00049</t>
        </is>
      </c>
      <c r="H2505" s="19">
        <f>UPPER(Table3[[#This Row],[Agen id]]&amp;"-"&amp;VLOOKUP(Table3[[#This Row],[Agen id]],A:B,2,0)&amp;"("&amp;Table3[[#This Row],[Short]]&amp;")")</f>
        <v/>
      </c>
      <c r="J2505" s="7">
        <f>VLOOKUP(Table3[[#This Row],[Agen id]],Agen!A:C,3,0)</f>
        <v/>
      </c>
      <c r="K2505" s="37">
        <f>TRIM(LEFT(Table3[[#This Row],[Group]],2))</f>
        <v/>
      </c>
      <c r="L2505" s="3" t="inlineStr">
        <is>
          <t>NON SALES</t>
        </is>
      </c>
    </row>
    <row r="2506">
      <c r="A2506" s="5" t="inlineStr">
        <is>
          <t>OP20051</t>
        </is>
      </c>
      <c r="B2506" s="6" t="inlineStr">
        <is>
          <t>putra cell</t>
        </is>
      </c>
      <c r="C2506" s="7" t="inlineStr">
        <is>
          <t>AK - Agen Khusus</t>
        </is>
      </c>
      <c r="D2506" s="1" t="inlineStr">
        <is>
          <t>OP00002</t>
        </is>
      </c>
      <c r="E2506" s="8" t="n">
        <v>46140.86319444444</v>
      </c>
      <c r="F2506" s="7" t="inlineStr">
        <is>
          <t>AGEN</t>
        </is>
      </c>
      <c r="G2506" s="18" t="inlineStr">
        <is>
          <t>OP20051</t>
        </is>
      </c>
      <c r="H2506" s="19">
        <f>UPPER(Table3[[#This Row],[Agen id]]&amp;"-"&amp;VLOOKUP(Table3[[#This Row],[Agen id]],A:B,2,0)&amp;"("&amp;Table3[[#This Row],[Short]]&amp;")")</f>
        <v/>
      </c>
      <c r="J2506" s="7">
        <f>VLOOKUP(Table3[[#This Row],[Agen id]],Agen!A:C,3,0)</f>
        <v/>
      </c>
      <c r="K2506" s="37">
        <f>TRIM(LEFT(Table3[[#This Row],[Group]],2))</f>
        <v/>
      </c>
      <c r="L2506" s="3" t="inlineStr">
        <is>
          <t>NON SALES</t>
        </is>
      </c>
    </row>
    <row r="2507">
      <c r="A2507" s="5" t="inlineStr">
        <is>
          <t>OP20052</t>
        </is>
      </c>
      <c r="B2507" s="6" t="inlineStr">
        <is>
          <t>bekstore</t>
        </is>
      </c>
      <c r="C2507" s="7" t="inlineStr">
        <is>
          <t>A - Agen</t>
        </is>
      </c>
      <c r="D2507" s="1" t="inlineStr">
        <is>
          <t>OP00002</t>
        </is>
      </c>
      <c r="E2507" s="8" t="n">
        <v>46142.95347222222</v>
      </c>
      <c r="F2507" s="7" t="inlineStr">
        <is>
          <t>AGEN</t>
        </is>
      </c>
      <c r="G2507" s="18" t="inlineStr">
        <is>
          <t>OP20052</t>
        </is>
      </c>
      <c r="H2507" s="19">
        <f>UPPER(Table3[[#This Row],[Agen id]]&amp;"-"&amp;VLOOKUP(Table3[[#This Row],[Agen id]],A:B,2,0)&amp;"("&amp;Table3[[#This Row],[Short]]&amp;")")</f>
        <v/>
      </c>
      <c r="J2507" s="7">
        <f>VLOOKUP(Table3[[#This Row],[Agen id]],Agen!A:C,3,0)</f>
        <v/>
      </c>
      <c r="K2507" s="37">
        <f>TRIM(LEFT(Table3[[#This Row],[Group]],2))</f>
        <v/>
      </c>
      <c r="L2507" s="3" t="inlineStr">
        <is>
          <t>NON SALES</t>
        </is>
      </c>
    </row>
    <row r="2508">
      <c r="A2508" s="5" t="inlineStr">
        <is>
          <t>OP20055</t>
        </is>
      </c>
      <c r="B2508" s="6" t="inlineStr">
        <is>
          <t>toko nenk nuha</t>
        </is>
      </c>
      <c r="C2508" s="7" t="inlineStr">
        <is>
          <t>AV - Agen Verified</t>
        </is>
      </c>
      <c r="D2508" s="1" t="inlineStr">
        <is>
          <t>OP18815</t>
        </is>
      </c>
      <c r="E2508" s="8" t="n">
        <v>46144.9625</v>
      </c>
      <c r="F2508" s="7" t="inlineStr">
        <is>
          <t>DOWNLINE</t>
        </is>
      </c>
      <c r="G2508" s="18" t="inlineStr">
        <is>
          <t>OP18815</t>
        </is>
      </c>
      <c r="H2508" s="19">
        <f>UPPER(Table3[[#This Row],[Agen id]]&amp;"-"&amp;VLOOKUP(Table3[[#This Row],[Agen id]],A:B,2,0)&amp;"("&amp;Table3[[#This Row],[Short]]&amp;")")</f>
        <v/>
      </c>
      <c r="J2508" s="7">
        <f>VLOOKUP(Table3[[#This Row],[Agen id]],Agen!A:C,3,0)</f>
        <v/>
      </c>
      <c r="K2508" s="37">
        <f>TRIM(LEFT(Table3[[#This Row],[Group]],2))</f>
        <v/>
      </c>
      <c r="L2508" s="3" t="inlineStr">
        <is>
          <t>NON SALES</t>
        </is>
      </c>
    </row>
    <row r="2509">
      <c r="A2509" s="5" t="inlineStr">
        <is>
          <t>OP20058</t>
        </is>
      </c>
      <c r="B2509" s="6" t="inlineStr">
        <is>
          <t>Rizki Gunawan</t>
        </is>
      </c>
      <c r="C2509" s="7" t="inlineStr">
        <is>
          <t>AK - Agen Khusus</t>
        </is>
      </c>
      <c r="D2509" s="1" t="inlineStr">
        <is>
          <t>OP00002</t>
        </is>
      </c>
      <c r="E2509" s="8" t="n">
        <v>46149.45069444444</v>
      </c>
      <c r="F2509" s="7" t="inlineStr">
        <is>
          <t>AGEN</t>
        </is>
      </c>
      <c r="G2509" s="18" t="inlineStr">
        <is>
          <t>OP20058</t>
        </is>
      </c>
      <c r="H2509" s="19">
        <f>UPPER(Table3[[#This Row],[Agen id]]&amp;"-"&amp;VLOOKUP(Table3[[#This Row],[Agen id]],A:B,2,0)&amp;"("&amp;Table3[[#This Row],[Short]]&amp;")")</f>
        <v/>
      </c>
      <c r="J2509" s="7">
        <f>VLOOKUP(Table3[[#This Row],[Agen id]],Agen!A:C,3,0)</f>
        <v/>
      </c>
      <c r="K2509" s="37">
        <f>TRIM(LEFT(Table3[[#This Row],[Group]],2))</f>
        <v/>
      </c>
      <c r="L2509" s="3" t="inlineStr">
        <is>
          <t>NON SALES</t>
        </is>
      </c>
    </row>
    <row r="2510">
      <c r="A2510" s="5" t="inlineStr">
        <is>
          <t>OP20060</t>
        </is>
      </c>
      <c r="B2510" s="6" t="inlineStr">
        <is>
          <t>Niko</t>
        </is>
      </c>
      <c r="C2510" s="7" t="inlineStr">
        <is>
          <t>A - Agen</t>
        </is>
      </c>
      <c r="D2510" s="1" t="inlineStr">
        <is>
          <t>OP00788</t>
        </is>
      </c>
      <c r="E2510" s="8" t="n">
        <v>46150.67152777778</v>
      </c>
      <c r="F2510" s="7" t="inlineStr">
        <is>
          <t>DOWNLINE</t>
        </is>
      </c>
      <c r="G2510" s="18" t="inlineStr">
        <is>
          <t>OP00431</t>
        </is>
      </c>
      <c r="H2510" s="19">
        <f>UPPER(Table3[[#This Row],[Agen id]]&amp;"-"&amp;VLOOKUP(Table3[[#This Row],[Agen id]],A:B,2,0)&amp;"("&amp;Table3[[#This Row],[Short]]&amp;")")</f>
        <v/>
      </c>
      <c r="J2510" s="7">
        <f>VLOOKUP(Table3[[#This Row],[Agen id]],Agen!A:C,3,0)</f>
        <v/>
      </c>
      <c r="K2510" s="37">
        <f>TRIM(LEFT(Table3[[#This Row],[Group]],2))</f>
        <v/>
      </c>
      <c r="L2510" s="3" t="inlineStr">
        <is>
          <t>NON SALES</t>
        </is>
      </c>
    </row>
    <row r="2511">
      <c r="A2511" s="5" t="inlineStr">
        <is>
          <t>OP20064</t>
        </is>
      </c>
      <c r="B2511" s="6" t="inlineStr">
        <is>
          <t>Yani</t>
        </is>
      </c>
      <c r="C2511" s="7" t="inlineStr">
        <is>
          <t>A - Agen</t>
        </is>
      </c>
      <c r="D2511" s="1" t="inlineStr">
        <is>
          <t>OP00002</t>
        </is>
      </c>
      <c r="E2511" s="8" t="n">
        <v>46152.39305555556</v>
      </c>
      <c r="F2511" s="7" t="inlineStr">
        <is>
          <t>AGEN</t>
        </is>
      </c>
      <c r="G2511" s="18" t="inlineStr">
        <is>
          <t>OP20064</t>
        </is>
      </c>
      <c r="H2511" s="19">
        <f>UPPER(Table3[[#This Row],[Agen id]]&amp;"-"&amp;VLOOKUP(Table3[[#This Row],[Agen id]],A:B,2,0)&amp;"("&amp;Table3[[#This Row],[Short]]&amp;")")</f>
        <v/>
      </c>
      <c r="J2511" s="7">
        <f>VLOOKUP(Table3[[#This Row],[Agen id]],Agen!A:C,3,0)</f>
        <v/>
      </c>
      <c r="K2511" s="37">
        <f>TRIM(LEFT(Table3[[#This Row],[Group]],2))</f>
        <v/>
      </c>
      <c r="L2511" s="3" t="inlineStr">
        <is>
          <t>NON SALES</t>
        </is>
      </c>
    </row>
    <row r="2512">
      <c r="A2512" s="5" t="inlineStr">
        <is>
          <t>OP20065</t>
        </is>
      </c>
      <c r="B2512" s="6" t="inlineStr">
        <is>
          <t>Zet faot</t>
        </is>
      </c>
      <c r="C2512" s="7" t="inlineStr">
        <is>
          <t>AV - Agen Verified</t>
        </is>
      </c>
      <c r="D2512" s="1" t="inlineStr">
        <is>
          <t>OP13466</t>
        </is>
      </c>
      <c r="E2512" s="8" t="n">
        <v>46152.65208333333</v>
      </c>
      <c r="F2512" s="7" t="inlineStr">
        <is>
          <t>DOWNLINE</t>
        </is>
      </c>
      <c r="G2512" s="18" t="inlineStr">
        <is>
          <t>OP13466</t>
        </is>
      </c>
      <c r="H2512" s="19">
        <f>UPPER(Table3[[#This Row],[Agen id]]&amp;"-"&amp;VLOOKUP(Table3[[#This Row],[Agen id]],A:B,2,0)&amp;"("&amp;Table3[[#This Row],[Short]]&amp;")")</f>
        <v/>
      </c>
      <c r="J2512" s="7">
        <f>VLOOKUP(Table3[[#This Row],[Agen id]],Agen!A:C,3,0)</f>
        <v/>
      </c>
      <c r="K2512" s="37">
        <f>TRIM(LEFT(Table3[[#This Row],[Group]],2))</f>
        <v/>
      </c>
      <c r="L2512" s="3" t="inlineStr">
        <is>
          <t>NON SALES</t>
        </is>
      </c>
    </row>
    <row r="2513">
      <c r="A2513" s="5" t="inlineStr">
        <is>
          <t>OP20071</t>
        </is>
      </c>
      <c r="B2513" s="6" t="inlineStr">
        <is>
          <t>Jopan79</t>
        </is>
      </c>
      <c r="C2513" s="7" t="inlineStr">
        <is>
          <t>A - Agen</t>
        </is>
      </c>
      <c r="D2513" s="1" t="inlineStr">
        <is>
          <t>OP00002</t>
        </is>
      </c>
      <c r="E2513" s="8" t="n">
        <v>46155.86805555555</v>
      </c>
      <c r="F2513" s="7" t="inlineStr">
        <is>
          <t>AGEN</t>
        </is>
      </c>
      <c r="G2513" s="18" t="inlineStr">
        <is>
          <t>OP20071</t>
        </is>
      </c>
      <c r="H2513" s="19">
        <f>UPPER(Table3[[#This Row],[Agen id]]&amp;"-"&amp;VLOOKUP(Table3[[#This Row],[Agen id]],A:B,2,0)&amp;"("&amp;Table3[[#This Row],[Short]]&amp;")")</f>
        <v/>
      </c>
      <c r="J2513" s="7">
        <f>VLOOKUP(Table3[[#This Row],[Agen id]],Agen!A:C,3,0)</f>
        <v/>
      </c>
      <c r="K2513" s="37">
        <f>TRIM(LEFT(Table3[[#This Row],[Group]],2))</f>
        <v/>
      </c>
      <c r="L2513" s="3" t="inlineStr">
        <is>
          <t>NON SALES</t>
        </is>
      </c>
    </row>
    <row r="2514">
      <c r="A2514" s="5" t="inlineStr">
        <is>
          <t>OP20074</t>
        </is>
      </c>
      <c r="B2514" s="6" t="inlineStr">
        <is>
          <t>Hafizah</t>
        </is>
      </c>
      <c r="C2514" s="7" t="inlineStr">
        <is>
          <t>A - Agen</t>
        </is>
      </c>
      <c r="D2514" s="1" t="inlineStr">
        <is>
          <t>OP00002</t>
        </is>
      </c>
      <c r="E2514" s="8" t="n">
        <v>46157.67708333334</v>
      </c>
      <c r="F2514" s="7" t="inlineStr">
        <is>
          <t>AGEN</t>
        </is>
      </c>
      <c r="G2514" s="18" t="inlineStr">
        <is>
          <t>OP20074</t>
        </is>
      </c>
      <c r="H2514" s="19">
        <f>UPPER(Table3[[#This Row],[Agen id]]&amp;"-"&amp;VLOOKUP(Table3[[#This Row],[Agen id]],A:B,2,0)&amp;"("&amp;Table3[[#This Row],[Short]]&amp;")")</f>
        <v/>
      </c>
      <c r="J2514" s="7">
        <f>VLOOKUP(Table3[[#This Row],[Agen id]],Agen!A:C,3,0)</f>
        <v/>
      </c>
      <c r="K2514" s="37">
        <f>TRIM(LEFT(Table3[[#This Row],[Group]],2))</f>
        <v/>
      </c>
      <c r="L2514" s="3" t="inlineStr">
        <is>
          <t>NON SALES</t>
        </is>
      </c>
    </row>
    <row r="2515">
      <c r="A2515" s="5" t="inlineStr">
        <is>
          <t>OP20076</t>
        </is>
      </c>
      <c r="B2515" s="6" t="inlineStr">
        <is>
          <t>Estiana</t>
        </is>
      </c>
      <c r="C2515" s="7" t="inlineStr">
        <is>
          <t>A - Agen</t>
        </is>
      </c>
      <c r="D2515" s="1" t="inlineStr">
        <is>
          <t>OP00002</t>
        </is>
      </c>
      <c r="E2515" s="8" t="n">
        <v>46158.61041666667</v>
      </c>
      <c r="F2515" s="7" t="inlineStr">
        <is>
          <t>AGEN</t>
        </is>
      </c>
      <c r="G2515" s="18" t="inlineStr">
        <is>
          <t>OP20076</t>
        </is>
      </c>
      <c r="H2515" s="19">
        <f>UPPER(Table3[[#This Row],[Agen id]]&amp;"-"&amp;VLOOKUP(Table3[[#This Row],[Agen id]],A:B,2,0)&amp;"("&amp;Table3[[#This Row],[Short]]&amp;")")</f>
        <v/>
      </c>
      <c r="J2515" s="7">
        <f>VLOOKUP(Table3[[#This Row],[Agen id]],Agen!A:C,3,0)</f>
        <v/>
      </c>
      <c r="K2515" s="37">
        <f>TRIM(LEFT(Table3[[#This Row],[Group]],2))</f>
        <v/>
      </c>
      <c r="L2515" s="3" t="inlineStr">
        <is>
          <t>NON SALES</t>
        </is>
      </c>
    </row>
    <row r="2516">
      <c r="A2516" s="5" t="inlineStr">
        <is>
          <t>OP20078</t>
        </is>
      </c>
      <c r="B2516" s="6" t="inlineStr">
        <is>
          <t>kasim</t>
        </is>
      </c>
      <c r="C2516" s="7" t="inlineStr">
        <is>
          <t>AV - Agen Verified</t>
        </is>
      </c>
      <c r="D2516" s="1" t="inlineStr">
        <is>
          <t>OP00002</t>
        </is>
      </c>
      <c r="E2516" s="8" t="n">
        <v>46162.76458333333</v>
      </c>
      <c r="F2516" s="7" t="inlineStr">
        <is>
          <t>AGEN</t>
        </is>
      </c>
      <c r="G2516" s="18" t="inlineStr">
        <is>
          <t>OP20078</t>
        </is>
      </c>
      <c r="H2516" s="19">
        <f>UPPER(Table3[[#This Row],[Agen id]]&amp;"-"&amp;VLOOKUP(Table3[[#This Row],[Agen id]],A:B,2,0)&amp;"("&amp;Table3[[#This Row],[Short]]&amp;")")</f>
        <v/>
      </c>
      <c r="J2516" s="7">
        <f>VLOOKUP(Table3[[#This Row],[Agen id]],Agen!A:C,3,0)</f>
        <v/>
      </c>
      <c r="K2516" s="37">
        <f>TRIM(LEFT(Table3[[#This Row],[Group]],2))</f>
        <v/>
      </c>
      <c r="L2516" s="3" t="inlineStr">
        <is>
          <t>NON SALES</t>
        </is>
      </c>
    </row>
    <row r="2517">
      <c r="A2517" s="5" t="inlineStr">
        <is>
          <t>OP20092</t>
        </is>
      </c>
      <c r="B2517" s="6" t="inlineStr">
        <is>
          <t>FARSHAD CELL</t>
        </is>
      </c>
      <c r="C2517" s="7" t="inlineStr">
        <is>
          <t>AV - Agen Verified</t>
        </is>
      </c>
      <c r="D2517" s="1" t="inlineStr">
        <is>
          <t>OP00002</t>
        </is>
      </c>
      <c r="E2517" s="8" t="n">
        <v>46171.90208333333</v>
      </c>
      <c r="F2517" s="7" t="inlineStr">
        <is>
          <t>AGEN</t>
        </is>
      </c>
      <c r="G2517" s="18" t="inlineStr">
        <is>
          <t>OP20092</t>
        </is>
      </c>
      <c r="H2517" s="19">
        <f>UPPER(Table3[[#This Row],[Agen id]]&amp;"-"&amp;VLOOKUP(Table3[[#This Row],[Agen id]],A:B,2,0)&amp;"("&amp;Table3[[#This Row],[Short]]&amp;")")</f>
        <v/>
      </c>
      <c r="J2517" s="7">
        <f>VLOOKUP(Table3[[#This Row],[Agen id]],Agen!A:C,3,0)</f>
        <v/>
      </c>
      <c r="K2517" s="37">
        <f>TRIM(LEFT(Table3[[#This Row],[Group]],2))</f>
        <v/>
      </c>
      <c r="L2517" s="3" t="inlineStr">
        <is>
          <t>NON SALES</t>
        </is>
      </c>
    </row>
    <row r="2518">
      <c r="A2518" s="5" t="inlineStr">
        <is>
          <t>OP20104</t>
        </is>
      </c>
      <c r="B2518" s="6" t="inlineStr">
        <is>
          <t>Hikmah Hidayati</t>
        </is>
      </c>
      <c r="C2518" s="7" t="inlineStr">
        <is>
          <t>AV - Agen Verified</t>
        </is>
      </c>
      <c r="D2518" s="1" t="inlineStr">
        <is>
          <t>OP00002</t>
        </is>
      </c>
      <c r="E2518" s="8" t="n">
        <v>46177.82013888889</v>
      </c>
      <c r="F2518" s="7" t="inlineStr">
        <is>
          <t>AGEN</t>
        </is>
      </c>
      <c r="G2518" s="18" t="inlineStr">
        <is>
          <t>OP20104</t>
        </is>
      </c>
      <c r="H2518" s="19">
        <f>UPPER(Table3[[#This Row],[Agen id]]&amp;"-"&amp;VLOOKUP(Table3[[#This Row],[Agen id]],A:B,2,0)&amp;"("&amp;Table3[[#This Row],[Short]]&amp;")")</f>
        <v/>
      </c>
      <c r="J2518" s="7">
        <f>VLOOKUP(Table3[[#This Row],[Agen id]],Agen!A:C,3,0)</f>
        <v/>
      </c>
      <c r="K2518" s="37">
        <f>TRIM(LEFT(Table3[[#This Row],[Group]],2))</f>
        <v/>
      </c>
      <c r="L2518" s="3" t="inlineStr">
        <is>
          <t>NON SALES</t>
        </is>
      </c>
    </row>
    <row r="2519">
      <c r="A2519" s="5" t="inlineStr">
        <is>
          <t>OP20121</t>
        </is>
      </c>
      <c r="B2519" s="6" t="inlineStr">
        <is>
          <t>Putri Ambarita</t>
        </is>
      </c>
      <c r="C2519" s="7" t="inlineStr">
        <is>
          <t>AV - Agen Verified</t>
        </is>
      </c>
      <c r="D2519" s="1" t="inlineStr">
        <is>
          <t>OP13615</t>
        </is>
      </c>
      <c r="E2519" s="8" t="n">
        <v>46185.8</v>
      </c>
      <c r="F2519" s="7" t="inlineStr">
        <is>
          <t>DOWNLINE</t>
        </is>
      </c>
      <c r="G2519" s="18" t="inlineStr">
        <is>
          <t>OP01449</t>
        </is>
      </c>
      <c r="H2519" s="19">
        <f>UPPER(Table3[[#This Row],[Agen id]]&amp;"-"&amp;VLOOKUP(Table3[[#This Row],[Agen id]],A:B,2,0)&amp;"("&amp;Table3[[#This Row],[Short]]&amp;")")</f>
        <v/>
      </c>
      <c r="J2519" s="7">
        <f>VLOOKUP(Table3[[#This Row],[Agen id]],Agen!A:C,3,0)</f>
        <v/>
      </c>
      <c r="K2519" s="37">
        <f>TRIM(LEFT(Table3[[#This Row],[Group]],2))</f>
        <v/>
      </c>
      <c r="L2519" s="3" t="inlineStr">
        <is>
          <t>NON SALES</t>
        </is>
      </c>
    </row>
    <row r="2520">
      <c r="A2520" s="5" t="inlineStr">
        <is>
          <t>OP20122</t>
        </is>
      </c>
      <c r="B2520" s="6" t="inlineStr">
        <is>
          <t>Simon</t>
        </is>
      </c>
      <c r="C2520" s="7" t="inlineStr">
        <is>
          <t>A - Agen</t>
        </is>
      </c>
      <c r="D2520" s="1" t="inlineStr">
        <is>
          <t>OP00002</t>
        </is>
      </c>
      <c r="E2520" s="8" t="n">
        <v>46185.81388888889</v>
      </c>
      <c r="F2520" s="7" t="inlineStr">
        <is>
          <t>AGEN</t>
        </is>
      </c>
      <c r="G2520" s="18" t="inlineStr">
        <is>
          <t>OP20122</t>
        </is>
      </c>
      <c r="H2520" s="19">
        <f>UPPER(Table3[[#This Row],[Agen id]]&amp;"-"&amp;VLOOKUP(Table3[[#This Row],[Agen id]],A:B,2,0)&amp;"("&amp;Table3[[#This Row],[Short]]&amp;")")</f>
        <v/>
      </c>
      <c r="J2520" s="7">
        <f>VLOOKUP(Table3[[#This Row],[Agen id]],Agen!A:C,3,0)</f>
        <v/>
      </c>
      <c r="K2520" s="37">
        <f>TRIM(LEFT(Table3[[#This Row],[Group]],2))</f>
        <v/>
      </c>
      <c r="L2520" s="3" t="inlineStr">
        <is>
          <t>NON SALES</t>
        </is>
      </c>
    </row>
    <row r="2521">
      <c r="A2521" s="5" t="inlineStr">
        <is>
          <t>OP20135</t>
        </is>
      </c>
      <c r="B2521" s="6" t="inlineStr">
        <is>
          <t>Sherly Cell</t>
        </is>
      </c>
      <c r="C2521" s="7" t="inlineStr">
        <is>
          <t>AV - Agen Verified</t>
        </is>
      </c>
      <c r="D2521" s="1" t="inlineStr">
        <is>
          <t>OP01048</t>
        </is>
      </c>
      <c r="E2521" s="8" t="n">
        <v>46194.86666666667</v>
      </c>
      <c r="F2521" s="7" t="inlineStr">
        <is>
          <t>DOWNLINE</t>
        </is>
      </c>
      <c r="G2521" s="18" t="inlineStr">
        <is>
          <t>OP01048</t>
        </is>
      </c>
      <c r="H2521" s="19">
        <f>UPPER(Table3[[#This Row],[Agen id]]&amp;"-"&amp;VLOOKUP(Table3[[#This Row],[Agen id]],A:B,2,0)&amp;"("&amp;Table3[[#This Row],[Short]]&amp;")")</f>
        <v/>
      </c>
      <c r="J2521" s="7">
        <f>VLOOKUP(Table3[[#This Row],[Agen id]],Agen!A:C,3,0)</f>
        <v/>
      </c>
      <c r="K2521" s="37">
        <f>TRIM(LEFT(Table3[[#This Row],[Group]],2))</f>
        <v/>
      </c>
      <c r="L2521" s="3" t="inlineStr">
        <is>
          <t>NON SALES</t>
        </is>
      </c>
    </row>
    <row r="2522">
      <c r="A2522" s="5" t="inlineStr">
        <is>
          <t>OP20141</t>
        </is>
      </c>
      <c r="B2522" s="6" t="inlineStr">
        <is>
          <t>Opik</t>
        </is>
      </c>
      <c r="C2522" s="7" t="inlineStr">
        <is>
          <t>AV - Agen Verified</t>
        </is>
      </c>
      <c r="D2522" s="1" t="inlineStr">
        <is>
          <t>OP00002</t>
        </is>
      </c>
      <c r="E2522" s="8" t="n">
        <v>46196.89305555556</v>
      </c>
      <c r="F2522" s="7" t="inlineStr">
        <is>
          <t>AGEN</t>
        </is>
      </c>
      <c r="G2522" s="18" t="inlineStr">
        <is>
          <t>OP20141</t>
        </is>
      </c>
      <c r="H2522" s="19">
        <f>UPPER(Table3[[#This Row],[Agen id]]&amp;"-"&amp;VLOOKUP(Table3[[#This Row],[Agen id]],A:B,2,0)&amp;"("&amp;Table3[[#This Row],[Short]]&amp;")")</f>
        <v/>
      </c>
      <c r="J2522" s="7">
        <f>VLOOKUP(Table3[[#This Row],[Agen id]],Agen!A:C,3,0)</f>
        <v/>
      </c>
      <c r="K2522" s="37">
        <f>TRIM(LEFT(Table3[[#This Row],[Group]],2))</f>
        <v/>
      </c>
      <c r="L2522" s="3" t="inlineStr">
        <is>
          <t>NON SALES</t>
        </is>
      </c>
    </row>
    <row r="2523">
      <c r="A2523" s="5" t="inlineStr">
        <is>
          <t>OP20142</t>
        </is>
      </c>
      <c r="B2523" s="6" t="inlineStr">
        <is>
          <t>Ayu Cell</t>
        </is>
      </c>
      <c r="C2523" s="7" t="inlineStr">
        <is>
          <t>AV - Agen Verified</t>
        </is>
      </c>
      <c r="D2523" s="1" t="inlineStr">
        <is>
          <t>OP10941</t>
        </is>
      </c>
      <c r="E2523" s="8" t="n">
        <v>46198.43680555555</v>
      </c>
      <c r="F2523" s="7" t="inlineStr">
        <is>
          <t>DOWNLINE</t>
        </is>
      </c>
      <c r="G2523" s="18" t="inlineStr">
        <is>
          <t>OP10941</t>
        </is>
      </c>
      <c r="H2523" s="19">
        <f>UPPER(Table3[[#This Row],[Agen id]]&amp;"-"&amp;VLOOKUP(Table3[[#This Row],[Agen id]],A:B,2,0)&amp;"("&amp;Table3[[#This Row],[Short]]&amp;")")</f>
        <v/>
      </c>
      <c r="J2523" s="7">
        <f>VLOOKUP(Table3[[#This Row],[Agen id]],Agen!A:C,3,0)</f>
        <v/>
      </c>
      <c r="K2523" s="37">
        <f>TRIM(LEFT(Table3[[#This Row],[Group]],2))</f>
        <v/>
      </c>
      <c r="L2523" s="3" t="inlineStr">
        <is>
          <t>NON SALES</t>
        </is>
      </c>
    </row>
    <row r="2524">
      <c r="A2524" s="5" t="inlineStr">
        <is>
          <t>OP20145</t>
        </is>
      </c>
      <c r="B2524" s="6" t="inlineStr">
        <is>
          <t>zahra aprilia pratiwi</t>
        </is>
      </c>
      <c r="C2524" s="7" t="inlineStr">
        <is>
          <t>A - Agen</t>
        </is>
      </c>
      <c r="D2524" s="1" t="inlineStr">
        <is>
          <t>OP00002</t>
        </is>
      </c>
      <c r="E2524" s="8" t="n">
        <v>46199.83819444444</v>
      </c>
      <c r="F2524" s="7" t="inlineStr">
        <is>
          <t>AGEN</t>
        </is>
      </c>
      <c r="G2524" s="18" t="inlineStr">
        <is>
          <t>OP20145</t>
        </is>
      </c>
      <c r="H2524" s="19">
        <f>UPPER(Table3[[#This Row],[Agen id]]&amp;"-"&amp;VLOOKUP(Table3[[#This Row],[Agen id]],A:B,2,0)&amp;"("&amp;Table3[[#This Row],[Short]]&amp;")")</f>
        <v/>
      </c>
      <c r="J2524" s="7">
        <f>VLOOKUP(Table3[[#This Row],[Agen id]],Agen!A:C,3,0)</f>
        <v/>
      </c>
      <c r="K2524" s="37">
        <f>TRIM(LEFT(Table3[[#This Row],[Group]],2))</f>
        <v/>
      </c>
      <c r="L2524" s="3" t="inlineStr">
        <is>
          <t>NON SALES</t>
        </is>
      </c>
    </row>
    <row r="2525">
      <c r="A2525" s="5" t="inlineStr">
        <is>
          <t>OP20146</t>
        </is>
      </c>
      <c r="B2525" s="6" t="inlineStr">
        <is>
          <t>Wulan</t>
        </is>
      </c>
      <c r="C2525" s="7" t="inlineStr">
        <is>
          <t>AV - Agen Verified</t>
        </is>
      </c>
      <c r="D2525" s="1" t="inlineStr">
        <is>
          <t>OP00002</t>
        </is>
      </c>
      <c r="E2525" s="8" t="n">
        <v>46200.23402777778</v>
      </c>
      <c r="F2525" s="7" t="inlineStr">
        <is>
          <t>AGEN</t>
        </is>
      </c>
      <c r="G2525" s="18" t="inlineStr">
        <is>
          <t>OP20146</t>
        </is>
      </c>
      <c r="H2525" s="19">
        <f>UPPER(Table3[[#This Row],[Agen id]]&amp;"-"&amp;VLOOKUP(Table3[[#This Row],[Agen id]],A:B,2,0)&amp;"("&amp;Table3[[#This Row],[Short]]&amp;")")</f>
        <v/>
      </c>
      <c r="J2525" s="7">
        <f>VLOOKUP(Table3[[#This Row],[Agen id]],Agen!A:C,3,0)</f>
        <v/>
      </c>
      <c r="K2525" s="37">
        <f>TRIM(LEFT(Table3[[#This Row],[Group]],2))</f>
        <v/>
      </c>
      <c r="L2525" s="3" t="inlineStr">
        <is>
          <t>NON SALES</t>
        </is>
      </c>
    </row>
    <row r="2526">
      <c r="A2526" s="5" t="inlineStr">
        <is>
          <t>OP20147</t>
        </is>
      </c>
      <c r="B2526" s="6" t="inlineStr">
        <is>
          <t>Theo Cell</t>
        </is>
      </c>
      <c r="C2526" s="7" t="inlineStr">
        <is>
          <t>AV - Agen Verified</t>
        </is>
      </c>
      <c r="D2526" s="1" t="inlineStr">
        <is>
          <t>OP02236</t>
        </is>
      </c>
      <c r="E2526" s="8" t="n">
        <v>46200.67430555556</v>
      </c>
      <c r="F2526" s="7" t="inlineStr">
        <is>
          <t>DOWNLINE</t>
        </is>
      </c>
      <c r="G2526" s="18" t="inlineStr">
        <is>
          <t>OP01689</t>
        </is>
      </c>
      <c r="H2526" s="19">
        <f>UPPER(Table3[[#This Row],[Agen id]]&amp;"-"&amp;VLOOKUP(Table3[[#This Row],[Agen id]],A:B,2,0)&amp;"("&amp;Table3[[#This Row],[Short]]&amp;")")</f>
        <v/>
      </c>
      <c r="J2526" s="7">
        <f>VLOOKUP(Table3[[#This Row],[Agen id]],Agen!A:C,3,0)</f>
        <v/>
      </c>
      <c r="K2526" s="37">
        <f>TRIM(LEFT(Table3[[#This Row],[Group]],2))</f>
        <v/>
      </c>
      <c r="L2526" s="3" t="inlineStr">
        <is>
          <t>NON SALES</t>
        </is>
      </c>
    </row>
    <row r="2527">
      <c r="A2527" s="5" t="inlineStr">
        <is>
          <t>OP18894</t>
        </is>
      </c>
      <c r="B2527" s="6" t="inlineStr">
        <is>
          <t>Arya Call</t>
        </is>
      </c>
      <c r="C2527" s="7" t="inlineStr">
        <is>
          <t>A - Agen</t>
        </is>
      </c>
      <c r="D2527" s="1" t="inlineStr">
        <is>
          <t>OP00002</t>
        </is>
      </c>
      <c r="E2527" s="8" t="n">
        <v>45880.56736111111</v>
      </c>
      <c r="F2527" s="7" t="inlineStr">
        <is>
          <t>AGEN</t>
        </is>
      </c>
      <c r="G2527" s="7" t="inlineStr">
        <is>
          <t>OP18894</t>
        </is>
      </c>
      <c r="H2527" s="19">
        <f>UPPER(Table3[[#This Row],[Agen id]]&amp;"-"&amp;VLOOKUP(Table3[[#This Row],[Agen id]],A:B,2,0)&amp;"("&amp;Table3[[#This Row],[Short]]&amp;")")</f>
        <v/>
      </c>
      <c r="J2527" s="7">
        <f>VLOOKUP(Table3[[#This Row],[Agen id]],Agen!A:C,3,0)</f>
        <v/>
      </c>
      <c r="K2527" s="37">
        <f>TRIM(LEFT(Table3[[#This Row],[Group]],2))</f>
        <v/>
      </c>
      <c r="L2527" s="3" t="inlineStr">
        <is>
          <t>NON SALES</t>
        </is>
      </c>
    </row>
    <row r="2528">
      <c r="A2528" s="5" t="inlineStr">
        <is>
          <t>OP18941</t>
        </is>
      </c>
      <c r="B2528" s="6" t="inlineStr">
        <is>
          <t>ELI ELIYA</t>
        </is>
      </c>
      <c r="C2528" s="7" t="inlineStr">
        <is>
          <t>A - Agen</t>
        </is>
      </c>
      <c r="D2528" s="1" t="inlineStr">
        <is>
          <t>OP07079</t>
        </is>
      </c>
      <c r="E2528" s="8" t="n">
        <v>45894.56388888889</v>
      </c>
      <c r="F2528" s="7" t="inlineStr">
        <is>
          <t>DOWNLINE</t>
        </is>
      </c>
      <c r="G2528" s="18" t="inlineStr">
        <is>
          <t>OP07079</t>
        </is>
      </c>
      <c r="H2528" s="19">
        <f>UPPER(Table3[[#This Row],[Agen id]]&amp;"-"&amp;VLOOKUP(Table3[[#This Row],[Agen id]],A:B,2,0)&amp;"("&amp;Table3[[#This Row],[Short]]&amp;")")</f>
        <v/>
      </c>
      <c r="J2528" s="7">
        <f>VLOOKUP(Table3[[#This Row],[Agen id]],Agen!A:C,3,0)</f>
        <v/>
      </c>
      <c r="K2528" s="37">
        <f>TRIM(LEFT(Table3[[#This Row],[Group]],2))</f>
        <v/>
      </c>
      <c r="L2528" s="3" t="inlineStr">
        <is>
          <t>NON SALES</t>
        </is>
      </c>
    </row>
    <row r="2529">
      <c r="A2529" s="5" t="inlineStr">
        <is>
          <t>OP19368</t>
        </is>
      </c>
      <c r="B2529" s="6" t="inlineStr">
        <is>
          <t>ARSYAD CELL</t>
        </is>
      </c>
      <c r="C2529" s="7" t="inlineStr">
        <is>
          <t>AV - Agen Verified</t>
        </is>
      </c>
      <c r="D2529" s="1" t="inlineStr">
        <is>
          <t>OP00002</t>
        </is>
      </c>
      <c r="E2529" s="8" t="n">
        <v>45928.36736111111</v>
      </c>
      <c r="F2529" s="7" t="inlineStr">
        <is>
          <t>AGEN</t>
        </is>
      </c>
      <c r="G2529" s="7" t="inlineStr">
        <is>
          <t>OP19368</t>
        </is>
      </c>
      <c r="H2529" s="19">
        <f>UPPER(Table3[[#This Row],[Agen id]]&amp;"-"&amp;VLOOKUP(Table3[[#This Row],[Agen id]],A:B,2,0)&amp;"("&amp;Table3[[#This Row],[Short]]&amp;")")</f>
        <v/>
      </c>
      <c r="J2529" s="7">
        <f>VLOOKUP(Table3[[#This Row],[Agen id]],Agen!A:C,3,0)</f>
        <v/>
      </c>
      <c r="K2529" s="37">
        <f>TRIM(LEFT(Table3[[#This Row],[Group]],2))</f>
        <v/>
      </c>
      <c r="L2529" s="3" t="inlineStr">
        <is>
          <t>NON SALES</t>
        </is>
      </c>
    </row>
    <row r="2530">
      <c r="A2530" s="5" t="inlineStr">
        <is>
          <t>OP19390</t>
        </is>
      </c>
      <c r="B2530" s="6" t="inlineStr">
        <is>
          <t>Pujo Suwarno</t>
        </is>
      </c>
      <c r="C2530" s="7" t="inlineStr">
        <is>
          <t>AV - Agen Verified</t>
        </is>
      </c>
      <c r="D2530" s="1" t="inlineStr">
        <is>
          <t>OP00002</t>
        </is>
      </c>
      <c r="E2530" s="8" t="n">
        <v>45929.87569444445</v>
      </c>
      <c r="F2530" s="7" t="inlineStr">
        <is>
          <t>AGEN</t>
        </is>
      </c>
      <c r="G2530" s="7" t="inlineStr">
        <is>
          <t>OP19390</t>
        </is>
      </c>
      <c r="H2530" s="19">
        <f>UPPER(Table3[[#This Row],[Agen id]]&amp;"-"&amp;VLOOKUP(Table3[[#This Row],[Agen id]],A:B,2,0)&amp;"("&amp;Table3[[#This Row],[Short]]&amp;")")</f>
        <v/>
      </c>
      <c r="J2530" s="7">
        <f>VLOOKUP(Table3[[#This Row],[Agen id]],Agen!A:C,3,0)</f>
        <v/>
      </c>
      <c r="K2530" s="37">
        <f>TRIM(LEFT(Table3[[#This Row],[Group]],2))</f>
        <v/>
      </c>
      <c r="L2530" s="3" t="inlineStr">
        <is>
          <t>NON SALES</t>
        </is>
      </c>
    </row>
    <row r="2531">
      <c r="A2531" s="5" t="inlineStr">
        <is>
          <t>OP19428</t>
        </is>
      </c>
      <c r="B2531" s="6" t="inlineStr">
        <is>
          <t>Bizar Cell</t>
        </is>
      </c>
      <c r="C2531" s="7" t="inlineStr">
        <is>
          <t>A - Agen</t>
        </is>
      </c>
      <c r="D2531" s="1" t="inlineStr">
        <is>
          <t>OP00002</t>
        </is>
      </c>
      <c r="E2531" s="8" t="n">
        <v>45932.09097222222</v>
      </c>
      <c r="F2531" s="7" t="inlineStr">
        <is>
          <t>AGEN</t>
        </is>
      </c>
      <c r="G2531" s="7" t="inlineStr">
        <is>
          <t>OP19428</t>
        </is>
      </c>
      <c r="H2531" s="19">
        <f>UPPER(Table3[[#This Row],[Agen id]]&amp;"-"&amp;VLOOKUP(Table3[[#This Row],[Agen id]],A:B,2,0)&amp;"("&amp;Table3[[#This Row],[Short]]&amp;")")</f>
        <v/>
      </c>
      <c r="J2531" s="7">
        <f>VLOOKUP(Table3[[#This Row],[Agen id]],Agen!A:C,3,0)</f>
        <v/>
      </c>
      <c r="K2531" s="37">
        <f>TRIM(LEFT(Table3[[#This Row],[Group]],2))</f>
        <v/>
      </c>
      <c r="L2531" s="3" t="inlineStr">
        <is>
          <t>NON SALES</t>
        </is>
      </c>
    </row>
    <row r="2532">
      <c r="A2532" s="5" t="inlineStr">
        <is>
          <t>OP19433</t>
        </is>
      </c>
      <c r="B2532" s="6" t="inlineStr">
        <is>
          <t>hesty ismaa</t>
        </is>
      </c>
      <c r="C2532" s="7" t="inlineStr">
        <is>
          <t>A - Agen</t>
        </is>
      </c>
      <c r="D2532" s="1" t="inlineStr">
        <is>
          <t>OP00002</t>
        </is>
      </c>
      <c r="E2532" s="8" t="n">
        <v>45932.4375</v>
      </c>
      <c r="F2532" s="7" t="inlineStr">
        <is>
          <t>AGEN</t>
        </is>
      </c>
      <c r="G2532" s="7" t="inlineStr">
        <is>
          <t>OP19433</t>
        </is>
      </c>
      <c r="H2532" s="19">
        <f>UPPER(Table3[[#This Row],[Agen id]]&amp;"-"&amp;VLOOKUP(Table3[[#This Row],[Agen id]],A:B,2,0)&amp;"("&amp;Table3[[#This Row],[Short]]&amp;")")</f>
        <v/>
      </c>
      <c r="J2532" s="7">
        <f>VLOOKUP(Table3[[#This Row],[Agen id]],Agen!A:C,3,0)</f>
        <v/>
      </c>
      <c r="K2532" s="37">
        <f>TRIM(LEFT(Table3[[#This Row],[Group]],2))</f>
        <v/>
      </c>
      <c r="L2532" s="3" t="inlineStr">
        <is>
          <t>NON SALES</t>
        </is>
      </c>
    </row>
    <row r="2533">
      <c r="A2533" s="5" t="inlineStr">
        <is>
          <t>OP19451</t>
        </is>
      </c>
      <c r="B2533" s="6" t="inlineStr">
        <is>
          <t>Angga</t>
        </is>
      </c>
      <c r="C2533" s="7" t="inlineStr">
        <is>
          <t>A - Agen</t>
        </is>
      </c>
      <c r="D2533" s="1" t="inlineStr">
        <is>
          <t>OP00002</t>
        </is>
      </c>
      <c r="E2533" s="8" t="n">
        <v>45933.57013888889</v>
      </c>
      <c r="F2533" s="7" t="inlineStr">
        <is>
          <t>AGEN</t>
        </is>
      </c>
      <c r="G2533" s="7" t="inlineStr">
        <is>
          <t>OP19451</t>
        </is>
      </c>
      <c r="H2533" s="19">
        <f>UPPER(Table3[[#This Row],[Agen id]]&amp;"-"&amp;VLOOKUP(Table3[[#This Row],[Agen id]],A:B,2,0)&amp;"("&amp;Table3[[#This Row],[Short]]&amp;")")</f>
        <v/>
      </c>
      <c r="J2533" s="7">
        <f>VLOOKUP(Table3[[#This Row],[Agen id]],Agen!A:C,3,0)</f>
        <v/>
      </c>
      <c r="K2533" s="37">
        <f>TRIM(LEFT(Table3[[#This Row],[Group]],2))</f>
        <v/>
      </c>
      <c r="L2533" s="3" t="inlineStr">
        <is>
          <t>NON SALES</t>
        </is>
      </c>
    </row>
    <row r="2534">
      <c r="A2534" s="5" t="inlineStr">
        <is>
          <t>OP19455</t>
        </is>
      </c>
      <c r="B2534" s="6" t="inlineStr">
        <is>
          <t>Sari Dahlia Illu</t>
        </is>
      </c>
      <c r="C2534" s="7" t="inlineStr">
        <is>
          <t>A - Agen</t>
        </is>
      </c>
      <c r="D2534" s="1" t="inlineStr">
        <is>
          <t>OP00002</t>
        </is>
      </c>
      <c r="E2534" s="8" t="n">
        <v>45934.30277777778</v>
      </c>
      <c r="F2534" s="7" t="inlineStr">
        <is>
          <t>AGEN</t>
        </is>
      </c>
      <c r="G2534" s="7" t="inlineStr">
        <is>
          <t>OP19455</t>
        </is>
      </c>
      <c r="H2534" s="19">
        <f>UPPER(Table3[[#This Row],[Agen id]]&amp;"-"&amp;VLOOKUP(Table3[[#This Row],[Agen id]],A:B,2,0)&amp;"("&amp;Table3[[#This Row],[Short]]&amp;")")</f>
        <v/>
      </c>
      <c r="J2534" s="7">
        <f>VLOOKUP(Table3[[#This Row],[Agen id]],Agen!A:C,3,0)</f>
        <v/>
      </c>
      <c r="K2534" s="37">
        <f>TRIM(LEFT(Table3[[#This Row],[Group]],2))</f>
        <v/>
      </c>
      <c r="L2534" s="3" t="inlineStr">
        <is>
          <t>NON SALES</t>
        </is>
      </c>
    </row>
    <row r="2535">
      <c r="A2535" s="5" t="inlineStr">
        <is>
          <t>OP19457</t>
        </is>
      </c>
      <c r="B2535" s="6" t="inlineStr">
        <is>
          <t>Peka Candra</t>
        </is>
      </c>
      <c r="C2535" s="7" t="inlineStr">
        <is>
          <t>A - Agen</t>
        </is>
      </c>
      <c r="D2535" s="1" t="inlineStr">
        <is>
          <t>OP00002</t>
        </is>
      </c>
      <c r="E2535" s="8" t="n">
        <v>45934.40208333333</v>
      </c>
      <c r="F2535" s="7" t="inlineStr">
        <is>
          <t>AGEN</t>
        </is>
      </c>
      <c r="G2535" s="7" t="inlineStr">
        <is>
          <t>OP19457</t>
        </is>
      </c>
      <c r="H2535" s="19">
        <f>UPPER(Table3[[#This Row],[Agen id]]&amp;"-"&amp;VLOOKUP(Table3[[#This Row],[Agen id]],A:B,2,0)&amp;"("&amp;Table3[[#This Row],[Short]]&amp;")")</f>
        <v/>
      </c>
      <c r="J2535" s="7">
        <f>VLOOKUP(Table3[[#This Row],[Agen id]],Agen!A:C,3,0)</f>
        <v/>
      </c>
      <c r="K2535" s="37">
        <f>TRIM(LEFT(Table3[[#This Row],[Group]],2))</f>
        <v/>
      </c>
      <c r="L2535" s="3" t="inlineStr">
        <is>
          <t>NON SALES</t>
        </is>
      </c>
    </row>
    <row r="2536">
      <c r="A2536" s="5" t="inlineStr">
        <is>
          <t>OP19464</t>
        </is>
      </c>
      <c r="B2536" s="6" t="inlineStr">
        <is>
          <t>RaishaCall</t>
        </is>
      </c>
      <c r="C2536" s="7" t="inlineStr">
        <is>
          <t>A - Agen</t>
        </is>
      </c>
      <c r="D2536" s="1" t="inlineStr">
        <is>
          <t>OP00002</t>
        </is>
      </c>
      <c r="E2536" s="8" t="n">
        <v>45934.72222222222</v>
      </c>
      <c r="F2536" s="7" t="inlineStr">
        <is>
          <t>AGEN</t>
        </is>
      </c>
      <c r="G2536" s="7" t="inlineStr">
        <is>
          <t>OP19464</t>
        </is>
      </c>
      <c r="H2536" s="19">
        <f>UPPER(Table3[[#This Row],[Agen id]]&amp;"-"&amp;VLOOKUP(Table3[[#This Row],[Agen id]],A:B,2,0)&amp;"("&amp;Table3[[#This Row],[Short]]&amp;")")</f>
        <v/>
      </c>
      <c r="J2536" s="7">
        <f>VLOOKUP(Table3[[#This Row],[Agen id]],Agen!A:C,3,0)</f>
        <v/>
      </c>
      <c r="K2536" s="37">
        <f>TRIM(LEFT(Table3[[#This Row],[Group]],2))</f>
        <v/>
      </c>
      <c r="L2536" s="3" t="inlineStr">
        <is>
          <t>NON SALES</t>
        </is>
      </c>
    </row>
    <row r="2537">
      <c r="A2537" s="5" t="inlineStr">
        <is>
          <t>OP19482</t>
        </is>
      </c>
      <c r="B2537" s="6" t="inlineStr">
        <is>
          <t>M Pajri Hamdi</t>
        </is>
      </c>
      <c r="C2537" s="7" t="inlineStr">
        <is>
          <t>A - Agen</t>
        </is>
      </c>
      <c r="D2537" s="1" t="inlineStr">
        <is>
          <t>OP00002</t>
        </is>
      </c>
      <c r="E2537" s="8" t="n">
        <v>45936.21111111111</v>
      </c>
      <c r="F2537" s="7" t="inlineStr">
        <is>
          <t>AGEN</t>
        </is>
      </c>
      <c r="G2537" s="7" t="inlineStr">
        <is>
          <t>OP19482</t>
        </is>
      </c>
      <c r="H2537" s="19">
        <f>UPPER(Table3[[#This Row],[Agen id]]&amp;"-"&amp;VLOOKUP(Table3[[#This Row],[Agen id]],A:B,2,0)&amp;"("&amp;Table3[[#This Row],[Short]]&amp;")")</f>
        <v/>
      </c>
      <c r="J2537" s="7">
        <f>VLOOKUP(Table3[[#This Row],[Agen id]],Agen!A:C,3,0)</f>
        <v/>
      </c>
      <c r="K2537" s="37">
        <f>TRIM(LEFT(Table3[[#This Row],[Group]],2))</f>
        <v/>
      </c>
      <c r="L2537" s="3" t="inlineStr">
        <is>
          <t>NON SALES</t>
        </is>
      </c>
    </row>
    <row r="2538">
      <c r="A2538" s="5" t="inlineStr">
        <is>
          <t>OP19540</t>
        </is>
      </c>
      <c r="B2538" s="6" t="inlineStr">
        <is>
          <t>Fanderli</t>
        </is>
      </c>
      <c r="C2538" s="7" t="inlineStr">
        <is>
          <t>A - Agen</t>
        </is>
      </c>
      <c r="D2538" s="1" t="inlineStr">
        <is>
          <t>OP00036</t>
        </is>
      </c>
      <c r="E2538" s="8" t="n">
        <v>45940.64930555555</v>
      </c>
      <c r="F2538" s="7" t="inlineStr">
        <is>
          <t>DOWNLINE</t>
        </is>
      </c>
      <c r="G2538" s="18" t="inlineStr">
        <is>
          <t>OP00036</t>
        </is>
      </c>
      <c r="H2538" s="19">
        <f>UPPER(Table3[[#This Row],[Agen id]]&amp;"-"&amp;VLOOKUP(Table3[[#This Row],[Agen id]],A:B,2,0)&amp;"("&amp;Table3[[#This Row],[Short]]&amp;")")</f>
        <v/>
      </c>
      <c r="J2538" s="7">
        <f>VLOOKUP(Table3[[#This Row],[Agen id]],Agen!A:C,3,0)</f>
        <v/>
      </c>
      <c r="K2538" s="37">
        <f>TRIM(LEFT(Table3[[#This Row],[Group]],2))</f>
        <v/>
      </c>
      <c r="L2538" s="3" t="inlineStr">
        <is>
          <t>NON SALES</t>
        </is>
      </c>
    </row>
    <row r="2539">
      <c r="A2539" s="5" t="inlineStr">
        <is>
          <t>OP19548</t>
        </is>
      </c>
      <c r="B2539" s="6" t="inlineStr">
        <is>
          <t>RIZKY CELL</t>
        </is>
      </c>
      <c r="C2539" s="7" t="inlineStr">
        <is>
          <t>A - Agen</t>
        </is>
      </c>
      <c r="D2539" s="1" t="inlineStr">
        <is>
          <t>OP00002</t>
        </is>
      </c>
      <c r="E2539" s="8" t="n">
        <v>45941.59027777778</v>
      </c>
      <c r="F2539" s="7" t="inlineStr">
        <is>
          <t>AGEN</t>
        </is>
      </c>
      <c r="G2539" s="7" t="inlineStr">
        <is>
          <t>OP19548</t>
        </is>
      </c>
      <c r="H2539" s="19">
        <f>UPPER(Table3[[#This Row],[Agen id]]&amp;"-"&amp;VLOOKUP(Table3[[#This Row],[Agen id]],A:B,2,0)&amp;"("&amp;Table3[[#This Row],[Short]]&amp;")")</f>
        <v/>
      </c>
      <c r="J2539" s="7">
        <f>VLOOKUP(Table3[[#This Row],[Agen id]],Agen!A:C,3,0)</f>
        <v/>
      </c>
      <c r="K2539" s="37">
        <f>TRIM(LEFT(Table3[[#This Row],[Group]],2))</f>
        <v/>
      </c>
      <c r="L2539" s="3" t="inlineStr">
        <is>
          <t>NON SALES</t>
        </is>
      </c>
    </row>
    <row r="2540">
      <c r="A2540" s="5" t="inlineStr">
        <is>
          <t>OP19552</t>
        </is>
      </c>
      <c r="B2540" s="6" t="inlineStr">
        <is>
          <t>Dhope Cell</t>
        </is>
      </c>
      <c r="C2540" s="7" t="inlineStr">
        <is>
          <t>A - Agen</t>
        </is>
      </c>
      <c r="D2540" s="1" t="inlineStr">
        <is>
          <t>OP00002</t>
        </is>
      </c>
      <c r="E2540" s="8" t="n">
        <v>45941.9125</v>
      </c>
      <c r="F2540" s="7" t="inlineStr">
        <is>
          <t>AGEN</t>
        </is>
      </c>
      <c r="G2540" s="7" t="inlineStr">
        <is>
          <t>OP19552</t>
        </is>
      </c>
      <c r="H2540" s="19">
        <f>UPPER(Table3[[#This Row],[Agen id]]&amp;"-"&amp;VLOOKUP(Table3[[#This Row],[Agen id]],A:B,2,0)&amp;"("&amp;Table3[[#This Row],[Short]]&amp;")")</f>
        <v/>
      </c>
      <c r="J2540" s="7">
        <f>VLOOKUP(Table3[[#This Row],[Agen id]],Agen!A:C,3,0)</f>
        <v/>
      </c>
      <c r="K2540" s="37">
        <f>TRIM(LEFT(Table3[[#This Row],[Group]],2))</f>
        <v/>
      </c>
      <c r="L2540" s="3" t="inlineStr">
        <is>
          <t>NON SALES</t>
        </is>
      </c>
    </row>
    <row r="2541">
      <c r="A2541" s="5" t="inlineStr">
        <is>
          <t>OP19575</t>
        </is>
      </c>
      <c r="B2541" s="6" t="inlineStr">
        <is>
          <t>Atri</t>
        </is>
      </c>
      <c r="C2541" s="7" t="inlineStr">
        <is>
          <t>A - Agen</t>
        </is>
      </c>
      <c r="D2541" s="1" t="inlineStr">
        <is>
          <t>OP00002</t>
        </is>
      </c>
      <c r="E2541" s="8" t="n">
        <v>45943.46388888889</v>
      </c>
      <c r="F2541" s="7" t="inlineStr">
        <is>
          <t>AGEN</t>
        </is>
      </c>
      <c r="G2541" s="7" t="inlineStr">
        <is>
          <t>OP19575</t>
        </is>
      </c>
      <c r="H2541" s="19">
        <f>UPPER(Table3[[#This Row],[Agen id]]&amp;"-"&amp;VLOOKUP(Table3[[#This Row],[Agen id]],A:B,2,0)&amp;"("&amp;Table3[[#This Row],[Short]]&amp;")")</f>
        <v/>
      </c>
      <c r="J2541" s="7">
        <f>VLOOKUP(Table3[[#This Row],[Agen id]],Agen!A:C,3,0)</f>
        <v/>
      </c>
      <c r="K2541" s="37">
        <f>TRIM(LEFT(Table3[[#This Row],[Group]],2))</f>
        <v/>
      </c>
      <c r="L2541" s="3" t="inlineStr">
        <is>
          <t>NON SALES</t>
        </is>
      </c>
    </row>
    <row r="2542">
      <c r="A2542" s="5" t="inlineStr">
        <is>
          <t>OP19576</t>
        </is>
      </c>
      <c r="B2542" s="6" t="inlineStr">
        <is>
          <t>Atika</t>
        </is>
      </c>
      <c r="C2542" s="7" t="inlineStr">
        <is>
          <t>A - Agen</t>
        </is>
      </c>
      <c r="D2542" s="1" t="inlineStr">
        <is>
          <t>OP00002</t>
        </is>
      </c>
      <c r="E2542" s="8" t="n">
        <v>45943.59652777778</v>
      </c>
      <c r="F2542" s="7" t="inlineStr">
        <is>
          <t>AGEN</t>
        </is>
      </c>
      <c r="G2542" s="7" t="inlineStr">
        <is>
          <t>OP19576</t>
        </is>
      </c>
      <c r="H2542" s="19">
        <f>UPPER(Table3[[#This Row],[Agen id]]&amp;"-"&amp;VLOOKUP(Table3[[#This Row],[Agen id]],A:B,2,0)&amp;"("&amp;Table3[[#This Row],[Short]]&amp;")")</f>
        <v/>
      </c>
      <c r="J2542" s="7">
        <f>VLOOKUP(Table3[[#This Row],[Agen id]],Agen!A:C,3,0)</f>
        <v/>
      </c>
      <c r="K2542" s="37">
        <f>TRIM(LEFT(Table3[[#This Row],[Group]],2))</f>
        <v/>
      </c>
      <c r="L2542" s="3" t="inlineStr">
        <is>
          <t>NON SALES</t>
        </is>
      </c>
    </row>
    <row r="2543">
      <c r="A2543" s="5" t="inlineStr">
        <is>
          <t>OP19598</t>
        </is>
      </c>
      <c r="B2543" s="6" t="inlineStr">
        <is>
          <t>Wihangfr01</t>
        </is>
      </c>
      <c r="C2543" s="7" t="inlineStr">
        <is>
          <t>A - Agen</t>
        </is>
      </c>
      <c r="D2543" s="1" t="inlineStr">
        <is>
          <t>OP00002</t>
        </is>
      </c>
      <c r="E2543" s="8" t="n">
        <v>45945.58194444444</v>
      </c>
      <c r="F2543" s="7" t="inlineStr">
        <is>
          <t>AGEN</t>
        </is>
      </c>
      <c r="G2543" s="7" t="inlineStr">
        <is>
          <t>OP19598</t>
        </is>
      </c>
      <c r="H2543" s="19">
        <f>UPPER(Table3[[#This Row],[Agen id]]&amp;"-"&amp;VLOOKUP(Table3[[#This Row],[Agen id]],A:B,2,0)&amp;"("&amp;Table3[[#This Row],[Short]]&amp;")")</f>
        <v/>
      </c>
      <c r="J2543" s="7">
        <f>VLOOKUP(Table3[[#This Row],[Agen id]],Agen!A:C,3,0)</f>
        <v/>
      </c>
      <c r="K2543" s="37">
        <f>TRIM(LEFT(Table3[[#This Row],[Group]],2))</f>
        <v/>
      </c>
      <c r="L2543" s="3" t="inlineStr">
        <is>
          <t>NON SALES</t>
        </is>
      </c>
    </row>
    <row r="2544">
      <c r="A2544" s="5" t="inlineStr">
        <is>
          <t>OP19636</t>
        </is>
      </c>
      <c r="B2544" s="6" t="inlineStr">
        <is>
          <t>Abil Cell</t>
        </is>
      </c>
      <c r="C2544" s="7" t="inlineStr">
        <is>
          <t>A - Agen</t>
        </is>
      </c>
      <c r="D2544" s="1" t="inlineStr">
        <is>
          <t>OP00002</t>
        </is>
      </c>
      <c r="E2544" s="8" t="n">
        <v>45948.52430555555</v>
      </c>
      <c r="F2544" s="7" t="inlineStr">
        <is>
          <t>AGEN</t>
        </is>
      </c>
      <c r="G2544" s="7" t="inlineStr">
        <is>
          <t>OP19636</t>
        </is>
      </c>
      <c r="H2544" s="19">
        <f>UPPER(Table3[[#This Row],[Agen id]]&amp;"-"&amp;VLOOKUP(Table3[[#This Row],[Agen id]],A:B,2,0)&amp;"("&amp;Table3[[#This Row],[Short]]&amp;")")</f>
        <v/>
      </c>
      <c r="J2544" s="7">
        <f>VLOOKUP(Table3[[#This Row],[Agen id]],Agen!A:C,3,0)</f>
        <v/>
      </c>
      <c r="K2544" s="37">
        <f>TRIM(LEFT(Table3[[#This Row],[Group]],2))</f>
        <v/>
      </c>
      <c r="L2544" s="3" t="inlineStr">
        <is>
          <t>NON SALES</t>
        </is>
      </c>
    </row>
    <row r="2545">
      <c r="A2545" s="5" t="inlineStr">
        <is>
          <t>OP19638</t>
        </is>
      </c>
      <c r="B2545" s="6" t="inlineStr">
        <is>
          <t>rizki gunawan</t>
        </is>
      </c>
      <c r="C2545" s="7" t="inlineStr">
        <is>
          <t>A - Agen</t>
        </is>
      </c>
      <c r="D2545" s="1" t="inlineStr">
        <is>
          <t>OP00002</t>
        </is>
      </c>
      <c r="E2545" s="8" t="n">
        <v>45948.65</v>
      </c>
      <c r="F2545" s="7" t="inlineStr">
        <is>
          <t>AGEN</t>
        </is>
      </c>
      <c r="G2545" s="7" t="inlineStr">
        <is>
          <t>OP19638</t>
        </is>
      </c>
      <c r="H2545" s="19">
        <f>UPPER(Table3[[#This Row],[Agen id]]&amp;"-"&amp;VLOOKUP(Table3[[#This Row],[Agen id]],A:B,2,0)&amp;"("&amp;Table3[[#This Row],[Short]]&amp;")")</f>
        <v/>
      </c>
      <c r="J2545" s="7">
        <f>VLOOKUP(Table3[[#This Row],[Agen id]],Agen!A:C,3,0)</f>
        <v/>
      </c>
      <c r="K2545" s="37">
        <f>TRIM(LEFT(Table3[[#This Row],[Group]],2))</f>
        <v/>
      </c>
      <c r="L2545" s="3" t="inlineStr">
        <is>
          <t>NON SALES</t>
        </is>
      </c>
    </row>
    <row r="2546">
      <c r="A2546" s="5" t="inlineStr">
        <is>
          <t>OP19641</t>
        </is>
      </c>
      <c r="B2546" s="6" t="inlineStr">
        <is>
          <t>aromiyadi</t>
        </is>
      </c>
      <c r="C2546" s="7" t="inlineStr">
        <is>
          <t>A - Agen</t>
        </is>
      </c>
      <c r="D2546" s="1" t="inlineStr">
        <is>
          <t>OP00002</t>
        </is>
      </c>
      <c r="E2546" s="8" t="n">
        <v>45949.35972222222</v>
      </c>
      <c r="F2546" s="7" t="inlineStr">
        <is>
          <t>AGEN</t>
        </is>
      </c>
      <c r="G2546" s="7" t="inlineStr">
        <is>
          <t>OP19641</t>
        </is>
      </c>
      <c r="H2546" s="19">
        <f>UPPER(Table3[[#This Row],[Agen id]]&amp;"-"&amp;VLOOKUP(Table3[[#This Row],[Agen id]],A:B,2,0)&amp;"("&amp;Table3[[#This Row],[Short]]&amp;")")</f>
        <v/>
      </c>
      <c r="J2546" s="7">
        <f>VLOOKUP(Table3[[#This Row],[Agen id]],Agen!A:C,3,0)</f>
        <v/>
      </c>
      <c r="K2546" s="37">
        <f>TRIM(LEFT(Table3[[#This Row],[Group]],2))</f>
        <v/>
      </c>
      <c r="L2546" s="3" t="inlineStr">
        <is>
          <t>NON SALES</t>
        </is>
      </c>
    </row>
    <row r="2547">
      <c r="A2547" s="5" t="inlineStr">
        <is>
          <t>OP19654</t>
        </is>
      </c>
      <c r="B2547" s="6" t="inlineStr">
        <is>
          <t>Kharisma</t>
        </is>
      </c>
      <c r="C2547" s="7" t="inlineStr">
        <is>
          <t>A - Agen</t>
        </is>
      </c>
      <c r="D2547" s="1" t="inlineStr">
        <is>
          <t>OP00002</t>
        </is>
      </c>
      <c r="E2547" s="8" t="n">
        <v>45952.06319444445</v>
      </c>
      <c r="F2547" s="7" t="inlineStr">
        <is>
          <t>AGEN</t>
        </is>
      </c>
      <c r="G2547" s="7" t="inlineStr">
        <is>
          <t>OP19654</t>
        </is>
      </c>
      <c r="H2547" s="19">
        <f>UPPER(Table3[[#This Row],[Agen id]]&amp;"-"&amp;VLOOKUP(Table3[[#This Row],[Agen id]],A:B,2,0)&amp;"("&amp;Table3[[#This Row],[Short]]&amp;")")</f>
        <v/>
      </c>
      <c r="J2547" s="7">
        <f>VLOOKUP(Table3[[#This Row],[Agen id]],Agen!A:C,3,0)</f>
        <v/>
      </c>
      <c r="K2547" s="37">
        <f>TRIM(LEFT(Table3[[#This Row],[Group]],2))</f>
        <v/>
      </c>
      <c r="L2547" s="3" t="inlineStr">
        <is>
          <t>NON SALES</t>
        </is>
      </c>
    </row>
    <row r="2548">
      <c r="A2548" s="5" t="inlineStr">
        <is>
          <t>OP19656</t>
        </is>
      </c>
      <c r="B2548" s="6" t="inlineStr">
        <is>
          <t>Gigis Setyawan</t>
        </is>
      </c>
      <c r="C2548" s="7" t="inlineStr">
        <is>
          <t>A - Agen</t>
        </is>
      </c>
      <c r="D2548" s="1" t="inlineStr">
        <is>
          <t>OP00002</t>
        </is>
      </c>
      <c r="E2548" s="8" t="n">
        <v>45952.39722222222</v>
      </c>
      <c r="F2548" s="7" t="inlineStr">
        <is>
          <t>AGEN</t>
        </is>
      </c>
      <c r="G2548" s="7" t="inlineStr">
        <is>
          <t>OP19656</t>
        </is>
      </c>
      <c r="H2548" s="19">
        <f>UPPER(Table3[[#This Row],[Agen id]]&amp;"-"&amp;VLOOKUP(Table3[[#This Row],[Agen id]],A:B,2,0)&amp;"("&amp;Table3[[#This Row],[Short]]&amp;")")</f>
        <v/>
      </c>
      <c r="J2548" s="7">
        <f>VLOOKUP(Table3[[#This Row],[Agen id]],Agen!A:C,3,0)</f>
        <v/>
      </c>
      <c r="K2548" s="37">
        <f>TRIM(LEFT(Table3[[#This Row],[Group]],2))</f>
        <v/>
      </c>
      <c r="L2548" s="3" t="inlineStr">
        <is>
          <t>NON SALES</t>
        </is>
      </c>
    </row>
    <row r="2549">
      <c r="A2549" s="5" t="inlineStr">
        <is>
          <t>OP19663</t>
        </is>
      </c>
      <c r="B2549" s="6" t="inlineStr">
        <is>
          <t>Shanty</t>
        </is>
      </c>
      <c r="C2549" s="7" t="inlineStr">
        <is>
          <t>A - Agen</t>
        </is>
      </c>
      <c r="D2549" s="1" t="inlineStr">
        <is>
          <t>OP00002</t>
        </is>
      </c>
      <c r="E2549" s="8" t="n">
        <v>45953.05277777778</v>
      </c>
      <c r="F2549" s="7" t="inlineStr">
        <is>
          <t>AGEN</t>
        </is>
      </c>
      <c r="G2549" s="7" t="inlineStr">
        <is>
          <t>OP19663</t>
        </is>
      </c>
      <c r="H2549" s="19">
        <f>UPPER(Table3[[#This Row],[Agen id]]&amp;"-"&amp;VLOOKUP(Table3[[#This Row],[Agen id]],A:B,2,0)&amp;"("&amp;Table3[[#This Row],[Short]]&amp;")")</f>
        <v/>
      </c>
      <c r="J2549" s="7">
        <f>VLOOKUP(Table3[[#This Row],[Agen id]],Agen!A:C,3,0)</f>
        <v/>
      </c>
      <c r="K2549" s="37">
        <f>TRIM(LEFT(Table3[[#This Row],[Group]],2))</f>
        <v/>
      </c>
      <c r="L2549" s="3" t="inlineStr">
        <is>
          <t>NON SALES</t>
        </is>
      </c>
    </row>
    <row r="2550">
      <c r="A2550" s="5" t="inlineStr">
        <is>
          <t>OP19672</t>
        </is>
      </c>
      <c r="B2550" s="6" t="inlineStr">
        <is>
          <t>Alqadrie</t>
        </is>
      </c>
      <c r="C2550" s="7" t="inlineStr">
        <is>
          <t>A - Agen</t>
        </is>
      </c>
      <c r="D2550" s="1" t="inlineStr">
        <is>
          <t>OP00002</t>
        </is>
      </c>
      <c r="E2550" s="8" t="n">
        <v>45954.01805555556</v>
      </c>
      <c r="F2550" s="7" t="inlineStr">
        <is>
          <t>AGEN</t>
        </is>
      </c>
      <c r="G2550" s="7" t="inlineStr">
        <is>
          <t>OP19672</t>
        </is>
      </c>
      <c r="H2550" s="19">
        <f>UPPER(Table3[[#This Row],[Agen id]]&amp;"-"&amp;VLOOKUP(Table3[[#This Row],[Agen id]],A:B,2,0)&amp;"("&amp;Table3[[#This Row],[Short]]&amp;")")</f>
        <v/>
      </c>
      <c r="J2550" s="7">
        <f>VLOOKUP(Table3[[#This Row],[Agen id]],Agen!A:C,3,0)</f>
        <v/>
      </c>
      <c r="K2550" s="37">
        <f>TRIM(LEFT(Table3[[#This Row],[Group]],2))</f>
        <v/>
      </c>
      <c r="L2550" s="3" t="inlineStr">
        <is>
          <t>NON SALES</t>
        </is>
      </c>
    </row>
    <row r="2551">
      <c r="A2551" s="5" t="inlineStr">
        <is>
          <t>OP19673</t>
        </is>
      </c>
      <c r="B2551" s="6" t="inlineStr">
        <is>
          <t>Top Pulsa Bandung</t>
        </is>
      </c>
      <c r="C2551" s="7" t="inlineStr">
        <is>
          <t>A - Agen</t>
        </is>
      </c>
      <c r="D2551" s="1" t="inlineStr">
        <is>
          <t>OP00002</t>
        </is>
      </c>
      <c r="E2551" s="8" t="n">
        <v>45954.44444444445</v>
      </c>
      <c r="F2551" s="7" t="inlineStr">
        <is>
          <t>AGEN</t>
        </is>
      </c>
      <c r="G2551" s="7" t="inlineStr">
        <is>
          <t>OP19673</t>
        </is>
      </c>
      <c r="H2551" s="19">
        <f>UPPER(Table3[[#This Row],[Agen id]]&amp;"-"&amp;VLOOKUP(Table3[[#This Row],[Agen id]],A:B,2,0)&amp;"("&amp;Table3[[#This Row],[Short]]&amp;")")</f>
        <v/>
      </c>
      <c r="J2551" s="7">
        <f>VLOOKUP(Table3[[#This Row],[Agen id]],Agen!A:C,3,0)</f>
        <v/>
      </c>
      <c r="K2551" s="37">
        <f>TRIM(LEFT(Table3[[#This Row],[Group]],2))</f>
        <v/>
      </c>
      <c r="L2551" s="3" t="inlineStr">
        <is>
          <t>NON SALES</t>
        </is>
      </c>
    </row>
    <row r="2552">
      <c r="A2552" s="5" t="inlineStr">
        <is>
          <t>OP19721</t>
        </is>
      </c>
      <c r="B2552" s="6" t="inlineStr">
        <is>
          <t>Neniatul Hasanah</t>
        </is>
      </c>
      <c r="C2552" s="7" t="inlineStr">
        <is>
          <t>AV - Agen Verified</t>
        </is>
      </c>
      <c r="D2552" s="1" t="inlineStr">
        <is>
          <t>OP00002</t>
        </is>
      </c>
      <c r="E2552" s="8" t="n">
        <v>45972.71805555555</v>
      </c>
      <c r="F2552" s="7" t="inlineStr">
        <is>
          <t>AGEN</t>
        </is>
      </c>
      <c r="G2552" s="7" t="inlineStr">
        <is>
          <t>OP19721</t>
        </is>
      </c>
      <c r="H2552" s="19">
        <f>UPPER(Table3[[#This Row],[Agen id]]&amp;"-"&amp;VLOOKUP(Table3[[#This Row],[Agen id]],A:B,2,0)&amp;"("&amp;Table3[[#This Row],[Short]]&amp;")")</f>
        <v/>
      </c>
      <c r="J2552" s="7">
        <f>VLOOKUP(Table3[[#This Row],[Agen id]],Agen!A:C,3,0)</f>
        <v/>
      </c>
      <c r="K2552" s="37">
        <f>TRIM(LEFT(Table3[[#This Row],[Group]],2))</f>
        <v/>
      </c>
      <c r="L2552" s="3" t="inlineStr">
        <is>
          <t>NON SALES</t>
        </is>
      </c>
    </row>
    <row r="2553">
      <c r="A2553" s="5" t="inlineStr">
        <is>
          <t>OP19731</t>
        </is>
      </c>
      <c r="B2553" s="6" t="inlineStr">
        <is>
          <t>Wati Pelang</t>
        </is>
      </c>
      <c r="C2553" s="7" t="inlineStr">
        <is>
          <t>A - Agen</t>
        </is>
      </c>
      <c r="D2553" s="1" t="inlineStr">
        <is>
          <t>OP00002</t>
        </is>
      </c>
      <c r="E2553" s="8" t="n">
        <v>45981.73888888889</v>
      </c>
      <c r="F2553" s="7" t="inlineStr">
        <is>
          <t>AGEN</t>
        </is>
      </c>
      <c r="G2553" s="7" t="inlineStr">
        <is>
          <t>OP19731</t>
        </is>
      </c>
      <c r="H2553" s="19">
        <f>UPPER(Table3[[#This Row],[Agen id]]&amp;"-"&amp;VLOOKUP(Table3[[#This Row],[Agen id]],A:B,2,0)&amp;"("&amp;Table3[[#This Row],[Short]]&amp;")")</f>
        <v/>
      </c>
      <c r="J2553" s="7">
        <f>VLOOKUP(Table3[[#This Row],[Agen id]],Agen!A:C,3,0)</f>
        <v/>
      </c>
      <c r="K2553" s="37">
        <f>TRIM(LEFT(Table3[[#This Row],[Group]],2))</f>
        <v/>
      </c>
      <c r="L2553" s="3" t="inlineStr">
        <is>
          <t>NON SALES</t>
        </is>
      </c>
    </row>
    <row r="2554">
      <c r="A2554" s="5" t="inlineStr">
        <is>
          <t>OP19742</t>
        </is>
      </c>
      <c r="B2554" s="6" t="inlineStr">
        <is>
          <t>Gerda</t>
        </is>
      </c>
      <c r="C2554" s="7" t="inlineStr">
        <is>
          <t>A - Agen</t>
        </is>
      </c>
      <c r="D2554" s="1" t="inlineStr">
        <is>
          <t>OP00002</t>
        </is>
      </c>
      <c r="E2554" s="8" t="n">
        <v>45985.22222222222</v>
      </c>
      <c r="F2554" s="7" t="inlineStr">
        <is>
          <t>AGEN</t>
        </is>
      </c>
      <c r="G2554" s="7" t="inlineStr">
        <is>
          <t>OP19742</t>
        </is>
      </c>
      <c r="H2554" s="19">
        <f>UPPER(Table3[[#This Row],[Agen id]]&amp;"-"&amp;VLOOKUP(Table3[[#This Row],[Agen id]],A:B,2,0)&amp;"("&amp;Table3[[#This Row],[Short]]&amp;")")</f>
        <v/>
      </c>
      <c r="J2554" s="7">
        <f>VLOOKUP(Table3[[#This Row],[Agen id]],Agen!A:C,3,0)</f>
        <v/>
      </c>
      <c r="K2554" s="37">
        <f>TRIM(LEFT(Table3[[#This Row],[Group]],2))</f>
        <v/>
      </c>
      <c r="L2554" s="3" t="inlineStr">
        <is>
          <t>NON SALES</t>
        </is>
      </c>
    </row>
    <row r="2555">
      <c r="A2555" s="5" t="inlineStr">
        <is>
          <t>OP19597</t>
        </is>
      </c>
      <c r="B2555" s="6" t="inlineStr">
        <is>
          <t>Erni</t>
        </is>
      </c>
      <c r="C2555" s="7" t="inlineStr">
        <is>
          <t>A - Agen</t>
        </is>
      </c>
      <c r="D2555" s="1" t="inlineStr">
        <is>
          <t>OP00002</t>
        </is>
      </c>
      <c r="E2555" s="8" t="n">
        <v>45945.56180555555</v>
      </c>
      <c r="F2555" s="7" t="inlineStr">
        <is>
          <t>AGEN</t>
        </is>
      </c>
      <c r="G2555" s="7" t="inlineStr">
        <is>
          <t>OP19597</t>
        </is>
      </c>
      <c r="H2555" s="19">
        <f>UPPER(Table3[[#This Row],[Agen id]]&amp;"-"&amp;VLOOKUP(Table3[[#This Row],[Agen id]],A:B,2,0)&amp;"("&amp;Table3[[#This Row],[Short]]&amp;")")</f>
        <v/>
      </c>
      <c r="J2555" s="7">
        <f>VLOOKUP(Table3[[#This Row],[Agen id]],Agen!A:C,3,0)</f>
        <v/>
      </c>
      <c r="K2555" s="37">
        <f>TRIM(LEFT(Table3[[#This Row],[Group]],2))</f>
        <v/>
      </c>
      <c r="L2555" s="3" t="inlineStr">
        <is>
          <t>NON SALES</t>
        </is>
      </c>
    </row>
    <row r="2556">
      <c r="A2556" s="5" t="inlineStr">
        <is>
          <t>OP19746</t>
        </is>
      </c>
      <c r="B2556" s="6" t="inlineStr">
        <is>
          <t>ISTIE MART</t>
        </is>
      </c>
      <c r="C2556" s="7" t="inlineStr">
        <is>
          <t>AV - Agen Verified</t>
        </is>
      </c>
      <c r="D2556" s="1" t="inlineStr">
        <is>
          <t>OP10272</t>
        </is>
      </c>
      <c r="E2556" s="8" t="n">
        <v>45985.72083333333</v>
      </c>
      <c r="F2556" s="7" t="inlineStr">
        <is>
          <t>DOWNLINE</t>
        </is>
      </c>
      <c r="G2556" s="18" t="inlineStr">
        <is>
          <t>OP10272</t>
        </is>
      </c>
      <c r="H2556" s="19">
        <f>UPPER(Table3[[#This Row],[Agen id]]&amp;"-"&amp;VLOOKUP(Table3[[#This Row],[Agen id]],A:B,2,0)&amp;"("&amp;Table3[[#This Row],[Short]]&amp;")")</f>
        <v/>
      </c>
      <c r="J2556" s="7">
        <f>VLOOKUP(Table3[[#This Row],[Agen id]],Agen!A:C,3,0)</f>
        <v/>
      </c>
      <c r="K2556" s="37">
        <f>TRIM(LEFT(Table3[[#This Row],[Group]],2))</f>
        <v/>
      </c>
      <c r="L2556" s="3" t="inlineStr">
        <is>
          <t>NON SALES</t>
        </is>
      </c>
    </row>
    <row r="2557">
      <c r="A2557" s="5" t="inlineStr">
        <is>
          <t>OP19762</t>
        </is>
      </c>
      <c r="B2557" s="6" t="inlineStr">
        <is>
          <t>agus</t>
        </is>
      </c>
      <c r="C2557" s="7" t="inlineStr">
        <is>
          <t>A - Agen</t>
        </is>
      </c>
      <c r="D2557" s="1" t="inlineStr">
        <is>
          <t>OP12270</t>
        </is>
      </c>
      <c r="E2557" s="8" t="n">
        <v>45992.98333333333</v>
      </c>
      <c r="F2557" s="7" t="inlineStr">
        <is>
          <t>DOWNLINE</t>
        </is>
      </c>
      <c r="G2557" s="18" t="inlineStr">
        <is>
          <t>OP12270</t>
        </is>
      </c>
      <c r="H2557" s="19">
        <f>UPPER(Table3[[#This Row],[Agen id]]&amp;"-"&amp;VLOOKUP(Table3[[#This Row],[Agen id]],A:B,2,0)&amp;"("&amp;Table3[[#This Row],[Short]]&amp;")")</f>
        <v/>
      </c>
      <c r="J2557" s="7">
        <f>VLOOKUP(Table3[[#This Row],[Agen id]],Agen!A:C,3,0)</f>
        <v/>
      </c>
      <c r="K2557" s="37">
        <f>TRIM(LEFT(Table3[[#This Row],[Group]],2))</f>
        <v/>
      </c>
      <c r="L2557" s="3" t="inlineStr">
        <is>
          <t>NON SALES</t>
        </is>
      </c>
    </row>
    <row r="2558">
      <c r="A2558" s="5" t="inlineStr">
        <is>
          <t>OP19764</t>
        </is>
      </c>
      <c r="B2558" s="6" t="inlineStr">
        <is>
          <t>kinyep</t>
        </is>
      </c>
      <c r="C2558" s="7" t="inlineStr">
        <is>
          <t>A - Agen</t>
        </is>
      </c>
      <c r="D2558" s="1" t="inlineStr">
        <is>
          <t>OP12270</t>
        </is>
      </c>
      <c r="E2558" s="8" t="n">
        <v>45992.99236111111</v>
      </c>
      <c r="F2558" s="7" t="inlineStr">
        <is>
          <t>DOWNLINE</t>
        </is>
      </c>
      <c r="G2558" s="18" t="inlineStr">
        <is>
          <t>OP12270</t>
        </is>
      </c>
      <c r="H2558" s="19">
        <f>UPPER(Table3[[#This Row],[Agen id]]&amp;"-"&amp;VLOOKUP(Table3[[#This Row],[Agen id]],A:B,2,0)&amp;"("&amp;Table3[[#This Row],[Short]]&amp;")")</f>
        <v/>
      </c>
      <c r="J2558" s="7">
        <f>VLOOKUP(Table3[[#This Row],[Agen id]],Agen!A:C,3,0)</f>
        <v/>
      </c>
      <c r="K2558" s="37">
        <f>TRIM(LEFT(Table3[[#This Row],[Group]],2))</f>
        <v/>
      </c>
      <c r="L2558" s="3" t="inlineStr">
        <is>
          <t>NON SALES</t>
        </is>
      </c>
    </row>
    <row r="2559">
      <c r="A2559" s="5" t="inlineStr">
        <is>
          <t>OP19768</t>
        </is>
      </c>
      <c r="B2559" s="6" t="inlineStr">
        <is>
          <t>SUMBER RIZQI 7</t>
        </is>
      </c>
      <c r="C2559" s="7" t="inlineStr">
        <is>
          <t>AV - Agen Verified</t>
        </is>
      </c>
      <c r="D2559" s="1" t="inlineStr">
        <is>
          <t>OP00002</t>
        </is>
      </c>
      <c r="E2559" s="8" t="n">
        <v>45996.44236111111</v>
      </c>
      <c r="F2559" s="7" t="inlineStr">
        <is>
          <t>AGEN</t>
        </is>
      </c>
      <c r="G2559" s="7" t="inlineStr">
        <is>
          <t>OP19768</t>
        </is>
      </c>
      <c r="H2559" s="19">
        <f>UPPER(Table3[[#This Row],[Agen id]]&amp;"-"&amp;VLOOKUP(Table3[[#This Row],[Agen id]],A:B,2,0)&amp;"("&amp;Table3[[#This Row],[Short]]&amp;")")</f>
        <v/>
      </c>
      <c r="J2559" s="7">
        <f>VLOOKUP(Table3[[#This Row],[Agen id]],Agen!A:C,3,0)</f>
        <v/>
      </c>
      <c r="K2559" s="37">
        <f>TRIM(LEFT(Table3[[#This Row],[Group]],2))</f>
        <v/>
      </c>
      <c r="L2559" s="3" t="inlineStr">
        <is>
          <t>NON SALES</t>
        </is>
      </c>
    </row>
    <row r="2560">
      <c r="A2560" s="5" t="inlineStr">
        <is>
          <t>OP19817</t>
        </is>
      </c>
      <c r="B2560" s="6" t="inlineStr">
        <is>
          <t>Tegar</t>
        </is>
      </c>
      <c r="C2560" s="7" t="inlineStr">
        <is>
          <t>A - Agen</t>
        </is>
      </c>
      <c r="D2560" s="1" t="inlineStr">
        <is>
          <t>OP00002</t>
        </is>
      </c>
      <c r="E2560" s="8" t="n">
        <v>46018.33472222222</v>
      </c>
      <c r="F2560" s="7" t="inlineStr">
        <is>
          <t>AGEN</t>
        </is>
      </c>
      <c r="G2560" s="7" t="inlineStr">
        <is>
          <t>OP19817</t>
        </is>
      </c>
      <c r="H2560" s="19">
        <f>UPPER(Table3[[#This Row],[Agen id]]&amp;"-"&amp;VLOOKUP(Table3[[#This Row],[Agen id]],A:B,2,0)&amp;"("&amp;Table3[[#This Row],[Short]]&amp;")")</f>
        <v/>
      </c>
      <c r="J2560" s="7">
        <f>VLOOKUP(Table3[[#This Row],[Agen id]],Agen!A:C,3,0)</f>
        <v/>
      </c>
      <c r="K2560" s="37">
        <f>TRIM(LEFT(Table3[[#This Row],[Group]],2))</f>
        <v/>
      </c>
      <c r="L2560" s="3" t="inlineStr">
        <is>
          <t>NON SALES</t>
        </is>
      </c>
    </row>
    <row r="2561">
      <c r="A2561" s="5" t="inlineStr">
        <is>
          <t>OP19819</t>
        </is>
      </c>
      <c r="B2561" s="6" t="inlineStr">
        <is>
          <t>Alvin Store</t>
        </is>
      </c>
      <c r="C2561" s="7" t="inlineStr">
        <is>
          <t>A - Agen</t>
        </is>
      </c>
      <c r="D2561" s="1" t="inlineStr">
        <is>
          <t>OP00002</t>
        </is>
      </c>
      <c r="E2561" s="8" t="n">
        <v>46018.92083333333</v>
      </c>
      <c r="F2561" s="7" t="inlineStr">
        <is>
          <t>AGEN</t>
        </is>
      </c>
      <c r="G2561" s="7" t="inlineStr">
        <is>
          <t>OP19819</t>
        </is>
      </c>
      <c r="H2561" s="19">
        <f>UPPER(Table3[[#This Row],[Agen id]]&amp;"-"&amp;VLOOKUP(Table3[[#This Row],[Agen id]],A:B,2,0)&amp;"("&amp;Table3[[#This Row],[Short]]&amp;")")</f>
        <v/>
      </c>
      <c r="J2561" s="7">
        <f>VLOOKUP(Table3[[#This Row],[Agen id]],Agen!A:C,3,0)</f>
        <v/>
      </c>
      <c r="K2561" s="37">
        <f>TRIM(LEFT(Table3[[#This Row],[Group]],2))</f>
        <v/>
      </c>
      <c r="L2561" s="3" t="inlineStr">
        <is>
          <t>NON SALES</t>
        </is>
      </c>
    </row>
    <row r="2562">
      <c r="A2562" s="5" t="inlineStr">
        <is>
          <t>OP20196</t>
        </is>
      </c>
      <c r="B2562" s="6" t="inlineStr">
        <is>
          <t>Kadir Jailani</t>
        </is>
      </c>
      <c r="C2562" s="7" t="inlineStr">
        <is>
          <t>A - Agen</t>
        </is>
      </c>
      <c r="D2562" s="1" t="inlineStr">
        <is>
          <t>OP00002</t>
        </is>
      </c>
      <c r="E2562" s="8" t="n">
        <v>46229.95902777778</v>
      </c>
      <c r="F2562" s="7" t="inlineStr">
        <is>
          <t>AGEN</t>
        </is>
      </c>
      <c r="G2562" s="7" t="inlineStr">
        <is>
          <t>OP20196</t>
        </is>
      </c>
      <c r="H2562" s="19">
        <f>UPPER(Table3[[#This Row],[Agen id]]&amp;"-"&amp;VLOOKUP(Table3[[#This Row],[Agen id]],A:B,2,0)&amp;"("&amp;Table3[[#This Row],[Short]]&amp;")")</f>
        <v/>
      </c>
      <c r="J2562" s="7">
        <f>VLOOKUP(Table3[[#This Row],[Agen id]],Agen!A:C,3,0)</f>
        <v/>
      </c>
      <c r="K2562" s="37">
        <f>TRIM(LEFT(Table3[[#This Row],[Group]],2))</f>
        <v/>
      </c>
      <c r="L2562" s="3" t="inlineStr">
        <is>
          <t>NON SALES</t>
        </is>
      </c>
    </row>
    <row r="2563">
      <c r="A2563" s="5" t="inlineStr">
        <is>
          <t>OP20191</t>
        </is>
      </c>
      <c r="B2563" s="6" t="inlineStr">
        <is>
          <t>Hilyah Cell</t>
        </is>
      </c>
      <c r="C2563" s="7" t="inlineStr">
        <is>
          <t>A - Agen</t>
        </is>
      </c>
      <c r="D2563" s="1" t="inlineStr">
        <is>
          <t>OP00003</t>
        </is>
      </c>
      <c r="E2563" s="8" t="n">
        <v>46226.93055555555</v>
      </c>
      <c r="F2563" s="7" t="inlineStr">
        <is>
          <t>AGEN</t>
        </is>
      </c>
      <c r="G2563" s="7" t="inlineStr">
        <is>
          <t>OP20191</t>
        </is>
      </c>
      <c r="H2563" s="19">
        <f>UPPER(Table3[[#This Row],[Agen id]]&amp;"-"&amp;VLOOKUP(Table3[[#This Row],[Agen id]],A:B,2,0)&amp;"("&amp;Table3[[#This Row],[Short]]&amp;")")</f>
        <v/>
      </c>
      <c r="J2563" s="7">
        <f>VLOOKUP(Table3[[#This Row],[Agen id]],Agen!A:C,3,0)</f>
        <v/>
      </c>
      <c r="K2563" s="37">
        <f>TRIM(LEFT(Table3[[#This Row],[Group]],2))</f>
        <v/>
      </c>
      <c r="L2563" s="3" t="inlineStr">
        <is>
          <t>NON SALES</t>
        </is>
      </c>
    </row>
    <row r="2564">
      <c r="A2564" s="5" t="inlineStr">
        <is>
          <t>OP20210</t>
        </is>
      </c>
      <c r="B2564" s="6" t="inlineStr">
        <is>
          <t>Zing</t>
        </is>
      </c>
      <c r="C2564" s="7" t="inlineStr">
        <is>
          <t>AV - Agen Verified</t>
        </is>
      </c>
      <c r="D2564" s="1" t="inlineStr">
        <is>
          <t>OP00431</t>
        </is>
      </c>
      <c r="E2564" s="8" t="n">
        <v>46244.60555555556</v>
      </c>
      <c r="F2564" s="7" t="inlineStr">
        <is>
          <t>AGEN</t>
        </is>
      </c>
      <c r="G2564" s="7" t="inlineStr">
        <is>
          <t>OP00431</t>
        </is>
      </c>
      <c r="H2564" s="19">
        <f>UPPER(Table3[[#This Row],[Agen id]]&amp;"-"&amp;VLOOKUP(Table3[[#This Row],[Agen id]],A:B,2,0)&amp;"("&amp;Table3[[#This Row],[Short]]&amp;")")</f>
        <v/>
      </c>
      <c r="J2564" s="7">
        <f>VLOOKUP(Table3[[#This Row],[Agen id]],Agen!A:C,3,0)</f>
        <v/>
      </c>
      <c r="K2564" s="37">
        <f>TRIM(LEFT(Table3[[#This Row],[Group]],2))</f>
        <v/>
      </c>
      <c r="L2564" s="3" t="inlineStr">
        <is>
          <t>NON SALES</t>
        </is>
      </c>
    </row>
    <row r="2565">
      <c r="A2565" s="5" t="inlineStr">
        <is>
          <t>OP20211</t>
        </is>
      </c>
      <c r="B2565" s="6" t="inlineStr">
        <is>
          <t>pak e 2</t>
        </is>
      </c>
      <c r="C2565" s="7" t="inlineStr">
        <is>
          <t>AV - Agen Verified</t>
        </is>
      </c>
      <c r="D2565" s="1" t="inlineStr">
        <is>
          <t>OP13466</t>
        </is>
      </c>
      <c r="E2565" s="8" t="n">
        <v>46246.42569444444</v>
      </c>
      <c r="F2565" s="7" t="inlineStr">
        <is>
          <t>AGEN</t>
        </is>
      </c>
      <c r="G2565" s="18" t="inlineStr">
        <is>
          <t>OP13466</t>
        </is>
      </c>
      <c r="H2565" s="19">
        <f>UPPER(Table3[[#This Row],[Agen id]]&amp;"-"&amp;VLOOKUP(Table3[[#This Row],[Agen id]],A:B,2,0)&amp;"("&amp;Table3[[#This Row],[Short]]&amp;")")</f>
        <v/>
      </c>
      <c r="J2565" s="7">
        <f>VLOOKUP(Table3[[#This Row],[Agen id]],Agen!A:C,3,0)</f>
        <v/>
      </c>
      <c r="K2565" s="37">
        <f>TRIM(LEFT(Table3[[#This Row],[Group]],2))</f>
        <v/>
      </c>
      <c r="L2565" s="3" t="inlineStr">
        <is>
          <t>NON SALES</t>
        </is>
      </c>
    </row>
    <row r="2566">
      <c r="A2566" s="5" t="inlineStr">
        <is>
          <t>OP20212</t>
        </is>
      </c>
      <c r="B2566" s="6" t="inlineStr">
        <is>
          <t>Eka Suprihatin Ningsih</t>
        </is>
      </c>
      <c r="C2566" s="7" t="inlineStr">
        <is>
          <t>A - Agen</t>
        </is>
      </c>
      <c r="D2566" s="1" t="inlineStr">
        <is>
          <t>OP00002</t>
        </is>
      </c>
      <c r="E2566" s="8" t="n">
        <v>46246.45</v>
      </c>
      <c r="F2566" s="7" t="inlineStr">
        <is>
          <t>AGEN</t>
        </is>
      </c>
      <c r="G2566" s="7" t="inlineStr">
        <is>
          <t>OP20212</t>
        </is>
      </c>
      <c r="H2566" s="19">
        <f>UPPER(Table3[[#This Row],[Agen id]]&amp;"-"&amp;VLOOKUP(Table3[[#This Row],[Agen id]],A:B,2,0)&amp;"("&amp;Table3[[#This Row],[Short]]&amp;")")</f>
        <v/>
      </c>
      <c r="J2566" s="7">
        <f>VLOOKUP(Table3[[#This Row],[Agen id]],Agen!A:C,3,0)</f>
        <v/>
      </c>
      <c r="K2566" s="37">
        <f>TRIM(LEFT(Table3[[#This Row],[Group]],2))</f>
        <v/>
      </c>
      <c r="L2566" s="3" t="inlineStr">
        <is>
          <t>NON SALES</t>
        </is>
      </c>
    </row>
    <row r="2567">
      <c r="A2567" s="5" t="inlineStr">
        <is>
          <t>OP20215</t>
        </is>
      </c>
      <c r="B2567" s="6" t="inlineStr">
        <is>
          <t>Melfa</t>
        </is>
      </c>
      <c r="C2567" s="7" t="inlineStr">
        <is>
          <t>AV - Agen Verified</t>
        </is>
      </c>
      <c r="D2567" s="1" t="inlineStr">
        <is>
          <t>OP00431</t>
        </is>
      </c>
      <c r="E2567" s="8" t="n">
        <v>46248.73402777778</v>
      </c>
      <c r="F2567" s="7" t="inlineStr">
        <is>
          <t>DOWNLINE</t>
        </is>
      </c>
      <c r="G2567" s="18" t="inlineStr">
        <is>
          <t>OP00431</t>
        </is>
      </c>
      <c r="H2567" s="19">
        <f>UPPER(Table3[[#This Row],[Agen id]]&amp;"-"&amp;VLOOKUP(Table3[[#This Row],[Agen id]],A:B,2,0)&amp;"("&amp;Table3[[#This Row],[Short]]&amp;")")</f>
        <v/>
      </c>
      <c r="J2567" s="7">
        <f>VLOOKUP(Table3[[#This Row],[Agen id]],Agen!A:C,3,0)</f>
        <v/>
      </c>
      <c r="K2567" s="37">
        <f>TRIM(LEFT(Table3[[#This Row],[Group]],2))</f>
        <v/>
      </c>
      <c r="L2567" s="3" t="inlineStr">
        <is>
          <t>NON SALES</t>
        </is>
      </c>
    </row>
    <row r="2568">
      <c r="A2568" s="5" t="inlineStr">
        <is>
          <t>OP19753</t>
        </is>
      </c>
      <c r="B2568" s="6" t="inlineStr">
        <is>
          <t>Shinta Febriani</t>
        </is>
      </c>
      <c r="C2568" s="7" t="inlineStr">
        <is>
          <t>AB1 - Agen Kab Bogor</t>
        </is>
      </c>
      <c r="D2568" s="1" t="inlineStr">
        <is>
          <t>OP07446</t>
        </is>
      </c>
      <c r="E2568" s="8" t="n">
        <v>45988.31111111111</v>
      </c>
      <c r="F2568" s="7" t="inlineStr">
        <is>
          <t>AGEN</t>
        </is>
      </c>
      <c r="G2568" s="7" t="inlineStr">
        <is>
          <t>OP19753</t>
        </is>
      </c>
      <c r="H2568" s="19">
        <f>UPPER(Table3[[#This Row],[Agen id]]&amp;"-"&amp;VLOOKUP(Table3[[#This Row],[Agen id]],A:B,2,0)&amp;"("&amp;Table3[[#This Row],[Short]]&amp;")")</f>
        <v/>
      </c>
      <c r="J2568" s="7">
        <f>VLOOKUP(Table3[[#This Row],[Agen id]],Agen!A:C,3,0)</f>
        <v/>
      </c>
      <c r="K2568" s="37">
        <f>TRIM(LEFT(Table3[[#This Row],[Group]],2))</f>
        <v/>
      </c>
      <c r="L2568" s="3" t="inlineStr">
        <is>
          <t>NON SALES</t>
        </is>
      </c>
    </row>
    <row r="2569">
      <c r="A2569" s="5" t="inlineStr">
        <is>
          <t>OP20207</t>
        </is>
      </c>
      <c r="B2569" s="6" t="inlineStr">
        <is>
          <t>Dwi</t>
        </is>
      </c>
      <c r="C2569" s="7" t="inlineStr">
        <is>
          <t>A - Agen</t>
        </is>
      </c>
      <c r="D2569" s="1" t="inlineStr">
        <is>
          <t>OP00003</t>
        </is>
      </c>
      <c r="E2569" s="8" t="n">
        <v>46243.62361111111</v>
      </c>
      <c r="F2569" s="7" t="inlineStr">
        <is>
          <t>AGEN</t>
        </is>
      </c>
      <c r="G2569" s="7" t="inlineStr">
        <is>
          <t>OP20207</t>
        </is>
      </c>
      <c r="H2569" s="19">
        <f>UPPER(Table3[[#This Row],[Agen id]]&amp;"-"&amp;VLOOKUP(Table3[[#This Row],[Agen id]],A:B,2,0)&amp;"("&amp;Table3[[#This Row],[Short]]&amp;")")</f>
        <v/>
      </c>
      <c r="J2569" s="7">
        <f>VLOOKUP(Table3[[#This Row],[Agen id]],Agen!A:C,3,0)</f>
        <v/>
      </c>
      <c r="K2569" s="37">
        <f>TRIM(LEFT(Table3[[#This Row],[Group]],2))</f>
        <v/>
      </c>
      <c r="L2569" s="3" t="inlineStr">
        <is>
          <t>NON SALES</t>
        </is>
      </c>
    </row>
    <row r="2570">
      <c r="A2570" s="5" t="inlineStr">
        <is>
          <t>OP20220</t>
        </is>
      </c>
      <c r="B2570" s="6" t="inlineStr">
        <is>
          <t>ISTANA PONSEL</t>
        </is>
      </c>
      <c r="C2570" s="7" t="inlineStr">
        <is>
          <t>A - Agen</t>
        </is>
      </c>
      <c r="D2570" s="1" t="inlineStr">
        <is>
          <t>OP00180</t>
        </is>
      </c>
      <c r="E2570" s="8" t="n">
        <v>46255.77152777778</v>
      </c>
      <c r="F2570" s="7" t="inlineStr">
        <is>
          <t>DOWNLINE</t>
        </is>
      </c>
      <c r="G2570" s="7" t="inlineStr">
        <is>
          <t>OP00180</t>
        </is>
      </c>
      <c r="H2570" s="19">
        <f>UPPER(Table3[[#This Row],[Agen id]]&amp;"-"&amp;VLOOKUP(Table3[[#This Row],[Agen id]],A:B,2,0)&amp;"("&amp;Table3[[#This Row],[Short]]&amp;")")</f>
        <v/>
      </c>
      <c r="J2570" s="7">
        <f>VLOOKUP(Table3[[#This Row],[Agen id]],Agen!A:C,3,0)</f>
        <v/>
      </c>
      <c r="K2570" s="37">
        <f>TRIM(LEFT(Table3[[#This Row],[Group]],2))</f>
        <v/>
      </c>
      <c r="L2570" s="3" t="inlineStr">
        <is>
          <t>NON SALES</t>
        </is>
      </c>
    </row>
    <row r="2571">
      <c r="A2571" s="5" t="inlineStr">
        <is>
          <t>OP20221</t>
        </is>
      </c>
      <c r="B2571" s="6" t="inlineStr">
        <is>
          <t>NS RELOAD</t>
        </is>
      </c>
      <c r="C2571" s="7" t="inlineStr">
        <is>
          <t>H - H2H</t>
        </is>
      </c>
      <c r="D2571" s="1" t="inlineStr">
        <is>
          <t>OP00005</t>
        </is>
      </c>
      <c r="E2571" s="8" t="n">
        <v>46256.48819444444</v>
      </c>
      <c r="F2571" s="7" t="inlineStr">
        <is>
          <t>AGEN</t>
        </is>
      </c>
      <c r="G2571" s="7" t="inlineStr">
        <is>
          <t>OP20221</t>
        </is>
      </c>
      <c r="H2571" s="19">
        <f>UPPER(Table3[[#This Row],[Agen id]]&amp;"-"&amp;VLOOKUP(Table3[[#This Row],[Agen id]],A:B,2,0)&amp;"("&amp;Table3[[#This Row],[Short]]&amp;")")</f>
        <v/>
      </c>
      <c r="J2571" s="7">
        <f>VLOOKUP(Table3[[#This Row],[Agen id]],Agen!A:C,3,0)</f>
        <v/>
      </c>
      <c r="K2571" s="37">
        <f>TRIM(LEFT(Table3[[#This Row],[Group]],2))</f>
        <v/>
      </c>
      <c r="L2571" s="3" t="inlineStr">
        <is>
          <t>NON SALES</t>
        </is>
      </c>
    </row>
    <row r="2572">
      <c r="A2572" s="5" t="inlineStr">
        <is>
          <t>OP00017</t>
        </is>
      </c>
      <c r="B2572" s="6" t="inlineStr">
        <is>
          <t>My Astaga Store</t>
        </is>
      </c>
      <c r="C2572" s="7" t="inlineStr">
        <is>
          <t>A - Agen</t>
        </is>
      </c>
      <c r="D2572" s="1" t="inlineStr">
        <is>
          <t>OP00002</t>
        </is>
      </c>
      <c r="E2572" s="8" t="n">
        <v>44706.61666666667</v>
      </c>
      <c r="F2572" s="7" t="inlineStr">
        <is>
          <t>AGEN</t>
        </is>
      </c>
      <c r="G2572" s="7" t="inlineStr">
        <is>
          <t>OP00017</t>
        </is>
      </c>
      <c r="H2572" s="19">
        <f>UPPER(Table3[[#This Row],[Agen id]]&amp;"-"&amp;VLOOKUP(Table3[[#This Row],[Agen id]],A:B,2,0)&amp;"("&amp;Table3[[#This Row],[Short]]&amp;")")</f>
        <v/>
      </c>
      <c r="J2572" s="7">
        <f>VLOOKUP(Table3[[#This Row],[Agen id]],Agen!A:C,3,0)</f>
        <v/>
      </c>
      <c r="K2572" s="37">
        <f>TRIM(LEFT(Table3[[#This Row],[Group]],2))</f>
        <v/>
      </c>
      <c r="L2572" s="3" t="inlineStr">
        <is>
          <t>NON SALES</t>
        </is>
      </c>
    </row>
    <row r="2573">
      <c r="A2573" s="5" t="inlineStr">
        <is>
          <t>OP19515</t>
        </is>
      </c>
      <c r="B2573" s="6" t="inlineStr">
        <is>
          <t>Lina Cell</t>
        </is>
      </c>
      <c r="C2573" s="7" t="inlineStr">
        <is>
          <t>A - Agen</t>
        </is>
      </c>
      <c r="D2573" s="1" t="inlineStr">
        <is>
          <t>OP00003</t>
        </is>
      </c>
      <c r="E2573" s="8" t="n">
        <v>45938.43958333333</v>
      </c>
      <c r="F2573" s="7" t="inlineStr">
        <is>
          <t>AGEN</t>
        </is>
      </c>
      <c r="G2573" s="7" t="inlineStr">
        <is>
          <t>OP19515</t>
        </is>
      </c>
      <c r="H2573" s="19">
        <f>UPPER(Table3[[#This Row],[Agen id]]&amp;"-"&amp;VLOOKUP(Table3[[#This Row],[Agen id]],A:B,2,0)&amp;"("&amp;Table3[[#This Row],[Short]]&amp;")")</f>
        <v/>
      </c>
      <c r="J2573" s="7">
        <f>VLOOKUP(Table3[[#This Row],[Agen id]],Agen!A:C,3,0)</f>
        <v/>
      </c>
      <c r="K2573" s="37">
        <f>TRIM(LEFT(Table3[[#This Row],[Group]],2))</f>
        <v/>
      </c>
      <c r="L2573" s="3" t="inlineStr">
        <is>
          <t>NON SALES</t>
        </is>
      </c>
    </row>
    <row r="2574">
      <c r="A2574" s="5" t="inlineStr">
        <is>
          <t>OP20223</t>
        </is>
      </c>
      <c r="B2574" s="6" t="inlineStr">
        <is>
          <t>Sampri</t>
        </is>
      </c>
      <c r="C2574" s="7" t="inlineStr">
        <is>
          <t>A - Agen</t>
        </is>
      </c>
      <c r="D2574" s="1" t="inlineStr">
        <is>
          <t>OP00002</t>
        </is>
      </c>
      <c r="E2574" s="8" t="n">
        <v>46258.31666666667</v>
      </c>
      <c r="F2574" s="7" t="inlineStr">
        <is>
          <t>AGEN</t>
        </is>
      </c>
      <c r="G2574" s="7" t="inlineStr">
        <is>
          <t>OP20223</t>
        </is>
      </c>
      <c r="H2574" s="19">
        <f>UPPER(Table3[[#This Row],[Agen id]]&amp;"-"&amp;VLOOKUP(Table3[[#This Row],[Agen id]],A:B,2,0)&amp;"("&amp;Table3[[#This Row],[Short]]&amp;")")</f>
        <v/>
      </c>
      <c r="J2574" s="7">
        <f>VLOOKUP(Table3[[#This Row],[Agen id]],Agen!A:C,3,0)</f>
        <v/>
      </c>
      <c r="K2574" s="37">
        <f>TRIM(LEFT(Table3[[#This Row],[Group]],2))</f>
        <v/>
      </c>
      <c r="L2574" s="3" t="inlineStr">
        <is>
          <t>NON SALES</t>
        </is>
      </c>
    </row>
    <row r="2575">
      <c r="A2575" s="5" t="inlineStr">
        <is>
          <t>OP20227</t>
        </is>
      </c>
      <c r="B2575" s="6" t="inlineStr">
        <is>
          <t>Devita</t>
        </is>
      </c>
      <c r="C2575" s="7" t="inlineStr">
        <is>
          <t>A - Agen</t>
        </is>
      </c>
      <c r="D2575" s="1" t="inlineStr">
        <is>
          <t>OP00002</t>
        </is>
      </c>
      <c r="E2575" s="8" t="n">
        <v>46261.56736111111</v>
      </c>
      <c r="F2575" s="7" t="inlineStr">
        <is>
          <t>AGEN</t>
        </is>
      </c>
      <c r="G2575" s="7" t="inlineStr">
        <is>
          <t>OP20227</t>
        </is>
      </c>
      <c r="H2575" s="19">
        <f>UPPER(Table3[[#This Row],[Agen id]]&amp;"-"&amp;VLOOKUP(Table3[[#This Row],[Agen id]],A:B,2,0)&amp;"("&amp;Table3[[#This Row],[Short]]&amp;")")</f>
        <v/>
      </c>
      <c r="J2575" s="7">
        <f>VLOOKUP(Table3[[#This Row],[Agen id]],Agen!A:C,3,0)</f>
        <v/>
      </c>
      <c r="K2575" s="37">
        <f>TRIM(LEFT(Table3[[#This Row],[Group]],2))</f>
        <v/>
      </c>
      <c r="L2575" s="3" t="inlineStr">
        <is>
          <t>NON SALES</t>
        </is>
      </c>
    </row>
    <row r="2576">
      <c r="A2576" s="4" t="inlineStr">
        <is>
          <t>OP20231</t>
        </is>
      </c>
      <c r="B2576" s="6" t="inlineStr">
        <is>
          <t>Marselinus Angkak</t>
        </is>
      </c>
      <c r="C2576" s="7" t="inlineStr">
        <is>
          <t>AV - Agen Verified</t>
        </is>
      </c>
      <c r="D2576" s="1" t="inlineStr">
        <is>
          <t>OP00002</t>
        </is>
      </c>
      <c r="E2576" s="8" t="n">
        <v>46263.59305555555</v>
      </c>
      <c r="F2576" s="7" t="inlineStr">
        <is>
          <t>AGEN</t>
        </is>
      </c>
      <c r="G2576" s="3" t="inlineStr">
        <is>
          <t>OP20231</t>
        </is>
      </c>
      <c r="H2576" s="19">
        <f>UPPER(Table3[[#This Row],[Agen id]]&amp;"-"&amp;VLOOKUP(Table3[[#This Row],[Agen id]],A:B,2,0)&amp;"("&amp;Table3[[#This Row],[Short]]&amp;")")</f>
        <v/>
      </c>
      <c r="J2576" s="7">
        <f>VLOOKUP(Table3[[#This Row],[Agen id]],Agen!A:C,3,0)</f>
        <v/>
      </c>
      <c r="K2576" s="37">
        <f>TRIM(LEFT(Table3[[#This Row],[Group]],2))</f>
        <v/>
      </c>
      <c r="L2576" s="3" t="inlineStr">
        <is>
          <t>NON SALES</t>
        </is>
      </c>
    </row>
    <row r="2577">
      <c r="A2577" s="5" t="inlineStr">
        <is>
          <t>OP20236</t>
        </is>
      </c>
      <c r="B2577" s="6" t="inlineStr">
        <is>
          <t>Susan Matona</t>
        </is>
      </c>
      <c r="C2577" s="7" t="inlineStr">
        <is>
          <t>AV - Agen Verified</t>
        </is>
      </c>
      <c r="D2577" s="1" t="inlineStr">
        <is>
          <t>OP00002</t>
        </is>
      </c>
      <c r="E2577" s="8" t="n">
        <v>46266.72569444445</v>
      </c>
      <c r="F2577" s="7" t="inlineStr">
        <is>
          <t>AGEN</t>
        </is>
      </c>
      <c r="G2577" s="7" t="inlineStr">
        <is>
          <t>OP20236</t>
        </is>
      </c>
      <c r="H2577" s="19">
        <f>UPPER(Table3[[#This Row],[Agen id]]&amp;"-"&amp;VLOOKUP(Table3[[#This Row],[Agen id]],A:B,2,0)&amp;"("&amp;Table3[[#This Row],[Short]]&amp;")")</f>
        <v/>
      </c>
      <c r="J2577" s="7">
        <f>VLOOKUP(Table3[[#This Row],[Agen id]],Agen!A:C,3,0)</f>
        <v/>
      </c>
      <c r="K2577" s="37">
        <f>TRIM(LEFT(Table3[[#This Row],[Group]],2))</f>
        <v/>
      </c>
      <c r="L2577" s="3" t="inlineStr">
        <is>
          <t>NON SALES</t>
        </is>
      </c>
    </row>
    <row r="2578">
      <c r="A2578" s="5" t="inlineStr">
        <is>
          <t>OP20238</t>
        </is>
      </c>
      <c r="B2578" s="6" t="inlineStr">
        <is>
          <t>toko syathir</t>
        </is>
      </c>
      <c r="C2578" s="7" t="inlineStr">
        <is>
          <t>AV - Agen Verified</t>
        </is>
      </c>
      <c r="D2578" s="1" t="inlineStr">
        <is>
          <t>OP03216</t>
        </is>
      </c>
      <c r="E2578" s="8" t="n">
        <v>46266.79652777778</v>
      </c>
      <c r="F2578" s="7" t="inlineStr">
        <is>
          <t>DOWNLINE</t>
        </is>
      </c>
      <c r="G2578" s="7" t="inlineStr">
        <is>
          <t>OP00049</t>
        </is>
      </c>
      <c r="H2578" s="19">
        <f>UPPER(Table3[[#This Row],[Agen id]]&amp;"-"&amp;VLOOKUP(Table3[[#This Row],[Agen id]],A:B,2,0)&amp;"("&amp;Table3[[#This Row],[Short]]&amp;")")</f>
        <v/>
      </c>
      <c r="J2578" s="7">
        <f>VLOOKUP(Table3[[#This Row],[Agen id]],Agen!A:C,3,0)</f>
        <v/>
      </c>
      <c r="K2578" s="37">
        <f>TRIM(LEFT(Table3[[#This Row],[Group]],2))</f>
        <v/>
      </c>
      <c r="L2578" s="3" t="inlineStr">
        <is>
          <t>NON SALES</t>
        </is>
      </c>
    </row>
    <row r="2579">
      <c r="A2579" s="5" t="inlineStr">
        <is>
          <t>OP20240</t>
        </is>
      </c>
      <c r="B2579" s="6" t="inlineStr">
        <is>
          <t>peni</t>
        </is>
      </c>
      <c r="C2579" s="7" t="inlineStr">
        <is>
          <t>A - Agen</t>
        </is>
      </c>
      <c r="D2579" s="1" t="inlineStr">
        <is>
          <t>OP00002</t>
        </is>
      </c>
      <c r="E2579" s="8" t="n">
        <v>46267.45763888889</v>
      </c>
      <c r="F2579" s="7" t="inlineStr">
        <is>
          <t>AGEN</t>
        </is>
      </c>
      <c r="G2579" s="7" t="inlineStr">
        <is>
          <t>OP20240</t>
        </is>
      </c>
      <c r="H2579" s="19">
        <f>UPPER(Table3[[#This Row],[Agen id]]&amp;"-"&amp;VLOOKUP(Table3[[#This Row],[Agen id]],A:B,2,0)&amp;"("&amp;Table3[[#This Row],[Short]]&amp;")")</f>
        <v/>
      </c>
      <c r="J2579" s="7">
        <f>VLOOKUP(Table3[[#This Row],[Agen id]],Agen!A:C,3,0)</f>
        <v/>
      </c>
      <c r="K2579" s="37">
        <f>TRIM(LEFT(Table3[[#This Row],[Group]],2))</f>
        <v/>
      </c>
      <c r="L2579" s="3" t="inlineStr">
        <is>
          <t>NON SALES</t>
        </is>
      </c>
    </row>
    <row r="2580">
      <c r="A2580" s="5" t="inlineStr">
        <is>
          <t>OP20246</t>
        </is>
      </c>
      <c r="B2580" s="6" t="inlineStr">
        <is>
          <t>Syahrul</t>
        </is>
      </c>
      <c r="C2580" s="7" t="inlineStr">
        <is>
          <t>A - Agen</t>
        </is>
      </c>
      <c r="D2580" s="1" t="inlineStr">
        <is>
          <t>OP00002</t>
        </is>
      </c>
      <c r="E2580" s="8" t="n">
        <v>46272.23194444444</v>
      </c>
      <c r="F2580" s="7" t="inlineStr">
        <is>
          <t>AGEN</t>
        </is>
      </c>
      <c r="G2580" s="7" t="inlineStr">
        <is>
          <t>OP20246</t>
        </is>
      </c>
      <c r="H2580" s="19">
        <f>UPPER(Table3[[#This Row],[Agen id]]&amp;"-"&amp;VLOOKUP(Table3[[#This Row],[Agen id]],A:B,2,0)&amp;"("&amp;Table3[[#This Row],[Short]]&amp;")")</f>
        <v/>
      </c>
      <c r="J2580" s="7">
        <f>VLOOKUP(Table3[[#This Row],[Agen id]],Agen!A:C,3,0)</f>
        <v/>
      </c>
      <c r="K2580" s="37">
        <f>TRIM(LEFT(Table3[[#This Row],[Group]],2))</f>
        <v/>
      </c>
      <c r="L2580" s="3" t="inlineStr">
        <is>
          <t>NON SALES</t>
        </is>
      </c>
    </row>
    <row r="2581">
      <c r="A2581" s="5" t="inlineStr">
        <is>
          <t>OP20208</t>
        </is>
      </c>
      <c r="B2581" s="6" t="inlineStr">
        <is>
          <t>Nadya Arta</t>
        </is>
      </c>
      <c r="C2581" s="7" t="inlineStr">
        <is>
          <t>AV - Agen Verified</t>
        </is>
      </c>
      <c r="D2581" s="1" t="inlineStr">
        <is>
          <t>OP00431</t>
        </is>
      </c>
      <c r="E2581" s="8" t="n">
        <v>46243.79861111111</v>
      </c>
      <c r="F2581" s="7" t="inlineStr">
        <is>
          <t>AGEN</t>
        </is>
      </c>
      <c r="G2581" s="7" t="inlineStr">
        <is>
          <t>OP20208</t>
        </is>
      </c>
      <c r="H2581" s="19">
        <f>UPPER(Table3[[#This Row],[Agen id]]&amp;"-"&amp;VLOOKUP(Table3[[#This Row],[Agen id]],A:B,2,0)&amp;"("&amp;Table3[[#This Row],[Short]]&amp;")")</f>
        <v/>
      </c>
      <c r="J2581" s="7">
        <f>VLOOKUP(Table3[[#This Row],[Agen id]],Agen!A:C,3,0)</f>
        <v/>
      </c>
      <c r="K2581" s="37">
        <f>TRIM(LEFT(Table3[[#This Row],[Group]],2))</f>
        <v/>
      </c>
      <c r="L2581" s="3" t="inlineStr">
        <is>
          <t>NON SALES</t>
        </is>
      </c>
    </row>
    <row r="2582">
      <c r="A2582" s="5" t="inlineStr">
        <is>
          <t>OP20243</t>
        </is>
      </c>
      <c r="B2582" s="6" t="inlineStr">
        <is>
          <t>Tina MS</t>
        </is>
      </c>
      <c r="C2582" s="7" t="inlineStr">
        <is>
          <t>A - Agen</t>
        </is>
      </c>
      <c r="D2582" s="1" t="inlineStr">
        <is>
          <t>OP00002</t>
        </is>
      </c>
      <c r="E2582" s="8" t="n">
        <v>46268.31458333333</v>
      </c>
      <c r="F2582" s="7" t="inlineStr">
        <is>
          <t>AGEN</t>
        </is>
      </c>
      <c r="G2582" s="7" t="inlineStr">
        <is>
          <t>OP20243</t>
        </is>
      </c>
      <c r="H2582" s="19">
        <f>UPPER(Table3[[#This Row],[Agen id]]&amp;"-"&amp;VLOOKUP(Table3[[#This Row],[Agen id]],A:B,2,0)&amp;"("&amp;Table3[[#This Row],[Short]]&amp;")")</f>
        <v/>
      </c>
      <c r="J2582" s="7">
        <f>VLOOKUP(Table3[[#This Row],[Agen id]],Agen!A:C,3,0)</f>
        <v/>
      </c>
      <c r="K2582" s="37">
        <f>TRIM(LEFT(Table3[[#This Row],[Group]],2))</f>
        <v/>
      </c>
      <c r="L2582" s="3" t="inlineStr">
        <is>
          <t>NON SALES</t>
        </is>
      </c>
    </row>
    <row r="2583">
      <c r="A2583" s="5" t="inlineStr">
        <is>
          <t>OP20249</t>
        </is>
      </c>
      <c r="B2583" s="6" t="inlineStr">
        <is>
          <t>Arifa</t>
        </is>
      </c>
      <c r="C2583" s="7" t="inlineStr">
        <is>
          <t>A - Agen</t>
        </is>
      </c>
      <c r="D2583" s="1" t="inlineStr">
        <is>
          <t>OP00002</t>
        </is>
      </c>
      <c r="E2583" s="8" t="n">
        <v>46275.68055555555</v>
      </c>
      <c r="F2583" s="7" t="inlineStr">
        <is>
          <t>AGEN</t>
        </is>
      </c>
      <c r="G2583" s="7" t="inlineStr">
        <is>
          <t>OP20249</t>
        </is>
      </c>
      <c r="H2583" s="19">
        <f>UPPER(Table3[[#This Row],[Agen id]]&amp;"-"&amp;VLOOKUP(Table3[[#This Row],[Agen id]],A:B,2,0)&amp;"("&amp;Table3[[#This Row],[Short]]&amp;")")</f>
        <v/>
      </c>
      <c r="J2583" s="7">
        <f>VLOOKUP(Table3[[#This Row],[Agen id]],Agen!A:C,3,0)</f>
        <v/>
      </c>
      <c r="K2583" s="37">
        <f>TRIM(LEFT(Table3[[#This Row],[Group]],2))</f>
        <v/>
      </c>
      <c r="L2583" s="3" t="inlineStr">
        <is>
          <t>NON SALES</t>
        </is>
      </c>
    </row>
    <row r="2584">
      <c r="A2584" s="5" t="inlineStr">
        <is>
          <t>OP20252</t>
        </is>
      </c>
      <c r="B2584" s="6" t="inlineStr">
        <is>
          <t>Supriyadi</t>
        </is>
      </c>
      <c r="C2584" s="7" t="inlineStr">
        <is>
          <t>A - Agen</t>
        </is>
      </c>
      <c r="D2584" s="1" t="inlineStr">
        <is>
          <t>OP00002</t>
        </is>
      </c>
      <c r="E2584" s="8" t="n">
        <v>46281.72638888889</v>
      </c>
      <c r="F2584" s="7" t="inlineStr">
        <is>
          <t>AGEN</t>
        </is>
      </c>
      <c r="G2584" s="7" t="inlineStr">
        <is>
          <t>OP20252</t>
        </is>
      </c>
      <c r="H2584" s="19">
        <f>UPPER(Table3[[#This Row],[Agen id]]&amp;"-"&amp;VLOOKUP(Table3[[#This Row],[Agen id]],A:B,2,0)&amp;"("&amp;Table3[[#This Row],[Short]]&amp;")")</f>
        <v/>
      </c>
      <c r="J2584" s="7">
        <f>VLOOKUP(Table3[[#This Row],[Agen id]],Agen!A:C,3,0)</f>
        <v/>
      </c>
      <c r="K2584" s="37">
        <f>TRIM(LEFT(Table3[[#This Row],[Group]],2))</f>
        <v/>
      </c>
      <c r="L2584" s="3" t="inlineStr">
        <is>
          <t>NON SALES</t>
        </is>
      </c>
    </row>
    <row r="2585">
      <c r="A2585" s="5" t="inlineStr">
        <is>
          <t>OP20247</t>
        </is>
      </c>
      <c r="B2585" s="6" t="inlineStr">
        <is>
          <t>INTAN MUTYA</t>
        </is>
      </c>
      <c r="C2585" s="7" t="inlineStr">
        <is>
          <t>A - Agen</t>
        </is>
      </c>
      <c r="D2585" s="1" t="inlineStr">
        <is>
          <t>OP00002</t>
        </is>
      </c>
      <c r="E2585" s="8" t="n">
        <v>46273.44861111111</v>
      </c>
      <c r="F2585" s="7" t="inlineStr">
        <is>
          <t>AGEN</t>
        </is>
      </c>
      <c r="G2585" s="7" t="inlineStr">
        <is>
          <t>OP20247</t>
        </is>
      </c>
      <c r="H2585" s="19">
        <f>UPPER(Table3[[#This Row],[Agen id]]&amp;"-"&amp;VLOOKUP(Table3[[#This Row],[Agen id]],A:B,2,0)&amp;"("&amp;Table3[[#This Row],[Short]]&amp;")")</f>
        <v/>
      </c>
      <c r="J2585" s="7">
        <f>VLOOKUP(Table3[[#This Row],[Agen id]],Agen!A:C,3,0)</f>
        <v/>
      </c>
      <c r="K2585" s="37">
        <f>TRIM(LEFT(Table3[[#This Row],[Group]],2))</f>
        <v/>
      </c>
      <c r="L2585" s="3" t="inlineStr">
        <is>
          <t>NON SALES</t>
        </is>
      </c>
    </row>
    <row r="2586">
      <c r="A2586" s="5" t="inlineStr">
        <is>
          <t>OP20253</t>
        </is>
      </c>
      <c r="B2586" s="6" t="inlineStr">
        <is>
          <t>Melly</t>
        </is>
      </c>
      <c r="C2586" s="7" t="inlineStr">
        <is>
          <t>A - Agen</t>
        </is>
      </c>
      <c r="D2586" s="1" t="inlineStr">
        <is>
          <t>OP00002</t>
        </is>
      </c>
      <c r="E2586" s="8" t="n">
        <v>46291.54375</v>
      </c>
      <c r="F2586" s="7" t="inlineStr">
        <is>
          <t>AGEN</t>
        </is>
      </c>
      <c r="G2586" s="7" t="inlineStr">
        <is>
          <t>OP20253</t>
        </is>
      </c>
      <c r="H2586" s="19">
        <f>UPPER(Table3[[#This Row],[Agen id]]&amp;"-"&amp;VLOOKUP(Table3[[#This Row],[Agen id]],A:B,2,0)&amp;"("&amp;Table3[[#This Row],[Short]]&amp;")")</f>
        <v/>
      </c>
      <c r="J2586" s="7">
        <f>VLOOKUP(Table3[[#This Row],[Agen id]],Agen!A:C,3,0)</f>
        <v/>
      </c>
      <c r="K2586" s="37">
        <f>TRIM(LEFT(Table3[[#This Row],[Group]],2))</f>
        <v/>
      </c>
      <c r="L2586" s="3" t="inlineStr">
        <is>
          <t>NON SALES</t>
        </is>
      </c>
    </row>
    <row r="2587">
      <c r="A2587" s="14" t="inlineStr">
        <is>
          <t>OP15075</t>
        </is>
      </c>
      <c r="B2587" s="15" t="inlineStr">
        <is>
          <t>inces</t>
        </is>
      </c>
      <c r="C2587" s="16" t="inlineStr">
        <is>
          <t>OP08732</t>
        </is>
      </c>
      <c r="D2587" s="1" t="inlineStr">
        <is>
          <t>OP08732</t>
        </is>
      </c>
      <c r="E2587" s="17" t="n">
        <v>45585.74375</v>
      </c>
      <c r="F2587" s="16" t="inlineStr">
        <is>
          <t>DOWNLINE</t>
        </is>
      </c>
      <c r="G2587" s="23" t="inlineStr">
        <is>
          <t>OP08732</t>
        </is>
      </c>
      <c r="H2587" s="19">
        <f>UPPER(Table3[[#This Row],[Agen id]]&amp;"-"&amp;VLOOKUP(Table3[[#This Row],[Agen id]],A:B,2,0)&amp;"("&amp;Table3[[#This Row],[Short]]&amp;")")</f>
        <v/>
      </c>
      <c r="J2587" s="7">
        <f>VLOOKUP(Table3[[#This Row],[Agen id]],Agen!A:C,3,0)</f>
        <v/>
      </c>
      <c r="K2587" s="37">
        <f>TRIM(LEFT(Table3[[#This Row],[Group]],2))</f>
        <v/>
      </c>
      <c r="L2587" s="3" t="inlineStr">
        <is>
          <t>NON SALES</t>
        </is>
      </c>
    </row>
    <row r="2588">
      <c r="A2588" s="5" t="inlineStr">
        <is>
          <t>OP19727</t>
        </is>
      </c>
      <c r="B2588" s="6" t="inlineStr">
        <is>
          <t>mahfuz</t>
        </is>
      </c>
      <c r="C2588" s="7" t="inlineStr">
        <is>
          <t>A - Agen</t>
        </is>
      </c>
      <c r="D2588" s="7" t="inlineStr">
        <is>
          <t>OP00002</t>
        </is>
      </c>
      <c r="E2588" s="8" t="n">
        <v>45978.58402777778</v>
      </c>
      <c r="F2588" s="7" t="inlineStr">
        <is>
          <t>AGEN</t>
        </is>
      </c>
      <c r="G2588" s="5" t="inlineStr">
        <is>
          <t>OP19727</t>
        </is>
      </c>
      <c r="H2588" s="19">
        <f>UPPER(Table3[[#This Row],[Agen id]]&amp;"-"&amp;VLOOKUP(Table3[[#This Row],[Agen id]],A:B,2,0)&amp;"("&amp;Table3[[#This Row],[Short]]&amp;")")</f>
        <v/>
      </c>
      <c r="J2588" s="7">
        <f>VLOOKUP(Table3[[#This Row],[Agen id]],Agen!A:C,3,0)</f>
        <v/>
      </c>
      <c r="K2588" s="37">
        <f>TRIM(LEFT(Table3[[#This Row],[Group]],2))</f>
        <v/>
      </c>
      <c r="L2588" s="3" t="inlineStr">
        <is>
          <t>NON SALES</t>
        </is>
      </c>
    </row>
  </sheetData>
  <conditionalFormatting sqref="A1">
    <cfRule type="duplicateValues" priority="49" dxfId="48"/>
  </conditionalFormatting>
  <conditionalFormatting sqref="C2:C2588">
    <cfRule type="containsText" priority="43" operator="containsText" dxfId="0" text="OP07683">
      <formula>NOT(ISERROR(SEARCH("OP07683",C2)))</formula>
    </cfRule>
    <cfRule type="containsText" priority="48" operator="containsText" dxfId="0" text="OP13982">
      <formula>NOT(ISERROR(SEARCH("OP13982",C2)))</formula>
    </cfRule>
    <cfRule type="containsText" priority="47" operator="containsText" dxfId="0" text="OP00002">
      <formula>NOT(ISERROR(SEARCH("OP00002",C2)))</formula>
    </cfRule>
    <cfRule type="containsText" priority="46" operator="containsText" dxfId="0" text="OP00003">
      <formula>NOT(ISERROR(SEARCH("OP00003",C2)))</formula>
    </cfRule>
    <cfRule type="containsText" priority="45" operator="containsText" dxfId="0" text="OP00004">
      <formula>NOT(ISERROR(SEARCH("OP00004",C2)))</formula>
    </cfRule>
    <cfRule type="containsText" priority="44" operator="containsText" dxfId="0" text="OP07367">
      <formula>NOT(ISERROR(SEARCH("OP07367",C2)))</formula>
    </cfRule>
  </conditionalFormatting>
  <conditionalFormatting sqref="D2:D2588">
    <cfRule type="containsText" priority="1" operator="containsText" dxfId="0" text="OP07683">
      <formula>NOT(ISERROR(SEARCH("OP07683",D2)))</formula>
    </cfRule>
    <cfRule type="containsText" priority="2" operator="containsText" dxfId="0" text="OP07367">
      <formula>NOT(ISERROR(SEARCH("OP07367",D2)))</formula>
    </cfRule>
    <cfRule type="containsText" priority="3" operator="containsText" dxfId="0" text="OP00004">
      <formula>NOT(ISERROR(SEARCH("OP00004",D2)))</formula>
    </cfRule>
    <cfRule type="containsText" priority="4" operator="containsText" dxfId="0" text="OP00003">
      <formula>NOT(ISERROR(SEARCH("OP00003",D2)))</formula>
    </cfRule>
    <cfRule type="containsText" priority="5" operator="containsText" dxfId="0" text="OP00002">
      <formula>NOT(ISERROR(SEARCH("OP00002",D2)))</formula>
    </cfRule>
    <cfRule type="containsText" priority="6" operator="containsText" dxfId="0" text="OP13982">
      <formula>NOT(ISERROR(SEARCH("OP13982",D2)))</formula>
    </cfRule>
  </conditionalFormatting>
  <conditionalFormatting sqref="G2425">
    <cfRule type="containsText" priority="42" operator="containsText" dxfId="0" text="OP13982">
      <formula>NOT(ISERROR(SEARCH("OP13982",G2425)))</formula>
    </cfRule>
    <cfRule type="containsText" priority="41" operator="containsText" dxfId="0" text="OP00002">
      <formula>NOT(ISERROR(SEARCH("OP00002",G2425)))</formula>
    </cfRule>
    <cfRule type="containsText" priority="40" operator="containsText" dxfId="0" text="OP00003">
      <formula>NOT(ISERROR(SEARCH("OP00003",G2425)))</formula>
    </cfRule>
    <cfRule type="containsText" priority="39" operator="containsText" dxfId="0" text="OP00004">
      <formula>NOT(ISERROR(SEARCH("OP00004",G2425)))</formula>
    </cfRule>
    <cfRule type="containsText" priority="38" operator="containsText" dxfId="0" text="OP07367">
      <formula>NOT(ISERROR(SEARCH("OP07367",G2425)))</formula>
    </cfRule>
    <cfRule type="containsText" priority="37" operator="containsText" dxfId="0" text="OP07683">
      <formula>NOT(ISERROR(SEARCH("OP07683",G2425)))</formula>
    </cfRule>
  </conditionalFormatting>
  <conditionalFormatting sqref="G2471">
    <cfRule type="containsText" priority="31" operator="containsText" dxfId="0" text="OP07683">
      <formula>NOT(ISERROR(SEARCH("OP07683",G2471)))</formula>
    </cfRule>
    <cfRule type="containsText" priority="36" operator="containsText" dxfId="0" text="OP13982">
      <formula>NOT(ISERROR(SEARCH("OP13982",G2471)))</formula>
    </cfRule>
    <cfRule type="containsText" priority="35" operator="containsText" dxfId="0" text="OP00002">
      <formula>NOT(ISERROR(SEARCH("OP00002",G2471)))</formula>
    </cfRule>
    <cfRule type="containsText" priority="34" operator="containsText" dxfId="0" text="OP00003">
      <formula>NOT(ISERROR(SEARCH("OP00003",G2471)))</formula>
    </cfRule>
    <cfRule type="containsText" priority="33" operator="containsText" dxfId="0" text="OP00004">
      <formula>NOT(ISERROR(SEARCH("OP00004",G2471)))</formula>
    </cfRule>
    <cfRule type="containsText" priority="32" operator="containsText" dxfId="0" text="OP07367">
      <formula>NOT(ISERROR(SEARCH("OP07367",G2471)))</formula>
    </cfRule>
  </conditionalFormatting>
  <conditionalFormatting sqref="G2497">
    <cfRule type="containsText" priority="26" operator="containsText" dxfId="0" text="OP07367">
      <formula>NOT(ISERROR(SEARCH("OP07367",G2497)))</formula>
    </cfRule>
    <cfRule type="containsText" priority="27" operator="containsText" dxfId="0" text="OP00004">
      <formula>NOT(ISERROR(SEARCH("OP00004",G2497)))</formula>
    </cfRule>
    <cfRule type="containsText" priority="28" operator="containsText" dxfId="0" text="OP00003">
      <formula>NOT(ISERROR(SEARCH("OP00003",G2497)))</formula>
    </cfRule>
    <cfRule type="containsText" priority="29" operator="containsText" dxfId="0" text="OP00002">
      <formula>NOT(ISERROR(SEARCH("OP00002",G2497)))</formula>
    </cfRule>
    <cfRule type="containsText" priority="30" operator="containsText" dxfId="0" text="OP13982">
      <formula>NOT(ISERROR(SEARCH("OP13982",G2497)))</formula>
    </cfRule>
    <cfRule type="containsText" priority="25" operator="containsText" dxfId="0" text="OP07683">
      <formula>NOT(ISERROR(SEARCH("OP07683",G2497)))</formula>
    </cfRule>
  </conditionalFormatting>
  <conditionalFormatting sqref="G2564">
    <cfRule type="containsText" priority="24" operator="containsText" dxfId="0" text="OP13982">
      <formula>NOT(ISERROR(SEARCH("OP13982",G2564)))</formula>
    </cfRule>
    <cfRule type="containsText" priority="23" operator="containsText" dxfId="0" text="OP00002">
      <formula>NOT(ISERROR(SEARCH("OP00002",G2564)))</formula>
    </cfRule>
    <cfRule type="containsText" priority="22" operator="containsText" dxfId="0" text="OP00003">
      <formula>NOT(ISERROR(SEARCH("OP00003",G2564)))</formula>
    </cfRule>
    <cfRule type="containsText" priority="21" operator="containsText" dxfId="0" text="OP00004">
      <formula>NOT(ISERROR(SEARCH("OP00004",G2564)))</formula>
    </cfRule>
    <cfRule type="containsText" priority="20" operator="containsText" dxfId="0" text="OP07367">
      <formula>NOT(ISERROR(SEARCH("OP07367",G2564)))</formula>
    </cfRule>
    <cfRule type="containsText" priority="19" operator="containsText" dxfId="0" text="OP07683">
      <formula>NOT(ISERROR(SEARCH("OP07683",G2564)))</formula>
    </cfRule>
  </conditionalFormatting>
  <conditionalFormatting sqref="G2570">
    <cfRule type="containsText" priority="18" operator="containsText" dxfId="0" text="OP13982">
      <formula>NOT(ISERROR(SEARCH("OP13982",G2570)))</formula>
    </cfRule>
    <cfRule type="containsText" priority="17" operator="containsText" dxfId="0" text="OP00002">
      <formula>NOT(ISERROR(SEARCH("OP00002",G2570)))</formula>
    </cfRule>
    <cfRule type="containsText" priority="16" operator="containsText" dxfId="0" text="OP00003">
      <formula>NOT(ISERROR(SEARCH("OP00003",G2570)))</formula>
    </cfRule>
    <cfRule type="containsText" priority="15" operator="containsText" dxfId="0" text="OP00004">
      <formula>NOT(ISERROR(SEARCH("OP00004",G2570)))</formula>
    </cfRule>
    <cfRule type="containsText" priority="14" operator="containsText" dxfId="0" text="OP07367">
      <formula>NOT(ISERROR(SEARCH("OP07367",G2570)))</formula>
    </cfRule>
    <cfRule type="containsText" priority="13" operator="containsText" dxfId="0" text="OP07683">
      <formula>NOT(ISERROR(SEARCH("OP07683",G2570)))</formula>
    </cfRule>
  </conditionalFormatting>
  <conditionalFormatting sqref="G2578">
    <cfRule type="containsText" priority="7" operator="containsText" dxfId="0" text="OP07683">
      <formula>NOT(ISERROR(SEARCH("OP07683",G2578)))</formula>
    </cfRule>
    <cfRule type="containsText" priority="12" operator="containsText" dxfId="0" text="OP13982">
      <formula>NOT(ISERROR(SEARCH("OP13982",G2578)))</formula>
    </cfRule>
    <cfRule type="containsText" priority="11" operator="containsText" dxfId="0" text="OP00002">
      <formula>NOT(ISERROR(SEARCH("OP00002",G2578)))</formula>
    </cfRule>
    <cfRule type="containsText" priority="10" operator="containsText" dxfId="0" text="OP00003">
      <formula>NOT(ISERROR(SEARCH("OP00003",G2578)))</formula>
    </cfRule>
    <cfRule type="containsText" priority="9" operator="containsText" dxfId="0" text="OP00004">
      <formula>NOT(ISERROR(SEARCH("OP00004",G2578)))</formula>
    </cfRule>
    <cfRule type="containsText" priority="8" operator="containsText" dxfId="0" text="OP07367">
      <formula>NOT(ISERROR(SEARCH("OP07367",G2578)))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03"/>
  <sheetViews>
    <sheetView topLeftCell="A1684" workbookViewId="0">
      <selection activeCell="A1703" sqref="A1703"/>
    </sheetView>
  </sheetViews>
  <sheetFormatPr baseColWidth="8" defaultRowHeight="15"/>
  <cols>
    <col width="11.28515625" customWidth="1" min="1" max="1"/>
    <col width="28.5703125" bestFit="1" customWidth="1" min="2" max="2"/>
    <col width="18.85546875" customWidth="1" min="3" max="3"/>
    <col width="7.85546875" customWidth="1" min="4" max="4"/>
    <col width="7" customWidth="1" min="5" max="5"/>
    <col width="7.28515625" customWidth="1" min="6" max="6"/>
    <col width="10.7109375" bestFit="1" customWidth="1" min="7" max="7"/>
    <col width="13.140625" customWidth="1" min="8" max="8"/>
    <col width="13.5703125" customWidth="1" min="9" max="9"/>
    <col width="15.7109375" customWidth="1" min="10" max="10"/>
    <col width="15.140625" customWidth="1" min="11" max="11"/>
    <col width="11.28515625" customWidth="1" min="12" max="12"/>
    <col width="8.42578125" customWidth="1" min="13" max="13"/>
    <col width="10.5703125" customWidth="1" min="14" max="14"/>
  </cols>
  <sheetData>
    <row r="1" ht="15.75" customHeight="1">
      <c r="A1" s="29" t="inlineStr">
        <is>
          <t>AGEN ID</t>
        </is>
      </c>
      <c r="B1" s="29" t="inlineStr">
        <is>
          <t>AGEN NAME</t>
        </is>
      </c>
      <c r="C1" s="29" t="inlineStr">
        <is>
          <t>CABANG</t>
        </is>
      </c>
      <c r="D1" s="29" t="inlineStr">
        <is>
          <t>TYPE</t>
        </is>
      </c>
      <c r="E1" s="29" t="inlineStr">
        <is>
          <t>SCO</t>
        </is>
      </c>
      <c r="F1" s="29" t="inlineStr">
        <is>
          <t>DSO</t>
        </is>
      </c>
      <c r="G1" s="29" t="inlineStr">
        <is>
          <t>Daftar</t>
        </is>
      </c>
      <c r="H1" s="29" t="inlineStr">
        <is>
          <t>LOCATION</t>
        </is>
      </c>
      <c r="I1" s="29" t="inlineStr">
        <is>
          <t>KOTA/KAB</t>
        </is>
      </c>
      <c r="J1" s="29" t="inlineStr">
        <is>
          <t>KECAMATAN</t>
        </is>
      </c>
      <c r="K1" s="38" t="inlineStr">
        <is>
          <t>KELURAHAN</t>
        </is>
      </c>
      <c r="L1" s="38" t="inlineStr">
        <is>
          <t>JADWAL</t>
        </is>
      </c>
      <c r="M1" s="31" t="inlineStr">
        <is>
          <t>LIMIT</t>
        </is>
      </c>
      <c r="N1" s="31" t="inlineStr">
        <is>
          <t>STATUS</t>
        </is>
      </c>
    </row>
    <row r="2">
      <c r="A2" t="inlineStr">
        <is>
          <t>OP00011</t>
        </is>
      </c>
      <c r="B2">
        <f>VLOOKUP(A2,Reseller!G:H,2,0)</f>
        <v/>
      </c>
      <c r="C2" t="inlineStr">
        <is>
          <t>ONLINE</t>
        </is>
      </c>
      <c r="G2" s="34">
        <f>VLOOKUP(Table4[[#This Row],[AGEN ID]],Reseller!A:E,5,0)</f>
        <v/>
      </c>
    </row>
    <row r="3">
      <c r="A3" t="inlineStr">
        <is>
          <t>OP00012</t>
        </is>
      </c>
      <c r="B3">
        <f>VLOOKUP(A3,Reseller!G:H,2,0)</f>
        <v/>
      </c>
      <c r="C3" t="inlineStr">
        <is>
          <t>ONLINE</t>
        </is>
      </c>
      <c r="G3" s="34">
        <f>VLOOKUP(Table4[[#This Row],[AGEN ID]],Reseller!A:E,5,0)</f>
        <v/>
      </c>
    </row>
    <row r="4">
      <c r="A4" t="inlineStr">
        <is>
          <t>OP00013</t>
        </is>
      </c>
      <c r="B4">
        <f>VLOOKUP(A4,Reseller!G:H,2,0)</f>
        <v/>
      </c>
      <c r="C4" t="inlineStr">
        <is>
          <t>ONLINE</t>
        </is>
      </c>
      <c r="G4" s="34">
        <f>VLOOKUP(Table4[[#This Row],[AGEN ID]],Reseller!A:E,5,0)</f>
        <v/>
      </c>
    </row>
    <row r="5">
      <c r="A5" t="inlineStr">
        <is>
          <t>OP00014</t>
        </is>
      </c>
      <c r="B5">
        <f>VLOOKUP(A5,Reseller!G:H,2,0)</f>
        <v/>
      </c>
      <c r="C5" t="inlineStr">
        <is>
          <t>ONLINE</t>
        </is>
      </c>
      <c r="G5" s="34">
        <f>VLOOKUP(Table4[[#This Row],[AGEN ID]],Reseller!A:E,5,0)</f>
        <v/>
      </c>
    </row>
    <row r="6">
      <c r="A6" t="inlineStr">
        <is>
          <t>OP00015</t>
        </is>
      </c>
      <c r="B6">
        <f>VLOOKUP(A6,Reseller!G:H,2,0)</f>
        <v/>
      </c>
      <c r="C6" t="inlineStr">
        <is>
          <t>ONLINE</t>
        </is>
      </c>
      <c r="G6" s="34">
        <f>VLOOKUP(Table4[[#This Row],[AGEN ID]],Reseller!A:E,5,0)</f>
        <v/>
      </c>
    </row>
    <row r="7">
      <c r="A7" t="inlineStr">
        <is>
          <t>OP00016</t>
        </is>
      </c>
      <c r="B7">
        <f>VLOOKUP(A7,Reseller!G:H,2,0)</f>
        <v/>
      </c>
      <c r="C7" t="inlineStr">
        <is>
          <t>ONLINE</t>
        </is>
      </c>
      <c r="G7" s="34">
        <f>VLOOKUP(Table4[[#This Row],[AGEN ID]],Reseller!A:E,5,0)</f>
        <v/>
      </c>
    </row>
    <row r="8">
      <c r="A8" t="inlineStr">
        <is>
          <t>OP00018</t>
        </is>
      </c>
      <c r="B8">
        <f>VLOOKUP(A8,Reseller!G:H,2,0)</f>
        <v/>
      </c>
      <c r="C8" t="inlineStr">
        <is>
          <t>ONLINE</t>
        </is>
      </c>
      <c r="G8" s="34">
        <f>VLOOKUP(Table4[[#This Row],[AGEN ID]],Reseller!A:E,5,0)</f>
        <v/>
      </c>
    </row>
    <row r="9">
      <c r="A9" t="inlineStr">
        <is>
          <t>OP00020</t>
        </is>
      </c>
      <c r="B9">
        <f>VLOOKUP(A9,Reseller!G:H,2,0)</f>
        <v/>
      </c>
      <c r="C9" t="inlineStr">
        <is>
          <t>ONLINE</t>
        </is>
      </c>
      <c r="G9" s="34">
        <f>VLOOKUP(Table4[[#This Row],[AGEN ID]],Reseller!A:E,5,0)</f>
        <v/>
      </c>
    </row>
    <row r="10">
      <c r="A10" t="inlineStr">
        <is>
          <t>OP00022</t>
        </is>
      </c>
      <c r="B10">
        <f>VLOOKUP(A10,Reseller!G:H,2,0)</f>
        <v/>
      </c>
      <c r="C10" t="inlineStr">
        <is>
          <t>ONLINE</t>
        </is>
      </c>
      <c r="G10" s="34">
        <f>VLOOKUP(Table4[[#This Row],[AGEN ID]],Reseller!A:E,5,0)</f>
        <v/>
      </c>
    </row>
    <row r="11">
      <c r="A11" t="inlineStr">
        <is>
          <t>OP00023</t>
        </is>
      </c>
      <c r="B11">
        <f>VLOOKUP(A11,Reseller!G:H,2,0)</f>
        <v/>
      </c>
      <c r="C11" t="inlineStr">
        <is>
          <t>ONLINE</t>
        </is>
      </c>
      <c r="G11" s="34">
        <f>VLOOKUP(Table4[[#This Row],[AGEN ID]],Reseller!A:E,5,0)</f>
        <v/>
      </c>
    </row>
    <row r="12">
      <c r="A12" t="inlineStr">
        <is>
          <t>OP00026</t>
        </is>
      </c>
      <c r="B12">
        <f>VLOOKUP(A12,Reseller!G:H,2,0)</f>
        <v/>
      </c>
      <c r="C12" t="inlineStr">
        <is>
          <t>ONLINE</t>
        </is>
      </c>
      <c r="G12" s="34">
        <f>VLOOKUP(Table4[[#This Row],[AGEN ID]],Reseller!A:E,5,0)</f>
        <v/>
      </c>
    </row>
    <row r="13">
      <c r="A13" s="32" t="inlineStr">
        <is>
          <t>OP00030</t>
        </is>
      </c>
      <c r="B13">
        <f>VLOOKUP(A13,Reseller!G:H,2,0)</f>
        <v/>
      </c>
      <c r="C13" t="inlineStr">
        <is>
          <t>ONLINE</t>
        </is>
      </c>
      <c r="G13" s="34">
        <f>VLOOKUP(Table4[[#This Row],[AGEN ID]],Reseller!A:E,5,0)</f>
        <v/>
      </c>
    </row>
    <row r="14">
      <c r="A14" t="inlineStr">
        <is>
          <t>OP00031</t>
        </is>
      </c>
      <c r="B14">
        <f>VLOOKUP(A14,Reseller!G:H,2,0)</f>
        <v/>
      </c>
      <c r="C14" t="inlineStr">
        <is>
          <t>ONLINE</t>
        </is>
      </c>
      <c r="G14" s="34">
        <f>VLOOKUP(Table4[[#This Row],[AGEN ID]],Reseller!A:E,5,0)</f>
        <v/>
      </c>
    </row>
    <row r="15">
      <c r="A15" t="inlineStr">
        <is>
          <t>OP00032</t>
        </is>
      </c>
      <c r="B15">
        <f>VLOOKUP(A15,Reseller!G:H,2,0)</f>
        <v/>
      </c>
      <c r="C15" t="inlineStr">
        <is>
          <t>ONLINE</t>
        </is>
      </c>
      <c r="G15" s="34">
        <f>VLOOKUP(Table4[[#This Row],[AGEN ID]],Reseller!A:E,5,0)</f>
        <v/>
      </c>
    </row>
    <row r="16">
      <c r="A16" t="inlineStr">
        <is>
          <t>OP00033</t>
        </is>
      </c>
      <c r="B16">
        <f>VLOOKUP(A16,Reseller!G:H,2,0)</f>
        <v/>
      </c>
      <c r="C16" t="inlineStr">
        <is>
          <t>ONLINE</t>
        </is>
      </c>
      <c r="G16" s="34">
        <f>VLOOKUP(Table4[[#This Row],[AGEN ID]],Reseller!A:E,5,0)</f>
        <v/>
      </c>
    </row>
    <row r="17">
      <c r="A17" t="inlineStr">
        <is>
          <t>OP00036</t>
        </is>
      </c>
      <c r="B17">
        <f>VLOOKUP(A17,Reseller!G:H,2,0)</f>
        <v/>
      </c>
      <c r="C17" t="inlineStr">
        <is>
          <t>ONLINE</t>
        </is>
      </c>
      <c r="G17" s="34">
        <f>VLOOKUP(Table4[[#This Row],[AGEN ID]],Reseller!A:E,5,0)</f>
        <v/>
      </c>
    </row>
    <row r="18">
      <c r="A18" t="inlineStr">
        <is>
          <t>OP00037</t>
        </is>
      </c>
      <c r="B18">
        <f>VLOOKUP(A18,Reseller!G:H,2,0)</f>
        <v/>
      </c>
      <c r="C18" t="inlineStr">
        <is>
          <t>ONLINE</t>
        </is>
      </c>
      <c r="G18" s="34">
        <f>VLOOKUP(Table4[[#This Row],[AGEN ID]],Reseller!A:E,5,0)</f>
        <v/>
      </c>
    </row>
    <row r="19">
      <c r="A19" t="inlineStr">
        <is>
          <t>OP00040</t>
        </is>
      </c>
      <c r="B19">
        <f>VLOOKUP(A19,Reseller!G:H,2,0)</f>
        <v/>
      </c>
      <c r="C19" t="inlineStr">
        <is>
          <t>ONLINE</t>
        </is>
      </c>
      <c r="G19" s="34">
        <f>VLOOKUP(Table4[[#This Row],[AGEN ID]],Reseller!A:E,5,0)</f>
        <v/>
      </c>
    </row>
    <row r="20">
      <c r="A20" t="inlineStr">
        <is>
          <t>OP00049</t>
        </is>
      </c>
      <c r="B20">
        <f>VLOOKUP(A20,Reseller!G:H,2,0)</f>
        <v/>
      </c>
      <c r="C20" t="inlineStr">
        <is>
          <t>ONLINE</t>
        </is>
      </c>
      <c r="G20" s="34">
        <f>VLOOKUP(Table4[[#This Row],[AGEN ID]],Reseller!A:E,5,0)</f>
        <v/>
      </c>
    </row>
    <row r="21">
      <c r="A21" t="inlineStr">
        <is>
          <t>OP00051</t>
        </is>
      </c>
      <c r="B21">
        <f>VLOOKUP(A21,Reseller!G:H,2,0)</f>
        <v/>
      </c>
      <c r="C21" t="inlineStr">
        <is>
          <t>ONLINE</t>
        </is>
      </c>
      <c r="G21" s="34">
        <f>VLOOKUP(Table4[[#This Row],[AGEN ID]],Reseller!A:E,5,0)</f>
        <v/>
      </c>
    </row>
    <row r="22">
      <c r="A22" t="inlineStr">
        <is>
          <t>OP00057</t>
        </is>
      </c>
      <c r="B22">
        <f>VLOOKUP(A22,Reseller!G:H,2,0)</f>
        <v/>
      </c>
      <c r="C22" t="inlineStr">
        <is>
          <t>H2H</t>
        </is>
      </c>
      <c r="G22" s="34">
        <f>VLOOKUP(Table4[[#This Row],[AGEN ID]],Reseller!A:E,5,0)</f>
        <v/>
      </c>
    </row>
    <row r="23">
      <c r="A23" t="inlineStr">
        <is>
          <t>OP00059</t>
        </is>
      </c>
      <c r="B23">
        <f>VLOOKUP(A23,Reseller!G:H,2,0)</f>
        <v/>
      </c>
      <c r="C23" t="inlineStr">
        <is>
          <t>ONLINE</t>
        </is>
      </c>
      <c r="G23" s="34">
        <f>VLOOKUP(Table4[[#This Row],[AGEN ID]],Reseller!A:E,5,0)</f>
        <v/>
      </c>
    </row>
    <row r="24">
      <c r="A24" t="inlineStr">
        <is>
          <t>OP00060</t>
        </is>
      </c>
      <c r="B24">
        <f>VLOOKUP(A24,Reseller!G:H,2,0)</f>
        <v/>
      </c>
      <c r="C24" t="inlineStr">
        <is>
          <t>ONLINE</t>
        </is>
      </c>
      <c r="G24" s="34">
        <f>VLOOKUP(Table4[[#This Row],[AGEN ID]],Reseller!A:E,5,0)</f>
        <v/>
      </c>
    </row>
    <row r="25">
      <c r="A25" t="inlineStr">
        <is>
          <t>OP00070</t>
        </is>
      </c>
      <c r="B25">
        <f>VLOOKUP(A25,Reseller!G:H,2,0)</f>
        <v/>
      </c>
      <c r="C25" t="inlineStr">
        <is>
          <t>ONLINE</t>
        </is>
      </c>
      <c r="G25" s="34">
        <f>VLOOKUP(Table4[[#This Row],[AGEN ID]],Reseller!A:E,5,0)</f>
        <v/>
      </c>
    </row>
    <row r="26">
      <c r="A26" t="inlineStr">
        <is>
          <t>OP00075</t>
        </is>
      </c>
      <c r="B26">
        <f>VLOOKUP(A26,Reseller!G:H,2,0)</f>
        <v/>
      </c>
      <c r="C26" t="inlineStr">
        <is>
          <t>ONLINE</t>
        </is>
      </c>
      <c r="G26" s="34">
        <f>VLOOKUP(Table4[[#This Row],[AGEN ID]],Reseller!A:E,5,0)</f>
        <v/>
      </c>
    </row>
    <row r="27">
      <c r="A27" t="inlineStr">
        <is>
          <t>OP00076</t>
        </is>
      </c>
      <c r="B27">
        <f>VLOOKUP(A27,Reseller!G:H,2,0)</f>
        <v/>
      </c>
      <c r="C27" t="inlineStr">
        <is>
          <t>ONLINE</t>
        </is>
      </c>
      <c r="G27" s="34">
        <f>VLOOKUP(Table4[[#This Row],[AGEN ID]],Reseller!A:E,5,0)</f>
        <v/>
      </c>
    </row>
    <row r="28">
      <c r="A28" t="inlineStr">
        <is>
          <t>OP00086</t>
        </is>
      </c>
      <c r="B28">
        <f>VLOOKUP(A28,Reseller!G:H,2,0)</f>
        <v/>
      </c>
      <c r="C28" t="inlineStr">
        <is>
          <t>ONLINE</t>
        </is>
      </c>
      <c r="G28" s="34">
        <f>VLOOKUP(Table4[[#This Row],[AGEN ID]],Reseller!A:E,5,0)</f>
        <v/>
      </c>
    </row>
    <row r="29">
      <c r="A29" t="inlineStr">
        <is>
          <t>OP00088</t>
        </is>
      </c>
      <c r="B29">
        <f>VLOOKUP(A29,Reseller!G:H,2,0)</f>
        <v/>
      </c>
      <c r="C29" t="inlineStr">
        <is>
          <t>ONLINE</t>
        </is>
      </c>
      <c r="G29" s="34">
        <f>VLOOKUP(Table4[[#This Row],[AGEN ID]],Reseller!A:E,5,0)</f>
        <v/>
      </c>
    </row>
    <row r="30">
      <c r="A30" t="inlineStr">
        <is>
          <t>OP00090</t>
        </is>
      </c>
      <c r="B30">
        <f>VLOOKUP(A30,Reseller!G:H,2,0)</f>
        <v/>
      </c>
      <c r="C30" t="inlineStr">
        <is>
          <t>ONLINE</t>
        </is>
      </c>
      <c r="G30" s="34">
        <f>VLOOKUP(Table4[[#This Row],[AGEN ID]],Reseller!A:E,5,0)</f>
        <v/>
      </c>
    </row>
    <row r="31">
      <c r="A31" t="inlineStr">
        <is>
          <t>OP00091</t>
        </is>
      </c>
      <c r="B31">
        <f>VLOOKUP(A31,Reseller!G:H,2,0)</f>
        <v/>
      </c>
      <c r="C31" t="inlineStr">
        <is>
          <t>ONLINE</t>
        </is>
      </c>
      <c r="G31" s="34">
        <f>VLOOKUP(Table4[[#This Row],[AGEN ID]],Reseller!A:E,5,0)</f>
        <v/>
      </c>
    </row>
    <row r="32">
      <c r="A32" t="inlineStr">
        <is>
          <t>OP00093</t>
        </is>
      </c>
      <c r="B32">
        <f>VLOOKUP(A32,Reseller!G:H,2,0)</f>
        <v/>
      </c>
      <c r="C32" t="inlineStr">
        <is>
          <t>ONLINE</t>
        </is>
      </c>
      <c r="G32" s="34">
        <f>VLOOKUP(Table4[[#This Row],[AGEN ID]],Reseller!A:E,5,0)</f>
        <v/>
      </c>
    </row>
    <row r="33">
      <c r="A33" t="inlineStr">
        <is>
          <t>OP00113</t>
        </is>
      </c>
      <c r="B33">
        <f>VLOOKUP(A33,Reseller!G:H,2,0)</f>
        <v/>
      </c>
      <c r="C33" t="inlineStr">
        <is>
          <t>ONLINE</t>
        </is>
      </c>
      <c r="G33" s="34">
        <f>VLOOKUP(Table4[[#This Row],[AGEN ID]],Reseller!A:E,5,0)</f>
        <v/>
      </c>
    </row>
    <row r="34">
      <c r="A34" t="inlineStr">
        <is>
          <t>OP00114</t>
        </is>
      </c>
      <c r="B34">
        <f>VLOOKUP(A34,Reseller!G:H,2,0)</f>
        <v/>
      </c>
      <c r="C34" t="inlineStr">
        <is>
          <t>ONLINE</t>
        </is>
      </c>
      <c r="G34" s="34">
        <f>VLOOKUP(Table4[[#This Row],[AGEN ID]],Reseller!A:E,5,0)</f>
        <v/>
      </c>
    </row>
    <row r="35">
      <c r="A35" t="inlineStr">
        <is>
          <t>OP00120</t>
        </is>
      </c>
      <c r="B35">
        <f>VLOOKUP(A35,Reseller!G:H,2,0)</f>
        <v/>
      </c>
      <c r="C35" t="inlineStr">
        <is>
          <t>ONLINE</t>
        </is>
      </c>
      <c r="G35" s="34">
        <f>VLOOKUP(Table4[[#This Row],[AGEN ID]],Reseller!A:E,5,0)</f>
        <v/>
      </c>
    </row>
    <row r="36">
      <c r="A36" t="inlineStr">
        <is>
          <t>OP00121</t>
        </is>
      </c>
      <c r="B36">
        <f>VLOOKUP(A36,Reseller!G:H,2,0)</f>
        <v/>
      </c>
      <c r="C36" t="inlineStr">
        <is>
          <t>ONLINE</t>
        </is>
      </c>
      <c r="G36" s="34">
        <f>VLOOKUP(Table4[[#This Row],[AGEN ID]],Reseller!A:E,5,0)</f>
        <v/>
      </c>
    </row>
    <row r="37">
      <c r="A37" t="inlineStr">
        <is>
          <t>OP00124</t>
        </is>
      </c>
      <c r="B37">
        <f>VLOOKUP(A37,Reseller!G:H,2,0)</f>
        <v/>
      </c>
      <c r="C37" t="inlineStr">
        <is>
          <t>ONLINE</t>
        </is>
      </c>
      <c r="G37" s="34">
        <f>VLOOKUP(Table4[[#This Row],[AGEN ID]],Reseller!A:E,5,0)</f>
        <v/>
      </c>
    </row>
    <row r="38">
      <c r="A38" t="inlineStr">
        <is>
          <t>OP00151</t>
        </is>
      </c>
      <c r="B38">
        <f>VLOOKUP(A38,Reseller!G:H,2,0)</f>
        <v/>
      </c>
      <c r="C38" t="inlineStr">
        <is>
          <t>ONLINE</t>
        </is>
      </c>
      <c r="G38" s="34">
        <f>VLOOKUP(Table4[[#This Row],[AGEN ID]],Reseller!A:E,5,0)</f>
        <v/>
      </c>
    </row>
    <row r="39">
      <c r="A39" t="inlineStr">
        <is>
          <t>OP00152</t>
        </is>
      </c>
      <c r="B39">
        <f>VLOOKUP(A39,Reseller!G:H,2,0)</f>
        <v/>
      </c>
      <c r="C39" t="inlineStr">
        <is>
          <t>ONLINE</t>
        </is>
      </c>
      <c r="G39" s="34">
        <f>VLOOKUP(Table4[[#This Row],[AGEN ID]],Reseller!A:E,5,0)</f>
        <v/>
      </c>
    </row>
    <row r="40">
      <c r="A40" t="inlineStr">
        <is>
          <t>OP00157</t>
        </is>
      </c>
      <c r="B40">
        <f>VLOOKUP(A40,Reseller!G:H,2,0)</f>
        <v/>
      </c>
      <c r="C40" t="inlineStr">
        <is>
          <t>ONLINE</t>
        </is>
      </c>
      <c r="G40" s="34">
        <f>VLOOKUP(Table4[[#This Row],[AGEN ID]],Reseller!A:E,5,0)</f>
        <v/>
      </c>
    </row>
    <row r="41">
      <c r="A41" t="inlineStr">
        <is>
          <t>OP00177</t>
        </is>
      </c>
      <c r="B41">
        <f>VLOOKUP(A41,Reseller!G:H,2,0)</f>
        <v/>
      </c>
      <c r="C41" t="inlineStr">
        <is>
          <t>ONLINE</t>
        </is>
      </c>
      <c r="G41" s="34">
        <f>VLOOKUP(Table4[[#This Row],[AGEN ID]],Reseller!A:E,5,0)</f>
        <v/>
      </c>
    </row>
    <row r="42">
      <c r="A42" t="inlineStr">
        <is>
          <t>OP00180</t>
        </is>
      </c>
      <c r="B42">
        <f>VLOOKUP(A42,Reseller!G:H,2,0)</f>
        <v/>
      </c>
      <c r="C42" t="inlineStr">
        <is>
          <t>ONLINE</t>
        </is>
      </c>
      <c r="G42" s="34">
        <f>VLOOKUP(Table4[[#This Row],[AGEN ID]],Reseller!A:E,5,0)</f>
        <v/>
      </c>
    </row>
    <row r="43">
      <c r="A43" t="inlineStr">
        <is>
          <t>OP00181</t>
        </is>
      </c>
      <c r="B43">
        <f>VLOOKUP(A43,Reseller!G:H,2,0)</f>
        <v/>
      </c>
      <c r="C43" t="inlineStr">
        <is>
          <t>ONLINE</t>
        </is>
      </c>
      <c r="G43" s="34">
        <f>VLOOKUP(Table4[[#This Row],[AGEN ID]],Reseller!A:E,5,0)</f>
        <v/>
      </c>
    </row>
    <row r="44">
      <c r="A44" t="inlineStr">
        <is>
          <t>OP00185</t>
        </is>
      </c>
      <c r="B44">
        <f>VLOOKUP(A44,Reseller!G:H,2,0)</f>
        <v/>
      </c>
      <c r="C44" t="inlineStr">
        <is>
          <t>ONLINE</t>
        </is>
      </c>
      <c r="G44" s="34">
        <f>VLOOKUP(Table4[[#This Row],[AGEN ID]],Reseller!A:E,5,0)</f>
        <v/>
      </c>
    </row>
    <row r="45">
      <c r="A45" t="inlineStr">
        <is>
          <t>OP00188</t>
        </is>
      </c>
      <c r="B45">
        <f>VLOOKUP(A45,Reseller!G:H,2,0)</f>
        <v/>
      </c>
      <c r="C45" t="inlineStr">
        <is>
          <t>ONLINE</t>
        </is>
      </c>
      <c r="G45" s="34">
        <f>VLOOKUP(Table4[[#This Row],[AGEN ID]],Reseller!A:E,5,0)</f>
        <v/>
      </c>
    </row>
    <row r="46">
      <c r="A46" t="inlineStr">
        <is>
          <t>OP00193</t>
        </is>
      </c>
      <c r="B46">
        <f>VLOOKUP(A46,Reseller!G:H,2,0)</f>
        <v/>
      </c>
      <c r="C46" t="inlineStr">
        <is>
          <t>ONLINE</t>
        </is>
      </c>
      <c r="G46" s="34">
        <f>VLOOKUP(Table4[[#This Row],[AGEN ID]],Reseller!A:E,5,0)</f>
        <v/>
      </c>
    </row>
    <row r="47">
      <c r="A47" t="inlineStr">
        <is>
          <t>OP00195</t>
        </is>
      </c>
      <c r="B47">
        <f>VLOOKUP(A47,Reseller!G:H,2,0)</f>
        <v/>
      </c>
      <c r="C47" t="inlineStr">
        <is>
          <t>ONLINE</t>
        </is>
      </c>
      <c r="G47" s="34">
        <f>VLOOKUP(Table4[[#This Row],[AGEN ID]],Reseller!A:E,5,0)</f>
        <v/>
      </c>
    </row>
    <row r="48">
      <c r="A48" t="inlineStr">
        <is>
          <t>OP00211</t>
        </is>
      </c>
      <c r="B48">
        <f>VLOOKUP(A48,Reseller!G:H,2,0)</f>
        <v/>
      </c>
      <c r="C48" t="inlineStr">
        <is>
          <t>ONLINE</t>
        </is>
      </c>
      <c r="G48" s="34">
        <f>VLOOKUP(Table4[[#This Row],[AGEN ID]],Reseller!A:E,5,0)</f>
        <v/>
      </c>
    </row>
    <row r="49">
      <c r="A49" t="inlineStr">
        <is>
          <t>OP00233</t>
        </is>
      </c>
      <c r="B49">
        <f>VLOOKUP(A49,Reseller!G:H,2,0)</f>
        <v/>
      </c>
      <c r="C49" t="inlineStr">
        <is>
          <t>ONLINE</t>
        </is>
      </c>
      <c r="G49" s="34">
        <f>VLOOKUP(Table4[[#This Row],[AGEN ID]],Reseller!A:E,5,0)</f>
        <v/>
      </c>
    </row>
    <row r="50">
      <c r="A50" t="inlineStr">
        <is>
          <t>OP00236</t>
        </is>
      </c>
      <c r="B50">
        <f>VLOOKUP(A50,Reseller!G:H,2,0)</f>
        <v/>
      </c>
      <c r="C50" t="inlineStr">
        <is>
          <t>ONLINE</t>
        </is>
      </c>
      <c r="G50" s="34">
        <f>VLOOKUP(Table4[[#This Row],[AGEN ID]],Reseller!A:E,5,0)</f>
        <v/>
      </c>
    </row>
    <row r="51">
      <c r="A51" t="inlineStr">
        <is>
          <t>OP00238</t>
        </is>
      </c>
      <c r="B51">
        <f>VLOOKUP(A51,Reseller!G:H,2,0)</f>
        <v/>
      </c>
      <c r="C51" t="inlineStr">
        <is>
          <t>ONLINE</t>
        </is>
      </c>
      <c r="G51" s="34">
        <f>VLOOKUP(Table4[[#This Row],[AGEN ID]],Reseller!A:E,5,0)</f>
        <v/>
      </c>
    </row>
    <row r="52">
      <c r="A52" t="inlineStr">
        <is>
          <t>OP00246</t>
        </is>
      </c>
      <c r="B52">
        <f>VLOOKUP(A52,Reseller!G:H,2,0)</f>
        <v/>
      </c>
      <c r="C52" t="inlineStr">
        <is>
          <t>ONLINE</t>
        </is>
      </c>
      <c r="G52" s="34">
        <f>VLOOKUP(Table4[[#This Row],[AGEN ID]],Reseller!A:E,5,0)</f>
        <v/>
      </c>
    </row>
    <row r="53">
      <c r="A53" t="inlineStr">
        <is>
          <t>OP00252</t>
        </is>
      </c>
      <c r="B53">
        <f>VLOOKUP(A53,Reseller!G:H,2,0)</f>
        <v/>
      </c>
      <c r="C53" t="inlineStr">
        <is>
          <t>ONLINE</t>
        </is>
      </c>
      <c r="G53" s="34">
        <f>VLOOKUP(Table4[[#This Row],[AGEN ID]],Reseller!A:E,5,0)</f>
        <v/>
      </c>
    </row>
    <row r="54">
      <c r="A54" t="inlineStr">
        <is>
          <t>OP00277</t>
        </is>
      </c>
      <c r="B54">
        <f>VLOOKUP(A54,Reseller!G:H,2,0)</f>
        <v/>
      </c>
      <c r="C54" t="inlineStr">
        <is>
          <t>ONLINE</t>
        </is>
      </c>
      <c r="G54" s="34">
        <f>VLOOKUP(Table4[[#This Row],[AGEN ID]],Reseller!A:E,5,0)</f>
        <v/>
      </c>
    </row>
    <row r="55">
      <c r="A55" t="inlineStr">
        <is>
          <t>OP00298</t>
        </is>
      </c>
      <c r="B55">
        <f>VLOOKUP(A55,Reseller!G:H,2,0)</f>
        <v/>
      </c>
      <c r="C55" t="inlineStr">
        <is>
          <t>ONLINE</t>
        </is>
      </c>
      <c r="G55" s="34">
        <f>VLOOKUP(Table4[[#This Row],[AGEN ID]],Reseller!A:E,5,0)</f>
        <v/>
      </c>
    </row>
    <row r="56">
      <c r="A56" t="inlineStr">
        <is>
          <t>OP00299</t>
        </is>
      </c>
      <c r="B56">
        <f>VLOOKUP(A56,Reseller!G:H,2,0)</f>
        <v/>
      </c>
      <c r="C56" t="inlineStr">
        <is>
          <t>ONLINE</t>
        </is>
      </c>
      <c r="G56" s="34">
        <f>VLOOKUP(Table4[[#This Row],[AGEN ID]],Reseller!A:E,5,0)</f>
        <v/>
      </c>
    </row>
    <row r="57">
      <c r="A57" t="inlineStr">
        <is>
          <t>OP00301</t>
        </is>
      </c>
      <c r="B57">
        <f>VLOOKUP(A57,Reseller!G:H,2,0)</f>
        <v/>
      </c>
      <c r="C57" t="inlineStr">
        <is>
          <t>ONLINE</t>
        </is>
      </c>
      <c r="G57" s="34">
        <f>VLOOKUP(Table4[[#This Row],[AGEN ID]],Reseller!A:E,5,0)</f>
        <v/>
      </c>
    </row>
    <row r="58">
      <c r="A58" t="inlineStr">
        <is>
          <t>OP00304</t>
        </is>
      </c>
      <c r="B58">
        <f>VLOOKUP(A58,Reseller!G:H,2,0)</f>
        <v/>
      </c>
      <c r="C58" t="inlineStr">
        <is>
          <t>ONLINE</t>
        </is>
      </c>
      <c r="G58" s="34">
        <f>VLOOKUP(Table4[[#This Row],[AGEN ID]],Reseller!A:E,5,0)</f>
        <v/>
      </c>
    </row>
    <row r="59">
      <c r="A59" t="inlineStr">
        <is>
          <t>OP00305</t>
        </is>
      </c>
      <c r="B59">
        <f>VLOOKUP(A59,Reseller!G:H,2,0)</f>
        <v/>
      </c>
      <c r="C59" t="inlineStr">
        <is>
          <t>ONLINE</t>
        </is>
      </c>
      <c r="G59" s="34">
        <f>VLOOKUP(Table4[[#This Row],[AGEN ID]],Reseller!A:E,5,0)</f>
        <v/>
      </c>
    </row>
    <row r="60">
      <c r="A60" t="inlineStr">
        <is>
          <t>OP00308</t>
        </is>
      </c>
      <c r="B60">
        <f>VLOOKUP(A60,Reseller!G:H,2,0)</f>
        <v/>
      </c>
      <c r="C60" t="inlineStr">
        <is>
          <t>ONLINE</t>
        </is>
      </c>
      <c r="G60" s="34">
        <f>VLOOKUP(Table4[[#This Row],[AGEN ID]],Reseller!A:E,5,0)</f>
        <v/>
      </c>
    </row>
    <row r="61">
      <c r="A61" t="inlineStr">
        <is>
          <t>OP00311</t>
        </is>
      </c>
      <c r="B61">
        <f>VLOOKUP(A61,Reseller!G:H,2,0)</f>
        <v/>
      </c>
      <c r="C61" t="inlineStr">
        <is>
          <t>ONLINE</t>
        </is>
      </c>
      <c r="G61" s="34">
        <f>VLOOKUP(Table4[[#This Row],[AGEN ID]],Reseller!A:E,5,0)</f>
        <v/>
      </c>
    </row>
    <row r="62">
      <c r="A62" t="inlineStr">
        <is>
          <t>OP00314</t>
        </is>
      </c>
      <c r="B62">
        <f>VLOOKUP(A62,Reseller!G:H,2,0)</f>
        <v/>
      </c>
      <c r="C62" t="inlineStr">
        <is>
          <t>ONLINE</t>
        </is>
      </c>
      <c r="G62" s="34">
        <f>VLOOKUP(Table4[[#This Row],[AGEN ID]],Reseller!A:E,5,0)</f>
        <v/>
      </c>
    </row>
    <row r="63">
      <c r="A63" t="inlineStr">
        <is>
          <t>OP00325</t>
        </is>
      </c>
      <c r="B63">
        <f>VLOOKUP(A63,Reseller!G:H,2,0)</f>
        <v/>
      </c>
      <c r="C63" t="inlineStr">
        <is>
          <t>ONLINE</t>
        </is>
      </c>
      <c r="G63" s="34">
        <f>VLOOKUP(Table4[[#This Row],[AGEN ID]],Reseller!A:E,5,0)</f>
        <v/>
      </c>
    </row>
    <row r="64">
      <c r="A64" t="inlineStr">
        <is>
          <t>OP00327</t>
        </is>
      </c>
      <c r="B64">
        <f>VLOOKUP(A64,Reseller!G:H,2,0)</f>
        <v/>
      </c>
      <c r="C64" t="inlineStr">
        <is>
          <t>ONLINE</t>
        </is>
      </c>
      <c r="G64" s="34">
        <f>VLOOKUP(Table4[[#This Row],[AGEN ID]],Reseller!A:E,5,0)</f>
        <v/>
      </c>
    </row>
    <row r="65">
      <c r="A65" t="inlineStr">
        <is>
          <t>OP00335</t>
        </is>
      </c>
      <c r="B65">
        <f>VLOOKUP(A65,Reseller!G:H,2,0)</f>
        <v/>
      </c>
      <c r="C65" t="inlineStr">
        <is>
          <t>ONLINE</t>
        </is>
      </c>
      <c r="G65" s="34">
        <f>VLOOKUP(Table4[[#This Row],[AGEN ID]],Reseller!A:E,5,0)</f>
        <v/>
      </c>
    </row>
    <row r="66">
      <c r="A66" t="inlineStr">
        <is>
          <t>OP00340</t>
        </is>
      </c>
      <c r="B66">
        <f>VLOOKUP(A66,Reseller!G:H,2,0)</f>
        <v/>
      </c>
      <c r="C66" t="inlineStr">
        <is>
          <t>ONLINE</t>
        </is>
      </c>
      <c r="G66" s="34">
        <f>VLOOKUP(Table4[[#This Row],[AGEN ID]],Reseller!A:E,5,0)</f>
        <v/>
      </c>
    </row>
    <row r="67">
      <c r="A67" t="inlineStr">
        <is>
          <t>OP00343</t>
        </is>
      </c>
      <c r="B67">
        <f>VLOOKUP(A67,Reseller!G:H,2,0)</f>
        <v/>
      </c>
      <c r="C67" t="inlineStr">
        <is>
          <t>ONLINE</t>
        </is>
      </c>
      <c r="G67" s="34">
        <f>VLOOKUP(Table4[[#This Row],[AGEN ID]],Reseller!A:E,5,0)</f>
        <v/>
      </c>
    </row>
    <row r="68">
      <c r="A68" t="inlineStr">
        <is>
          <t>OP00345</t>
        </is>
      </c>
      <c r="B68">
        <f>VLOOKUP(A68,Reseller!G:H,2,0)</f>
        <v/>
      </c>
      <c r="C68" t="inlineStr">
        <is>
          <t>ONLINE</t>
        </is>
      </c>
      <c r="G68" s="34">
        <f>VLOOKUP(Table4[[#This Row],[AGEN ID]],Reseller!A:E,5,0)</f>
        <v/>
      </c>
    </row>
    <row r="69">
      <c r="A69" t="inlineStr">
        <is>
          <t>OP00351</t>
        </is>
      </c>
      <c r="B69">
        <f>VLOOKUP(A69,Reseller!G:H,2,0)</f>
        <v/>
      </c>
      <c r="C69" t="inlineStr">
        <is>
          <t>ONLINE</t>
        </is>
      </c>
      <c r="G69" s="34">
        <f>VLOOKUP(Table4[[#This Row],[AGEN ID]],Reseller!A:E,5,0)</f>
        <v/>
      </c>
    </row>
    <row r="70">
      <c r="A70" t="inlineStr">
        <is>
          <t>OP00358</t>
        </is>
      </c>
      <c r="B70">
        <f>VLOOKUP(A70,Reseller!G:H,2,0)</f>
        <v/>
      </c>
      <c r="C70" t="inlineStr">
        <is>
          <t>ONLINE</t>
        </is>
      </c>
      <c r="G70" s="34">
        <f>VLOOKUP(Table4[[#This Row],[AGEN ID]],Reseller!A:E,5,0)</f>
        <v/>
      </c>
    </row>
    <row r="71">
      <c r="A71" t="inlineStr">
        <is>
          <t>OP00370</t>
        </is>
      </c>
      <c r="B71">
        <f>VLOOKUP(A71,Reseller!G:H,2,0)</f>
        <v/>
      </c>
      <c r="C71" t="inlineStr">
        <is>
          <t>ONLINE</t>
        </is>
      </c>
      <c r="G71" s="34">
        <f>VLOOKUP(Table4[[#This Row],[AGEN ID]],Reseller!A:E,5,0)</f>
        <v/>
      </c>
    </row>
    <row r="72">
      <c r="A72" t="inlineStr">
        <is>
          <t>OP00371</t>
        </is>
      </c>
      <c r="B72">
        <f>VLOOKUP(A72,Reseller!G:H,2,0)</f>
        <v/>
      </c>
      <c r="C72" t="inlineStr">
        <is>
          <t>ONLINE</t>
        </is>
      </c>
      <c r="G72" s="34">
        <f>VLOOKUP(Table4[[#This Row],[AGEN ID]],Reseller!A:E,5,0)</f>
        <v/>
      </c>
    </row>
    <row r="73">
      <c r="A73" t="inlineStr">
        <is>
          <t>OP00387</t>
        </is>
      </c>
      <c r="B73">
        <f>VLOOKUP(A73,Reseller!G:H,2,0)</f>
        <v/>
      </c>
      <c r="C73" t="inlineStr">
        <is>
          <t>ONLINE</t>
        </is>
      </c>
      <c r="G73" s="34">
        <f>VLOOKUP(Table4[[#This Row],[AGEN ID]],Reseller!A:E,5,0)</f>
        <v/>
      </c>
    </row>
    <row r="74">
      <c r="A74" t="inlineStr">
        <is>
          <t>OP00388</t>
        </is>
      </c>
      <c r="B74">
        <f>VLOOKUP(A74,Reseller!G:H,2,0)</f>
        <v/>
      </c>
      <c r="C74" t="inlineStr">
        <is>
          <t>ONLINE</t>
        </is>
      </c>
      <c r="G74" s="34">
        <f>VLOOKUP(Table4[[#This Row],[AGEN ID]],Reseller!A:E,5,0)</f>
        <v/>
      </c>
    </row>
    <row r="75">
      <c r="A75" t="inlineStr">
        <is>
          <t>OP00392</t>
        </is>
      </c>
      <c r="B75">
        <f>VLOOKUP(A75,Reseller!G:H,2,0)</f>
        <v/>
      </c>
      <c r="C75" t="inlineStr">
        <is>
          <t>ONLINE</t>
        </is>
      </c>
      <c r="G75" s="34">
        <f>VLOOKUP(Table4[[#This Row],[AGEN ID]],Reseller!A:E,5,0)</f>
        <v/>
      </c>
    </row>
    <row r="76">
      <c r="A76" t="inlineStr">
        <is>
          <t>OP00401</t>
        </is>
      </c>
      <c r="B76">
        <f>VLOOKUP(A76,Reseller!G:H,2,0)</f>
        <v/>
      </c>
      <c r="C76" t="inlineStr">
        <is>
          <t>ONLINE</t>
        </is>
      </c>
      <c r="G76" s="34">
        <f>VLOOKUP(Table4[[#This Row],[AGEN ID]],Reseller!A:E,5,0)</f>
        <v/>
      </c>
    </row>
    <row r="77">
      <c r="A77" t="inlineStr">
        <is>
          <t>OP00402</t>
        </is>
      </c>
      <c r="B77">
        <f>VLOOKUP(A77,Reseller!G:H,2,0)</f>
        <v/>
      </c>
      <c r="C77" t="inlineStr">
        <is>
          <t>ONLINE</t>
        </is>
      </c>
      <c r="G77" s="34">
        <f>VLOOKUP(Table4[[#This Row],[AGEN ID]],Reseller!A:E,5,0)</f>
        <v/>
      </c>
    </row>
    <row r="78">
      <c r="A78" t="inlineStr">
        <is>
          <t>OP00412</t>
        </is>
      </c>
      <c r="B78">
        <f>VLOOKUP(A78,Reseller!G:H,2,0)</f>
        <v/>
      </c>
      <c r="C78" t="inlineStr">
        <is>
          <t>ONLINE</t>
        </is>
      </c>
      <c r="G78" s="34">
        <f>VLOOKUP(Table4[[#This Row],[AGEN ID]],Reseller!A:E,5,0)</f>
        <v/>
      </c>
    </row>
    <row r="79">
      <c r="A79" t="inlineStr">
        <is>
          <t>OP00429</t>
        </is>
      </c>
      <c r="B79">
        <f>VLOOKUP(A79,Reseller!G:H,2,0)</f>
        <v/>
      </c>
      <c r="C79" t="inlineStr">
        <is>
          <t>ONLINE</t>
        </is>
      </c>
      <c r="G79" s="34">
        <f>VLOOKUP(Table4[[#This Row],[AGEN ID]],Reseller!A:E,5,0)</f>
        <v/>
      </c>
    </row>
    <row r="80">
      <c r="A80" t="inlineStr">
        <is>
          <t>OP00431</t>
        </is>
      </c>
      <c r="B80">
        <f>VLOOKUP(A80,Reseller!G:H,2,0)</f>
        <v/>
      </c>
      <c r="C80" t="inlineStr">
        <is>
          <t>ONLINE</t>
        </is>
      </c>
      <c r="G80" s="34">
        <f>VLOOKUP(Table4[[#This Row],[AGEN ID]],Reseller!A:E,5,0)</f>
        <v/>
      </c>
    </row>
    <row r="81">
      <c r="A81" t="inlineStr">
        <is>
          <t>OP00432</t>
        </is>
      </c>
      <c r="B81">
        <f>VLOOKUP(A81,Reseller!G:H,2,0)</f>
        <v/>
      </c>
      <c r="C81" t="inlineStr">
        <is>
          <t>ONLINE</t>
        </is>
      </c>
      <c r="G81" s="34">
        <f>VLOOKUP(Table4[[#This Row],[AGEN ID]],Reseller!A:E,5,0)</f>
        <v/>
      </c>
    </row>
    <row r="82">
      <c r="A82" t="inlineStr">
        <is>
          <t>OP00433</t>
        </is>
      </c>
      <c r="B82">
        <f>VLOOKUP(A82,Reseller!G:H,2,0)</f>
        <v/>
      </c>
      <c r="C82" t="inlineStr">
        <is>
          <t>ONLINE</t>
        </is>
      </c>
      <c r="G82" s="34">
        <f>VLOOKUP(Table4[[#This Row],[AGEN ID]],Reseller!A:E,5,0)</f>
        <v/>
      </c>
    </row>
    <row r="83">
      <c r="A83" t="inlineStr">
        <is>
          <t>OP00448</t>
        </is>
      </c>
      <c r="B83">
        <f>VLOOKUP(A83,Reseller!G:H,2,0)</f>
        <v/>
      </c>
      <c r="C83" t="inlineStr">
        <is>
          <t>ONLINE</t>
        </is>
      </c>
      <c r="G83" s="34">
        <f>VLOOKUP(Table4[[#This Row],[AGEN ID]],Reseller!A:E,5,0)</f>
        <v/>
      </c>
    </row>
    <row r="84">
      <c r="A84" t="inlineStr">
        <is>
          <t>OP00463</t>
        </is>
      </c>
      <c r="B84">
        <f>VLOOKUP(A84,Reseller!G:H,2,0)</f>
        <v/>
      </c>
      <c r="C84" t="inlineStr">
        <is>
          <t>ONLINE</t>
        </is>
      </c>
      <c r="G84" s="34">
        <f>VLOOKUP(Table4[[#This Row],[AGEN ID]],Reseller!A:E,5,0)</f>
        <v/>
      </c>
    </row>
    <row r="85">
      <c r="A85" t="inlineStr">
        <is>
          <t>OP00478</t>
        </is>
      </c>
      <c r="B85">
        <f>VLOOKUP(A85,Reseller!G:H,2,0)</f>
        <v/>
      </c>
      <c r="C85" t="inlineStr">
        <is>
          <t>ONLINE</t>
        </is>
      </c>
      <c r="G85" s="34">
        <f>VLOOKUP(Table4[[#This Row],[AGEN ID]],Reseller!A:E,5,0)</f>
        <v/>
      </c>
    </row>
    <row r="86">
      <c r="A86" t="inlineStr">
        <is>
          <t>OP00480</t>
        </is>
      </c>
      <c r="B86">
        <f>VLOOKUP(A86,Reseller!G:H,2,0)</f>
        <v/>
      </c>
      <c r="C86" t="inlineStr">
        <is>
          <t>ONLINE</t>
        </is>
      </c>
      <c r="G86" s="34">
        <f>VLOOKUP(Table4[[#This Row],[AGEN ID]],Reseller!A:E,5,0)</f>
        <v/>
      </c>
    </row>
    <row r="87">
      <c r="A87" t="inlineStr">
        <is>
          <t>OP00485</t>
        </is>
      </c>
      <c r="B87">
        <f>VLOOKUP(A87,Reseller!G:H,2,0)</f>
        <v/>
      </c>
      <c r="C87" t="inlineStr">
        <is>
          <t>ONLINE</t>
        </is>
      </c>
      <c r="G87" s="34">
        <f>VLOOKUP(Table4[[#This Row],[AGEN ID]],Reseller!A:E,5,0)</f>
        <v/>
      </c>
    </row>
    <row r="88">
      <c r="A88" t="inlineStr">
        <is>
          <t>OP00511</t>
        </is>
      </c>
      <c r="B88">
        <f>VLOOKUP(A88,Reseller!G:H,2,0)</f>
        <v/>
      </c>
      <c r="C88" t="inlineStr">
        <is>
          <t>ONLINE</t>
        </is>
      </c>
      <c r="G88" s="34">
        <f>VLOOKUP(Table4[[#This Row],[AGEN ID]],Reseller!A:E,5,0)</f>
        <v/>
      </c>
    </row>
    <row r="89">
      <c r="A89" t="inlineStr">
        <is>
          <t>OP00520</t>
        </is>
      </c>
      <c r="B89">
        <f>VLOOKUP(A89,Reseller!G:H,2,0)</f>
        <v/>
      </c>
      <c r="C89" t="inlineStr">
        <is>
          <t>ONLINE</t>
        </is>
      </c>
      <c r="G89" s="34">
        <f>VLOOKUP(Table4[[#This Row],[AGEN ID]],Reseller!A:E,5,0)</f>
        <v/>
      </c>
    </row>
    <row r="90">
      <c r="A90" t="inlineStr">
        <is>
          <t>OP00527</t>
        </is>
      </c>
      <c r="B90">
        <f>VLOOKUP(A90,Reseller!G:H,2,0)</f>
        <v/>
      </c>
      <c r="C90" t="inlineStr">
        <is>
          <t>ONLINE</t>
        </is>
      </c>
      <c r="G90" s="34">
        <f>VLOOKUP(Table4[[#This Row],[AGEN ID]],Reseller!A:E,5,0)</f>
        <v/>
      </c>
    </row>
    <row r="91">
      <c r="A91" t="inlineStr">
        <is>
          <t>OP00533</t>
        </is>
      </c>
      <c r="B91">
        <f>VLOOKUP(A91,Reseller!G:H,2,0)</f>
        <v/>
      </c>
      <c r="C91" t="inlineStr">
        <is>
          <t>ONLINE</t>
        </is>
      </c>
      <c r="G91" s="34">
        <f>VLOOKUP(Table4[[#This Row],[AGEN ID]],Reseller!A:E,5,0)</f>
        <v/>
      </c>
    </row>
    <row r="92">
      <c r="A92" t="inlineStr">
        <is>
          <t>OP00535</t>
        </is>
      </c>
      <c r="B92">
        <f>VLOOKUP(A92,Reseller!G:H,2,0)</f>
        <v/>
      </c>
      <c r="C92" t="inlineStr">
        <is>
          <t>ONLINE</t>
        </is>
      </c>
      <c r="G92" s="34">
        <f>VLOOKUP(Table4[[#This Row],[AGEN ID]],Reseller!A:E,5,0)</f>
        <v/>
      </c>
    </row>
    <row r="93">
      <c r="A93" t="inlineStr">
        <is>
          <t>OP00548</t>
        </is>
      </c>
      <c r="B93">
        <f>VLOOKUP(A93,Reseller!G:H,2,0)</f>
        <v/>
      </c>
      <c r="C93" t="inlineStr">
        <is>
          <t>ONLINE</t>
        </is>
      </c>
      <c r="G93" s="34">
        <f>VLOOKUP(Table4[[#This Row],[AGEN ID]],Reseller!A:E,5,0)</f>
        <v/>
      </c>
    </row>
    <row r="94">
      <c r="A94" t="inlineStr">
        <is>
          <t>OP00550</t>
        </is>
      </c>
      <c r="B94">
        <f>VLOOKUP(A94,Reseller!G:H,2,0)</f>
        <v/>
      </c>
      <c r="C94" t="inlineStr">
        <is>
          <t>ONLINE</t>
        </is>
      </c>
      <c r="G94" s="34">
        <f>VLOOKUP(Table4[[#This Row],[AGEN ID]],Reseller!A:E,5,0)</f>
        <v/>
      </c>
    </row>
    <row r="95">
      <c r="A95" t="inlineStr">
        <is>
          <t>OP00577</t>
        </is>
      </c>
      <c r="B95">
        <f>VLOOKUP(A95,Reseller!G:H,2,0)</f>
        <v/>
      </c>
      <c r="C95" t="inlineStr">
        <is>
          <t>ONLINE</t>
        </is>
      </c>
      <c r="G95" s="34">
        <f>VLOOKUP(Table4[[#This Row],[AGEN ID]],Reseller!A:E,5,0)</f>
        <v/>
      </c>
    </row>
    <row r="96">
      <c r="A96" t="inlineStr">
        <is>
          <t>OP00582</t>
        </is>
      </c>
      <c r="B96">
        <f>VLOOKUP(A96,Reseller!G:H,2,0)</f>
        <v/>
      </c>
      <c r="C96" t="inlineStr">
        <is>
          <t>ONLINE</t>
        </is>
      </c>
      <c r="G96" s="34">
        <f>VLOOKUP(Table4[[#This Row],[AGEN ID]],Reseller!A:E,5,0)</f>
        <v/>
      </c>
    </row>
    <row r="97">
      <c r="A97" t="inlineStr">
        <is>
          <t>OP00586</t>
        </is>
      </c>
      <c r="B97">
        <f>VLOOKUP(A97,Reseller!G:H,2,0)</f>
        <v/>
      </c>
      <c r="C97" t="inlineStr">
        <is>
          <t>ONLINE</t>
        </is>
      </c>
      <c r="G97" s="34">
        <f>VLOOKUP(Table4[[#This Row],[AGEN ID]],Reseller!A:E,5,0)</f>
        <v/>
      </c>
    </row>
    <row r="98">
      <c r="A98" t="inlineStr">
        <is>
          <t>OP00618</t>
        </is>
      </c>
      <c r="B98">
        <f>VLOOKUP(A98,Reseller!G:H,2,0)</f>
        <v/>
      </c>
      <c r="C98" t="inlineStr">
        <is>
          <t>ONLINE</t>
        </is>
      </c>
      <c r="G98" s="34">
        <f>VLOOKUP(Table4[[#This Row],[AGEN ID]],Reseller!A:E,5,0)</f>
        <v/>
      </c>
    </row>
    <row r="99">
      <c r="A99" t="inlineStr">
        <is>
          <t>OP00621</t>
        </is>
      </c>
      <c r="B99">
        <f>VLOOKUP(A99,Reseller!G:H,2,0)</f>
        <v/>
      </c>
      <c r="C99" t="inlineStr">
        <is>
          <t>ONLINE</t>
        </is>
      </c>
      <c r="G99" s="34">
        <f>VLOOKUP(Table4[[#This Row],[AGEN ID]],Reseller!A:E,5,0)</f>
        <v/>
      </c>
    </row>
    <row r="100">
      <c r="A100" t="inlineStr">
        <is>
          <t>OP00630</t>
        </is>
      </c>
      <c r="B100">
        <f>VLOOKUP(A100,Reseller!G:H,2,0)</f>
        <v/>
      </c>
      <c r="C100" t="inlineStr">
        <is>
          <t>ONLINE</t>
        </is>
      </c>
      <c r="G100" s="34">
        <f>VLOOKUP(Table4[[#This Row],[AGEN ID]],Reseller!A:E,5,0)</f>
        <v/>
      </c>
    </row>
    <row r="101">
      <c r="A101" t="inlineStr">
        <is>
          <t>OP00637</t>
        </is>
      </c>
      <c r="B101">
        <f>VLOOKUP(A101,Reseller!G:H,2,0)</f>
        <v/>
      </c>
      <c r="C101" t="inlineStr">
        <is>
          <t>ONLINE</t>
        </is>
      </c>
      <c r="G101" s="34">
        <f>VLOOKUP(Table4[[#This Row],[AGEN ID]],Reseller!A:E,5,0)</f>
        <v/>
      </c>
    </row>
    <row r="102">
      <c r="A102" t="inlineStr">
        <is>
          <t>OP00665</t>
        </is>
      </c>
      <c r="B102">
        <f>VLOOKUP(A102,Reseller!G:H,2,0)</f>
        <v/>
      </c>
      <c r="C102" t="inlineStr">
        <is>
          <t>ONLINE</t>
        </is>
      </c>
      <c r="G102" s="34">
        <f>VLOOKUP(Table4[[#This Row],[AGEN ID]],Reseller!A:E,5,0)</f>
        <v/>
      </c>
    </row>
    <row r="103">
      <c r="A103" t="inlineStr">
        <is>
          <t>OP00667</t>
        </is>
      </c>
      <c r="B103">
        <f>VLOOKUP(A103,Reseller!G:H,2,0)</f>
        <v/>
      </c>
      <c r="C103" t="inlineStr">
        <is>
          <t>ONLINE</t>
        </is>
      </c>
      <c r="G103" s="34">
        <f>VLOOKUP(Table4[[#This Row],[AGEN ID]],Reseller!A:E,5,0)</f>
        <v/>
      </c>
    </row>
    <row r="104">
      <c r="A104" t="inlineStr">
        <is>
          <t>OP00680</t>
        </is>
      </c>
      <c r="B104">
        <f>VLOOKUP(A104,Reseller!G:H,2,0)</f>
        <v/>
      </c>
      <c r="C104" t="inlineStr">
        <is>
          <t>ONLINE</t>
        </is>
      </c>
      <c r="G104" s="34">
        <f>VLOOKUP(Table4[[#This Row],[AGEN ID]],Reseller!A:E,5,0)</f>
        <v/>
      </c>
    </row>
    <row r="105">
      <c r="A105" t="inlineStr">
        <is>
          <t>OP00682</t>
        </is>
      </c>
      <c r="B105">
        <f>VLOOKUP(A105,Reseller!G:H,2,0)</f>
        <v/>
      </c>
      <c r="C105" t="inlineStr">
        <is>
          <t>ONLINE</t>
        </is>
      </c>
      <c r="G105" s="34">
        <f>VLOOKUP(Table4[[#This Row],[AGEN ID]],Reseller!A:E,5,0)</f>
        <v/>
      </c>
    </row>
    <row r="106">
      <c r="A106" t="inlineStr">
        <is>
          <t>OP00684</t>
        </is>
      </c>
      <c r="B106">
        <f>VLOOKUP(A106,Reseller!G:H,2,0)</f>
        <v/>
      </c>
      <c r="C106" t="inlineStr">
        <is>
          <t>ONLINE</t>
        </is>
      </c>
      <c r="G106" s="34">
        <f>VLOOKUP(Table4[[#This Row],[AGEN ID]],Reseller!A:E,5,0)</f>
        <v/>
      </c>
    </row>
    <row r="107">
      <c r="A107" t="inlineStr">
        <is>
          <t>OP00688</t>
        </is>
      </c>
      <c r="B107">
        <f>VLOOKUP(A107,Reseller!G:H,2,0)</f>
        <v/>
      </c>
      <c r="C107" t="inlineStr">
        <is>
          <t>ONLINE</t>
        </is>
      </c>
      <c r="G107" s="34">
        <f>VLOOKUP(Table4[[#This Row],[AGEN ID]],Reseller!A:E,5,0)</f>
        <v/>
      </c>
    </row>
    <row r="108">
      <c r="A108" t="inlineStr">
        <is>
          <t>OP00707</t>
        </is>
      </c>
      <c r="B108">
        <f>VLOOKUP(A108,Reseller!G:H,2,0)</f>
        <v/>
      </c>
      <c r="C108" t="inlineStr">
        <is>
          <t>ONLINE</t>
        </is>
      </c>
      <c r="G108" s="34">
        <f>VLOOKUP(Table4[[#This Row],[AGEN ID]],Reseller!A:E,5,0)</f>
        <v/>
      </c>
    </row>
    <row r="109">
      <c r="A109" t="inlineStr">
        <is>
          <t>OP00713</t>
        </is>
      </c>
      <c r="B109">
        <f>VLOOKUP(A109,Reseller!G:H,2,0)</f>
        <v/>
      </c>
      <c r="C109" t="inlineStr">
        <is>
          <t>ONLINE</t>
        </is>
      </c>
      <c r="G109" s="34">
        <f>VLOOKUP(Table4[[#This Row],[AGEN ID]],Reseller!A:E,5,0)</f>
        <v/>
      </c>
    </row>
    <row r="110">
      <c r="A110" t="inlineStr">
        <is>
          <t>OP00726</t>
        </is>
      </c>
      <c r="B110">
        <f>VLOOKUP(A110,Reseller!G:H,2,0)</f>
        <v/>
      </c>
      <c r="C110" t="inlineStr">
        <is>
          <t>ONLINE</t>
        </is>
      </c>
      <c r="G110" s="34">
        <f>VLOOKUP(Table4[[#This Row],[AGEN ID]],Reseller!A:E,5,0)</f>
        <v/>
      </c>
    </row>
    <row r="111">
      <c r="A111" t="inlineStr">
        <is>
          <t>OP00729</t>
        </is>
      </c>
      <c r="B111">
        <f>VLOOKUP(A111,Reseller!G:H,2,0)</f>
        <v/>
      </c>
      <c r="C111" t="inlineStr">
        <is>
          <t>ONLINE</t>
        </is>
      </c>
      <c r="G111" s="34">
        <f>VLOOKUP(Table4[[#This Row],[AGEN ID]],Reseller!A:E,5,0)</f>
        <v/>
      </c>
    </row>
    <row r="112">
      <c r="A112" t="inlineStr">
        <is>
          <t>OP00733</t>
        </is>
      </c>
      <c r="B112">
        <f>VLOOKUP(A112,Reseller!G:H,2,0)</f>
        <v/>
      </c>
      <c r="C112" t="inlineStr">
        <is>
          <t>ONLINE</t>
        </is>
      </c>
      <c r="G112" s="34">
        <f>VLOOKUP(Table4[[#This Row],[AGEN ID]],Reseller!A:E,5,0)</f>
        <v/>
      </c>
    </row>
    <row r="113">
      <c r="A113" t="inlineStr">
        <is>
          <t>OP00761</t>
        </is>
      </c>
      <c r="B113">
        <f>VLOOKUP(A113,Reseller!G:H,2,0)</f>
        <v/>
      </c>
      <c r="C113" t="inlineStr">
        <is>
          <t>ONLINE</t>
        </is>
      </c>
      <c r="G113" s="34">
        <f>VLOOKUP(Table4[[#This Row],[AGEN ID]],Reseller!A:E,5,0)</f>
        <v/>
      </c>
    </row>
    <row r="114">
      <c r="A114" t="inlineStr">
        <is>
          <t>OP00771</t>
        </is>
      </c>
      <c r="B114">
        <f>VLOOKUP(A114,Reseller!G:H,2,0)</f>
        <v/>
      </c>
      <c r="C114" t="inlineStr">
        <is>
          <t>ONLINE</t>
        </is>
      </c>
      <c r="G114" s="34">
        <f>VLOOKUP(Table4[[#This Row],[AGEN ID]],Reseller!A:E,5,0)</f>
        <v/>
      </c>
    </row>
    <row r="115">
      <c r="A115" t="inlineStr">
        <is>
          <t>OP00776</t>
        </is>
      </c>
      <c r="B115">
        <f>VLOOKUP(A115,Reseller!G:H,2,0)</f>
        <v/>
      </c>
      <c r="C115" t="inlineStr">
        <is>
          <t>ONLINE</t>
        </is>
      </c>
      <c r="G115" s="34">
        <f>VLOOKUP(Table4[[#This Row],[AGEN ID]],Reseller!A:E,5,0)</f>
        <v/>
      </c>
    </row>
    <row r="116">
      <c r="A116" t="inlineStr">
        <is>
          <t>OP00783</t>
        </is>
      </c>
      <c r="B116">
        <f>VLOOKUP(A116,Reseller!G:H,2,0)</f>
        <v/>
      </c>
      <c r="C116" t="inlineStr">
        <is>
          <t>ONLINE</t>
        </is>
      </c>
      <c r="G116" s="34">
        <f>VLOOKUP(Table4[[#This Row],[AGEN ID]],Reseller!A:E,5,0)</f>
        <v/>
      </c>
    </row>
    <row r="117">
      <c r="A117" t="inlineStr">
        <is>
          <t>OP00790</t>
        </is>
      </c>
      <c r="B117">
        <f>VLOOKUP(A117,Reseller!G:H,2,0)</f>
        <v/>
      </c>
      <c r="C117" t="inlineStr">
        <is>
          <t>ONLINE</t>
        </is>
      </c>
      <c r="G117" s="34">
        <f>VLOOKUP(Table4[[#This Row],[AGEN ID]],Reseller!A:E,5,0)</f>
        <v/>
      </c>
    </row>
    <row r="118">
      <c r="A118" t="inlineStr">
        <is>
          <t>OP00791</t>
        </is>
      </c>
      <c r="B118">
        <f>VLOOKUP(A118,Reseller!G:H,2,0)</f>
        <v/>
      </c>
      <c r="C118" t="inlineStr">
        <is>
          <t>ONLINE</t>
        </is>
      </c>
      <c r="G118" s="34">
        <f>VLOOKUP(Table4[[#This Row],[AGEN ID]],Reseller!A:E,5,0)</f>
        <v/>
      </c>
    </row>
    <row r="119">
      <c r="A119" t="inlineStr">
        <is>
          <t>OP00820</t>
        </is>
      </c>
      <c r="B119">
        <f>VLOOKUP(A119,Reseller!G:H,2,0)</f>
        <v/>
      </c>
      <c r="C119" t="inlineStr">
        <is>
          <t>ONLINE</t>
        </is>
      </c>
      <c r="G119" s="34">
        <f>VLOOKUP(Table4[[#This Row],[AGEN ID]],Reseller!A:E,5,0)</f>
        <v/>
      </c>
    </row>
    <row r="120">
      <c r="A120" t="inlineStr">
        <is>
          <t>OP00829</t>
        </is>
      </c>
      <c r="B120">
        <f>VLOOKUP(A120,Reseller!G:H,2,0)</f>
        <v/>
      </c>
      <c r="C120" t="inlineStr">
        <is>
          <t>ONLINE</t>
        </is>
      </c>
      <c r="G120" s="34">
        <f>VLOOKUP(Table4[[#This Row],[AGEN ID]],Reseller!A:E,5,0)</f>
        <v/>
      </c>
    </row>
    <row r="121">
      <c r="A121" t="inlineStr">
        <is>
          <t>OP00832</t>
        </is>
      </c>
      <c r="B121">
        <f>VLOOKUP(A121,Reseller!G:H,2,0)</f>
        <v/>
      </c>
      <c r="C121" t="inlineStr">
        <is>
          <t>ONLINE</t>
        </is>
      </c>
      <c r="G121" s="34">
        <f>VLOOKUP(Table4[[#This Row],[AGEN ID]],Reseller!A:E,5,0)</f>
        <v/>
      </c>
    </row>
    <row r="122">
      <c r="A122" t="inlineStr">
        <is>
          <t>OP00842</t>
        </is>
      </c>
      <c r="B122">
        <f>VLOOKUP(A122,Reseller!G:H,2,0)</f>
        <v/>
      </c>
      <c r="C122" t="inlineStr">
        <is>
          <t>ONLINE</t>
        </is>
      </c>
      <c r="G122" s="34">
        <f>VLOOKUP(Table4[[#This Row],[AGEN ID]],Reseller!A:E,5,0)</f>
        <v/>
      </c>
    </row>
    <row r="123">
      <c r="A123" t="inlineStr">
        <is>
          <t>OP00847</t>
        </is>
      </c>
      <c r="B123">
        <f>VLOOKUP(A123,Reseller!G:H,2,0)</f>
        <v/>
      </c>
      <c r="C123" t="inlineStr">
        <is>
          <t>ONLINE</t>
        </is>
      </c>
      <c r="G123" s="34">
        <f>VLOOKUP(Table4[[#This Row],[AGEN ID]],Reseller!A:E,5,0)</f>
        <v/>
      </c>
    </row>
    <row r="124">
      <c r="A124" t="inlineStr">
        <is>
          <t>OP00848</t>
        </is>
      </c>
      <c r="B124">
        <f>VLOOKUP(A124,Reseller!G:H,2,0)</f>
        <v/>
      </c>
      <c r="C124" t="inlineStr">
        <is>
          <t>ONLINE</t>
        </is>
      </c>
      <c r="G124" s="34">
        <f>VLOOKUP(Table4[[#This Row],[AGEN ID]],Reseller!A:E,5,0)</f>
        <v/>
      </c>
    </row>
    <row r="125">
      <c r="A125" t="inlineStr">
        <is>
          <t>OP00851</t>
        </is>
      </c>
      <c r="B125">
        <f>VLOOKUP(A125,Reseller!G:H,2,0)</f>
        <v/>
      </c>
      <c r="C125" t="inlineStr">
        <is>
          <t>ONLINE</t>
        </is>
      </c>
      <c r="G125" s="34">
        <f>VLOOKUP(Table4[[#This Row],[AGEN ID]],Reseller!A:E,5,0)</f>
        <v/>
      </c>
    </row>
    <row r="126">
      <c r="A126" t="inlineStr">
        <is>
          <t>OP00853</t>
        </is>
      </c>
      <c r="B126">
        <f>VLOOKUP(A126,Reseller!G:H,2,0)</f>
        <v/>
      </c>
      <c r="C126" t="inlineStr">
        <is>
          <t>ONLINE</t>
        </is>
      </c>
      <c r="G126" s="34">
        <f>VLOOKUP(Table4[[#This Row],[AGEN ID]],Reseller!A:E,5,0)</f>
        <v/>
      </c>
    </row>
    <row r="127">
      <c r="A127" t="inlineStr">
        <is>
          <t>OP00858</t>
        </is>
      </c>
      <c r="B127">
        <f>VLOOKUP(A127,Reseller!G:H,2,0)</f>
        <v/>
      </c>
      <c r="C127" t="inlineStr">
        <is>
          <t>ONLINE</t>
        </is>
      </c>
      <c r="G127" s="34">
        <f>VLOOKUP(Table4[[#This Row],[AGEN ID]],Reseller!A:E,5,0)</f>
        <v/>
      </c>
    </row>
    <row r="128">
      <c r="A128" t="inlineStr">
        <is>
          <t>OP00891</t>
        </is>
      </c>
      <c r="B128">
        <f>VLOOKUP(A128,Reseller!G:H,2,0)</f>
        <v/>
      </c>
      <c r="C128" t="inlineStr">
        <is>
          <t>ONLINE</t>
        </is>
      </c>
      <c r="G128" s="34">
        <f>VLOOKUP(Table4[[#This Row],[AGEN ID]],Reseller!A:E,5,0)</f>
        <v/>
      </c>
    </row>
    <row r="129">
      <c r="A129" t="inlineStr">
        <is>
          <t>OP00895</t>
        </is>
      </c>
      <c r="B129">
        <f>VLOOKUP(A129,Reseller!G:H,2,0)</f>
        <v/>
      </c>
      <c r="C129" t="inlineStr">
        <is>
          <t>ONLINE</t>
        </is>
      </c>
      <c r="G129" s="34">
        <f>VLOOKUP(Table4[[#This Row],[AGEN ID]],Reseller!A:E,5,0)</f>
        <v/>
      </c>
    </row>
    <row r="130">
      <c r="A130" t="inlineStr">
        <is>
          <t>OP00906</t>
        </is>
      </c>
      <c r="B130">
        <f>VLOOKUP(A130,Reseller!G:H,2,0)</f>
        <v/>
      </c>
      <c r="C130" t="inlineStr">
        <is>
          <t>ONLINE</t>
        </is>
      </c>
      <c r="G130" s="34">
        <f>VLOOKUP(Table4[[#This Row],[AGEN ID]],Reseller!A:E,5,0)</f>
        <v/>
      </c>
    </row>
    <row r="131">
      <c r="A131" t="inlineStr">
        <is>
          <t>OP00909</t>
        </is>
      </c>
      <c r="B131">
        <f>VLOOKUP(A131,Reseller!G:H,2,0)</f>
        <v/>
      </c>
      <c r="C131" t="inlineStr">
        <is>
          <t>ONLINE</t>
        </is>
      </c>
      <c r="G131" s="34">
        <f>VLOOKUP(Table4[[#This Row],[AGEN ID]],Reseller!A:E,5,0)</f>
        <v/>
      </c>
    </row>
    <row r="132">
      <c r="A132" t="inlineStr">
        <is>
          <t>OP00914</t>
        </is>
      </c>
      <c r="B132">
        <f>VLOOKUP(A132,Reseller!G:H,2,0)</f>
        <v/>
      </c>
      <c r="C132" t="inlineStr">
        <is>
          <t>ONLINE</t>
        </is>
      </c>
      <c r="G132" s="34">
        <f>VLOOKUP(Table4[[#This Row],[AGEN ID]],Reseller!A:E,5,0)</f>
        <v/>
      </c>
    </row>
    <row r="133">
      <c r="A133" t="inlineStr">
        <is>
          <t>OP00916</t>
        </is>
      </c>
      <c r="B133">
        <f>VLOOKUP(A133,Reseller!G:H,2,0)</f>
        <v/>
      </c>
      <c r="C133" t="inlineStr">
        <is>
          <t>ONLINE</t>
        </is>
      </c>
      <c r="G133" s="34">
        <f>VLOOKUP(Table4[[#This Row],[AGEN ID]],Reseller!A:E,5,0)</f>
        <v/>
      </c>
    </row>
    <row r="134">
      <c r="A134" t="inlineStr">
        <is>
          <t>OP00926</t>
        </is>
      </c>
      <c r="B134">
        <f>VLOOKUP(A134,Reseller!G:H,2,0)</f>
        <v/>
      </c>
      <c r="C134" t="inlineStr">
        <is>
          <t>ONLINE</t>
        </is>
      </c>
      <c r="G134" s="34">
        <f>VLOOKUP(Table4[[#This Row],[AGEN ID]],Reseller!A:E,5,0)</f>
        <v/>
      </c>
    </row>
    <row r="135">
      <c r="A135" t="inlineStr">
        <is>
          <t>OP00929</t>
        </is>
      </c>
      <c r="B135">
        <f>VLOOKUP(A135,Reseller!G:H,2,0)</f>
        <v/>
      </c>
      <c r="C135" t="inlineStr">
        <is>
          <t>ONLINE</t>
        </is>
      </c>
      <c r="G135" s="34">
        <f>VLOOKUP(Table4[[#This Row],[AGEN ID]],Reseller!A:E,5,0)</f>
        <v/>
      </c>
    </row>
    <row r="136">
      <c r="A136" t="inlineStr">
        <is>
          <t>OP00931</t>
        </is>
      </c>
      <c r="B136">
        <f>VLOOKUP(A136,Reseller!G:H,2,0)</f>
        <v/>
      </c>
      <c r="C136" t="inlineStr">
        <is>
          <t>ONLINE</t>
        </is>
      </c>
      <c r="G136" s="34">
        <f>VLOOKUP(Table4[[#This Row],[AGEN ID]],Reseller!A:E,5,0)</f>
        <v/>
      </c>
    </row>
    <row r="137">
      <c r="A137" t="inlineStr">
        <is>
          <t>OP00945</t>
        </is>
      </c>
      <c r="B137">
        <f>VLOOKUP(A137,Reseller!G:H,2,0)</f>
        <v/>
      </c>
      <c r="C137" t="inlineStr">
        <is>
          <t>ONLINE</t>
        </is>
      </c>
      <c r="G137" s="34">
        <f>VLOOKUP(Table4[[#This Row],[AGEN ID]],Reseller!A:E,5,0)</f>
        <v/>
      </c>
    </row>
    <row r="138">
      <c r="A138" t="inlineStr">
        <is>
          <t>OP00949</t>
        </is>
      </c>
      <c r="B138">
        <f>VLOOKUP(A138,Reseller!G:H,2,0)</f>
        <v/>
      </c>
      <c r="C138" t="inlineStr">
        <is>
          <t>ONLINE</t>
        </is>
      </c>
      <c r="G138" s="34">
        <f>VLOOKUP(Table4[[#This Row],[AGEN ID]],Reseller!A:E,5,0)</f>
        <v/>
      </c>
    </row>
    <row r="139">
      <c r="A139" t="inlineStr">
        <is>
          <t>OP00950</t>
        </is>
      </c>
      <c r="B139">
        <f>VLOOKUP(A139,Reseller!G:H,2,0)</f>
        <v/>
      </c>
      <c r="C139" t="inlineStr">
        <is>
          <t>ONLINE</t>
        </is>
      </c>
      <c r="G139" s="34">
        <f>VLOOKUP(Table4[[#This Row],[AGEN ID]],Reseller!A:E,5,0)</f>
        <v/>
      </c>
    </row>
    <row r="140">
      <c r="A140" t="inlineStr">
        <is>
          <t>OP00984</t>
        </is>
      </c>
      <c r="B140">
        <f>VLOOKUP(A140,Reseller!G:H,2,0)</f>
        <v/>
      </c>
      <c r="C140" t="inlineStr">
        <is>
          <t>ONLINE</t>
        </is>
      </c>
      <c r="G140" s="34">
        <f>VLOOKUP(Table4[[#This Row],[AGEN ID]],Reseller!A:E,5,0)</f>
        <v/>
      </c>
    </row>
    <row r="141">
      <c r="A141" t="inlineStr">
        <is>
          <t>OP00996</t>
        </is>
      </c>
      <c r="B141">
        <f>VLOOKUP(A141,Reseller!G:H,2,0)</f>
        <v/>
      </c>
      <c r="C141" t="inlineStr">
        <is>
          <t>ONLINE</t>
        </is>
      </c>
      <c r="G141" s="34">
        <f>VLOOKUP(Table4[[#This Row],[AGEN ID]],Reseller!A:E,5,0)</f>
        <v/>
      </c>
    </row>
    <row r="142">
      <c r="A142" t="inlineStr">
        <is>
          <t>OP00999</t>
        </is>
      </c>
      <c r="B142">
        <f>VLOOKUP(A142,Reseller!G:H,2,0)</f>
        <v/>
      </c>
      <c r="C142" t="inlineStr">
        <is>
          <t>ONLINE</t>
        </is>
      </c>
      <c r="G142" s="34">
        <f>VLOOKUP(Table4[[#This Row],[AGEN ID]],Reseller!A:E,5,0)</f>
        <v/>
      </c>
    </row>
    <row r="143">
      <c r="A143" t="inlineStr">
        <is>
          <t>OP01002</t>
        </is>
      </c>
      <c r="B143">
        <f>VLOOKUP(A143,Reseller!G:H,2,0)</f>
        <v/>
      </c>
      <c r="C143" t="inlineStr">
        <is>
          <t>ONLINE</t>
        </is>
      </c>
      <c r="G143" s="34">
        <f>VLOOKUP(Table4[[#This Row],[AGEN ID]],Reseller!A:E,5,0)</f>
        <v/>
      </c>
    </row>
    <row r="144">
      <c r="A144" t="inlineStr">
        <is>
          <t>OP01017</t>
        </is>
      </c>
      <c r="B144">
        <f>VLOOKUP(A144,Reseller!G:H,2,0)</f>
        <v/>
      </c>
      <c r="C144" t="inlineStr">
        <is>
          <t>ONLINE</t>
        </is>
      </c>
      <c r="G144" s="34">
        <f>VLOOKUP(Table4[[#This Row],[AGEN ID]],Reseller!A:E,5,0)</f>
        <v/>
      </c>
    </row>
    <row r="145">
      <c r="A145" t="inlineStr">
        <is>
          <t>OP01025</t>
        </is>
      </c>
      <c r="B145">
        <f>VLOOKUP(A145,Reseller!G:H,2,0)</f>
        <v/>
      </c>
      <c r="C145" t="inlineStr">
        <is>
          <t>ONLINE</t>
        </is>
      </c>
      <c r="G145" s="34">
        <f>VLOOKUP(Table4[[#This Row],[AGEN ID]],Reseller!A:E,5,0)</f>
        <v/>
      </c>
    </row>
    <row r="146">
      <c r="A146" t="inlineStr">
        <is>
          <t>OP01030</t>
        </is>
      </c>
      <c r="B146">
        <f>VLOOKUP(A146,Reseller!G:H,2,0)</f>
        <v/>
      </c>
      <c r="C146" t="inlineStr">
        <is>
          <t>ONLINE</t>
        </is>
      </c>
      <c r="G146" s="34">
        <f>VLOOKUP(Table4[[#This Row],[AGEN ID]],Reseller!A:E,5,0)</f>
        <v/>
      </c>
    </row>
    <row r="147">
      <c r="A147" t="inlineStr">
        <is>
          <t>OP01033</t>
        </is>
      </c>
      <c r="B147">
        <f>VLOOKUP(A147,Reseller!G:H,2,0)</f>
        <v/>
      </c>
      <c r="C147" t="inlineStr">
        <is>
          <t>ONLINE</t>
        </is>
      </c>
      <c r="G147" s="34">
        <f>VLOOKUP(Table4[[#This Row],[AGEN ID]],Reseller!A:E,5,0)</f>
        <v/>
      </c>
    </row>
    <row r="148">
      <c r="A148" t="inlineStr">
        <is>
          <t>OP01042</t>
        </is>
      </c>
      <c r="B148">
        <f>VLOOKUP(A148,Reseller!G:H,2,0)</f>
        <v/>
      </c>
      <c r="C148" t="inlineStr">
        <is>
          <t>ONLINE</t>
        </is>
      </c>
      <c r="G148" s="34">
        <f>VLOOKUP(Table4[[#This Row],[AGEN ID]],Reseller!A:E,5,0)</f>
        <v/>
      </c>
    </row>
    <row r="149">
      <c r="A149" t="inlineStr">
        <is>
          <t>OP01048</t>
        </is>
      </c>
      <c r="B149">
        <f>VLOOKUP(A149,Reseller!G:H,2,0)</f>
        <v/>
      </c>
      <c r="C149" t="inlineStr">
        <is>
          <t>ONLINE</t>
        </is>
      </c>
      <c r="G149" s="34">
        <f>VLOOKUP(Table4[[#This Row],[AGEN ID]],Reseller!A:E,5,0)</f>
        <v/>
      </c>
    </row>
    <row r="150">
      <c r="A150" t="inlineStr">
        <is>
          <t>OP01054</t>
        </is>
      </c>
      <c r="B150">
        <f>VLOOKUP(A150,Reseller!G:H,2,0)</f>
        <v/>
      </c>
      <c r="C150" t="inlineStr">
        <is>
          <t>ONLINE</t>
        </is>
      </c>
      <c r="G150" s="34">
        <f>VLOOKUP(Table4[[#This Row],[AGEN ID]],Reseller!A:E,5,0)</f>
        <v/>
      </c>
    </row>
    <row r="151">
      <c r="A151" t="inlineStr">
        <is>
          <t>OP01089</t>
        </is>
      </c>
      <c r="B151">
        <f>VLOOKUP(A151,Reseller!G:H,2,0)</f>
        <v/>
      </c>
      <c r="C151" t="inlineStr">
        <is>
          <t>ONLINE</t>
        </is>
      </c>
      <c r="G151" s="34">
        <f>VLOOKUP(Table4[[#This Row],[AGEN ID]],Reseller!A:E,5,0)</f>
        <v/>
      </c>
    </row>
    <row r="152">
      <c r="A152" t="inlineStr">
        <is>
          <t>OP01092</t>
        </is>
      </c>
      <c r="B152">
        <f>VLOOKUP(A152,Reseller!G:H,2,0)</f>
        <v/>
      </c>
      <c r="C152" t="inlineStr">
        <is>
          <t>ONLINE</t>
        </is>
      </c>
      <c r="G152" s="34">
        <f>VLOOKUP(Table4[[#This Row],[AGEN ID]],Reseller!A:E,5,0)</f>
        <v/>
      </c>
    </row>
    <row r="153">
      <c r="A153" t="inlineStr">
        <is>
          <t>OP01097</t>
        </is>
      </c>
      <c r="B153">
        <f>VLOOKUP(A153,Reseller!G:H,2,0)</f>
        <v/>
      </c>
      <c r="C153" t="inlineStr">
        <is>
          <t>ONLINE</t>
        </is>
      </c>
      <c r="G153" s="34">
        <f>VLOOKUP(Table4[[#This Row],[AGEN ID]],Reseller!A:E,5,0)</f>
        <v/>
      </c>
    </row>
    <row r="154">
      <c r="A154" t="inlineStr">
        <is>
          <t>OP01100</t>
        </is>
      </c>
      <c r="B154">
        <f>VLOOKUP(A154,Reseller!G:H,2,0)</f>
        <v/>
      </c>
      <c r="C154" t="inlineStr">
        <is>
          <t>ONLINE</t>
        </is>
      </c>
      <c r="G154" s="34">
        <f>VLOOKUP(Table4[[#This Row],[AGEN ID]],Reseller!A:E,5,0)</f>
        <v/>
      </c>
    </row>
    <row r="155">
      <c r="A155" t="inlineStr">
        <is>
          <t>OP01103</t>
        </is>
      </c>
      <c r="B155">
        <f>VLOOKUP(A155,Reseller!G:H,2,0)</f>
        <v/>
      </c>
      <c r="C155" t="inlineStr">
        <is>
          <t>ONLINE</t>
        </is>
      </c>
      <c r="G155" s="34">
        <f>VLOOKUP(Table4[[#This Row],[AGEN ID]],Reseller!A:E,5,0)</f>
        <v/>
      </c>
    </row>
    <row r="156">
      <c r="A156" t="inlineStr">
        <is>
          <t>OP01105</t>
        </is>
      </c>
      <c r="B156">
        <f>VLOOKUP(A156,Reseller!G:H,2,0)</f>
        <v/>
      </c>
      <c r="C156" t="inlineStr">
        <is>
          <t>ONLINE</t>
        </is>
      </c>
      <c r="G156" s="34">
        <f>VLOOKUP(Table4[[#This Row],[AGEN ID]],Reseller!A:E,5,0)</f>
        <v/>
      </c>
    </row>
    <row r="157">
      <c r="A157" t="inlineStr">
        <is>
          <t>OP01112</t>
        </is>
      </c>
      <c r="B157">
        <f>VLOOKUP(A157,Reseller!G:H,2,0)</f>
        <v/>
      </c>
      <c r="C157" t="inlineStr">
        <is>
          <t>ONLINE</t>
        </is>
      </c>
      <c r="G157" s="34">
        <f>VLOOKUP(Table4[[#This Row],[AGEN ID]],Reseller!A:E,5,0)</f>
        <v/>
      </c>
    </row>
    <row r="158">
      <c r="A158" t="inlineStr">
        <is>
          <t>OP01122</t>
        </is>
      </c>
      <c r="B158">
        <f>VLOOKUP(A158,Reseller!G:H,2,0)</f>
        <v/>
      </c>
      <c r="C158" t="inlineStr">
        <is>
          <t>ONLINE</t>
        </is>
      </c>
      <c r="G158" s="34">
        <f>VLOOKUP(Table4[[#This Row],[AGEN ID]],Reseller!A:E,5,0)</f>
        <v/>
      </c>
    </row>
    <row r="159">
      <c r="A159" t="inlineStr">
        <is>
          <t>OP01124</t>
        </is>
      </c>
      <c r="B159">
        <f>VLOOKUP(A159,Reseller!G:H,2,0)</f>
        <v/>
      </c>
      <c r="C159" t="inlineStr">
        <is>
          <t>ONLINE</t>
        </is>
      </c>
      <c r="G159" s="34">
        <f>VLOOKUP(Table4[[#This Row],[AGEN ID]],Reseller!A:E,5,0)</f>
        <v/>
      </c>
    </row>
    <row r="160">
      <c r="A160" t="inlineStr">
        <is>
          <t>OP01132</t>
        </is>
      </c>
      <c r="B160">
        <f>VLOOKUP(A160,Reseller!G:H,2,0)</f>
        <v/>
      </c>
      <c r="C160" t="inlineStr">
        <is>
          <t>ONLINE</t>
        </is>
      </c>
      <c r="G160" s="34">
        <f>VLOOKUP(Table4[[#This Row],[AGEN ID]],Reseller!A:E,5,0)</f>
        <v/>
      </c>
    </row>
    <row r="161">
      <c r="A161" t="inlineStr">
        <is>
          <t>OP01142</t>
        </is>
      </c>
      <c r="B161">
        <f>VLOOKUP(A161,Reseller!G:H,2,0)</f>
        <v/>
      </c>
      <c r="C161" t="inlineStr">
        <is>
          <t>ONLINE</t>
        </is>
      </c>
      <c r="G161" s="34">
        <f>VLOOKUP(Table4[[#This Row],[AGEN ID]],Reseller!A:E,5,0)</f>
        <v/>
      </c>
    </row>
    <row r="162">
      <c r="A162" t="inlineStr">
        <is>
          <t>OP01143</t>
        </is>
      </c>
      <c r="B162">
        <f>VLOOKUP(A162,Reseller!G:H,2,0)</f>
        <v/>
      </c>
      <c r="C162" t="inlineStr">
        <is>
          <t>ONLINE</t>
        </is>
      </c>
      <c r="G162" s="34">
        <f>VLOOKUP(Table4[[#This Row],[AGEN ID]],Reseller!A:E,5,0)</f>
        <v/>
      </c>
    </row>
    <row r="163">
      <c r="A163" t="inlineStr">
        <is>
          <t>OP01144</t>
        </is>
      </c>
      <c r="B163">
        <f>VLOOKUP(A163,Reseller!G:H,2,0)</f>
        <v/>
      </c>
      <c r="C163" t="inlineStr">
        <is>
          <t>ONLINE</t>
        </is>
      </c>
      <c r="G163" s="34">
        <f>VLOOKUP(Table4[[#This Row],[AGEN ID]],Reseller!A:E,5,0)</f>
        <v/>
      </c>
    </row>
    <row r="164">
      <c r="A164" t="inlineStr">
        <is>
          <t>OP01159</t>
        </is>
      </c>
      <c r="B164">
        <f>VLOOKUP(A164,Reseller!G:H,2,0)</f>
        <v/>
      </c>
      <c r="C164" t="inlineStr">
        <is>
          <t>ONLINE</t>
        </is>
      </c>
      <c r="G164" s="34">
        <f>VLOOKUP(Table4[[#This Row],[AGEN ID]],Reseller!A:E,5,0)</f>
        <v/>
      </c>
    </row>
    <row r="165">
      <c r="A165" t="inlineStr">
        <is>
          <t>OP01175</t>
        </is>
      </c>
      <c r="B165">
        <f>VLOOKUP(A165,Reseller!G:H,2,0)</f>
        <v/>
      </c>
      <c r="C165" t="inlineStr">
        <is>
          <t>ONLINE</t>
        </is>
      </c>
      <c r="G165" s="34">
        <f>VLOOKUP(Table4[[#This Row],[AGEN ID]],Reseller!A:E,5,0)</f>
        <v/>
      </c>
    </row>
    <row r="166">
      <c r="A166" t="inlineStr">
        <is>
          <t>OP01176</t>
        </is>
      </c>
      <c r="B166">
        <f>VLOOKUP(A166,Reseller!G:H,2,0)</f>
        <v/>
      </c>
      <c r="C166" t="inlineStr">
        <is>
          <t>ONLINE</t>
        </is>
      </c>
      <c r="G166" s="34">
        <f>VLOOKUP(Table4[[#This Row],[AGEN ID]],Reseller!A:E,5,0)</f>
        <v/>
      </c>
    </row>
    <row r="167">
      <c r="A167" t="inlineStr">
        <is>
          <t>OP01181</t>
        </is>
      </c>
      <c r="B167">
        <f>VLOOKUP(A167,Reseller!G:H,2,0)</f>
        <v/>
      </c>
      <c r="C167" t="inlineStr">
        <is>
          <t>ONLINE</t>
        </is>
      </c>
      <c r="G167" s="34">
        <f>VLOOKUP(Table4[[#This Row],[AGEN ID]],Reseller!A:E,5,0)</f>
        <v/>
      </c>
    </row>
    <row r="168">
      <c r="A168" t="inlineStr">
        <is>
          <t>OP01245</t>
        </is>
      </c>
      <c r="B168">
        <f>VLOOKUP(A168,Reseller!G:H,2,0)</f>
        <v/>
      </c>
      <c r="C168" t="inlineStr">
        <is>
          <t>ONLINE</t>
        </is>
      </c>
      <c r="G168" s="34">
        <f>VLOOKUP(Table4[[#This Row],[AGEN ID]],Reseller!A:E,5,0)</f>
        <v/>
      </c>
    </row>
    <row r="169">
      <c r="A169" t="inlineStr">
        <is>
          <t>OP01255</t>
        </is>
      </c>
      <c r="B169">
        <f>VLOOKUP(A169,Reseller!G:H,2,0)</f>
        <v/>
      </c>
      <c r="C169" t="inlineStr">
        <is>
          <t>ONLINE</t>
        </is>
      </c>
      <c r="G169" s="34">
        <f>VLOOKUP(Table4[[#This Row],[AGEN ID]],Reseller!A:E,5,0)</f>
        <v/>
      </c>
    </row>
    <row r="170">
      <c r="A170" t="inlineStr">
        <is>
          <t>OP01257</t>
        </is>
      </c>
      <c r="B170">
        <f>VLOOKUP(A170,Reseller!G:H,2,0)</f>
        <v/>
      </c>
      <c r="C170" t="inlineStr">
        <is>
          <t>ONLINE</t>
        </is>
      </c>
      <c r="G170" s="34">
        <f>VLOOKUP(Table4[[#This Row],[AGEN ID]],Reseller!A:E,5,0)</f>
        <v/>
      </c>
    </row>
    <row r="171">
      <c r="A171" t="inlineStr">
        <is>
          <t>OP01260</t>
        </is>
      </c>
      <c r="B171">
        <f>VLOOKUP(A171,Reseller!G:H,2,0)</f>
        <v/>
      </c>
      <c r="C171" t="inlineStr">
        <is>
          <t>ONLINE</t>
        </is>
      </c>
      <c r="G171" s="34">
        <f>VLOOKUP(Table4[[#This Row],[AGEN ID]],Reseller!A:E,5,0)</f>
        <v/>
      </c>
    </row>
    <row r="172">
      <c r="A172" t="inlineStr">
        <is>
          <t>OP01266</t>
        </is>
      </c>
      <c r="B172">
        <f>VLOOKUP(A172,Reseller!G:H,2,0)</f>
        <v/>
      </c>
      <c r="C172" t="inlineStr">
        <is>
          <t>ONLINE</t>
        </is>
      </c>
      <c r="G172" s="34">
        <f>VLOOKUP(Table4[[#This Row],[AGEN ID]],Reseller!A:E,5,0)</f>
        <v/>
      </c>
    </row>
    <row r="173">
      <c r="A173" t="inlineStr">
        <is>
          <t>OP01303</t>
        </is>
      </c>
      <c r="B173">
        <f>VLOOKUP(A173,Reseller!G:H,2,0)</f>
        <v/>
      </c>
      <c r="C173" t="inlineStr">
        <is>
          <t>ONLINE</t>
        </is>
      </c>
      <c r="G173" s="34">
        <f>VLOOKUP(Table4[[#This Row],[AGEN ID]],Reseller!A:E,5,0)</f>
        <v/>
      </c>
    </row>
    <row r="174">
      <c r="A174" t="inlineStr">
        <is>
          <t>OP01331</t>
        </is>
      </c>
      <c r="B174">
        <f>VLOOKUP(A174,Reseller!G:H,2,0)</f>
        <v/>
      </c>
      <c r="C174" t="inlineStr">
        <is>
          <t>ONLINE</t>
        </is>
      </c>
      <c r="G174" s="34">
        <f>VLOOKUP(Table4[[#This Row],[AGEN ID]],Reseller!A:E,5,0)</f>
        <v/>
      </c>
    </row>
    <row r="175">
      <c r="A175" t="inlineStr">
        <is>
          <t>OP01351</t>
        </is>
      </c>
      <c r="B175">
        <f>VLOOKUP(A175,Reseller!G:H,2,0)</f>
        <v/>
      </c>
      <c r="C175" t="inlineStr">
        <is>
          <t>ONLINE</t>
        </is>
      </c>
      <c r="G175" s="34">
        <f>VLOOKUP(Table4[[#This Row],[AGEN ID]],Reseller!A:E,5,0)</f>
        <v/>
      </c>
    </row>
    <row r="176">
      <c r="A176" t="inlineStr">
        <is>
          <t>OP01355</t>
        </is>
      </c>
      <c r="B176">
        <f>VLOOKUP(A176,Reseller!G:H,2,0)</f>
        <v/>
      </c>
      <c r="C176" t="inlineStr">
        <is>
          <t>ONLINE</t>
        </is>
      </c>
      <c r="G176" s="34">
        <f>VLOOKUP(Table4[[#This Row],[AGEN ID]],Reseller!A:E,5,0)</f>
        <v/>
      </c>
    </row>
    <row r="177">
      <c r="A177" t="inlineStr">
        <is>
          <t>OP01364</t>
        </is>
      </c>
      <c r="B177">
        <f>VLOOKUP(A177,Reseller!G:H,2,0)</f>
        <v/>
      </c>
      <c r="C177" t="inlineStr">
        <is>
          <t>ONLINE</t>
        </is>
      </c>
      <c r="G177" s="34">
        <f>VLOOKUP(Table4[[#This Row],[AGEN ID]],Reseller!A:E,5,0)</f>
        <v/>
      </c>
    </row>
    <row r="178">
      <c r="A178" t="inlineStr">
        <is>
          <t>OP01377</t>
        </is>
      </c>
      <c r="B178">
        <f>VLOOKUP(A178,Reseller!G:H,2,0)</f>
        <v/>
      </c>
      <c r="C178" t="inlineStr">
        <is>
          <t>ONLINE</t>
        </is>
      </c>
      <c r="G178" s="34">
        <f>VLOOKUP(Table4[[#This Row],[AGEN ID]],Reseller!A:E,5,0)</f>
        <v/>
      </c>
    </row>
    <row r="179">
      <c r="A179" t="inlineStr">
        <is>
          <t>OP01400</t>
        </is>
      </c>
      <c r="B179">
        <f>VLOOKUP(A179,Reseller!G:H,2,0)</f>
        <v/>
      </c>
      <c r="C179" t="inlineStr">
        <is>
          <t>ONLINE</t>
        </is>
      </c>
      <c r="G179" s="34">
        <f>VLOOKUP(Table4[[#This Row],[AGEN ID]],Reseller!A:E,5,0)</f>
        <v/>
      </c>
    </row>
    <row r="180">
      <c r="A180" t="inlineStr">
        <is>
          <t>OP01402</t>
        </is>
      </c>
      <c r="B180">
        <f>VLOOKUP(A180,Reseller!G:H,2,0)</f>
        <v/>
      </c>
      <c r="C180" t="inlineStr">
        <is>
          <t>ONLINE</t>
        </is>
      </c>
      <c r="G180" s="34">
        <f>VLOOKUP(Table4[[#This Row],[AGEN ID]],Reseller!A:E,5,0)</f>
        <v/>
      </c>
    </row>
    <row r="181">
      <c r="A181" t="inlineStr">
        <is>
          <t>OP01416</t>
        </is>
      </c>
      <c r="B181">
        <f>VLOOKUP(A181,Reseller!G:H,2,0)</f>
        <v/>
      </c>
      <c r="C181" t="inlineStr">
        <is>
          <t>ONLINE</t>
        </is>
      </c>
      <c r="G181" s="34">
        <f>VLOOKUP(Table4[[#This Row],[AGEN ID]],Reseller!A:E,5,0)</f>
        <v/>
      </c>
    </row>
    <row r="182">
      <c r="A182" t="inlineStr">
        <is>
          <t>OP01430</t>
        </is>
      </c>
      <c r="B182">
        <f>VLOOKUP(A182,Reseller!G:H,2,0)</f>
        <v/>
      </c>
      <c r="C182" t="inlineStr">
        <is>
          <t>ONLINE</t>
        </is>
      </c>
      <c r="G182" s="34">
        <f>VLOOKUP(Table4[[#This Row],[AGEN ID]],Reseller!A:E,5,0)</f>
        <v/>
      </c>
    </row>
    <row r="183">
      <c r="A183" t="inlineStr">
        <is>
          <t>OP01439</t>
        </is>
      </c>
      <c r="B183">
        <f>VLOOKUP(A183,Reseller!G:H,2,0)</f>
        <v/>
      </c>
      <c r="C183" t="inlineStr">
        <is>
          <t>ONLINE</t>
        </is>
      </c>
      <c r="G183" s="34">
        <f>VLOOKUP(Table4[[#This Row],[AGEN ID]],Reseller!A:E,5,0)</f>
        <v/>
      </c>
    </row>
    <row r="184">
      <c r="A184" t="inlineStr">
        <is>
          <t>OP01449</t>
        </is>
      </c>
      <c r="B184">
        <f>VLOOKUP(A184,Reseller!G:H,2,0)</f>
        <v/>
      </c>
      <c r="C184" t="inlineStr">
        <is>
          <t>ONLINE</t>
        </is>
      </c>
      <c r="G184" s="34">
        <f>VLOOKUP(Table4[[#This Row],[AGEN ID]],Reseller!A:E,5,0)</f>
        <v/>
      </c>
    </row>
    <row r="185">
      <c r="A185" t="inlineStr">
        <is>
          <t>OP01456</t>
        </is>
      </c>
      <c r="B185">
        <f>VLOOKUP(A185,Reseller!G:H,2,0)</f>
        <v/>
      </c>
      <c r="C185" t="inlineStr">
        <is>
          <t>ONLINE</t>
        </is>
      </c>
      <c r="G185" s="34">
        <f>VLOOKUP(Table4[[#This Row],[AGEN ID]],Reseller!A:E,5,0)</f>
        <v/>
      </c>
    </row>
    <row r="186">
      <c r="A186" t="inlineStr">
        <is>
          <t>OP01462</t>
        </is>
      </c>
      <c r="B186">
        <f>VLOOKUP(A186,Reseller!G:H,2,0)</f>
        <v/>
      </c>
      <c r="C186" t="inlineStr">
        <is>
          <t>ONLINE</t>
        </is>
      </c>
      <c r="G186" s="34">
        <f>VLOOKUP(Table4[[#This Row],[AGEN ID]],Reseller!A:E,5,0)</f>
        <v/>
      </c>
    </row>
    <row r="187">
      <c r="A187" t="inlineStr">
        <is>
          <t>OP01465</t>
        </is>
      </c>
      <c r="B187">
        <f>VLOOKUP(A187,Reseller!G:H,2,0)</f>
        <v/>
      </c>
      <c r="C187" t="inlineStr">
        <is>
          <t>ONLINE</t>
        </is>
      </c>
      <c r="G187" s="34">
        <f>VLOOKUP(Table4[[#This Row],[AGEN ID]],Reseller!A:E,5,0)</f>
        <v/>
      </c>
    </row>
    <row r="188">
      <c r="A188" t="inlineStr">
        <is>
          <t>OP01466</t>
        </is>
      </c>
      <c r="B188">
        <f>VLOOKUP(A188,Reseller!G:H,2,0)</f>
        <v/>
      </c>
      <c r="C188" t="inlineStr">
        <is>
          <t>ONLINE</t>
        </is>
      </c>
      <c r="G188" s="34">
        <f>VLOOKUP(Table4[[#This Row],[AGEN ID]],Reseller!A:E,5,0)</f>
        <v/>
      </c>
    </row>
    <row r="189">
      <c r="A189" t="inlineStr">
        <is>
          <t>OP01472</t>
        </is>
      </c>
      <c r="B189">
        <f>VLOOKUP(A189,Reseller!G:H,2,0)</f>
        <v/>
      </c>
      <c r="C189" t="inlineStr">
        <is>
          <t>ONLINE</t>
        </is>
      </c>
      <c r="G189" s="34">
        <f>VLOOKUP(Table4[[#This Row],[AGEN ID]],Reseller!A:E,5,0)</f>
        <v/>
      </c>
    </row>
    <row r="190">
      <c r="A190" t="inlineStr">
        <is>
          <t>OP01486</t>
        </is>
      </c>
      <c r="B190">
        <f>VLOOKUP(A190,Reseller!G:H,2,0)</f>
        <v/>
      </c>
      <c r="C190" t="inlineStr">
        <is>
          <t>ONLINE</t>
        </is>
      </c>
      <c r="G190" s="34">
        <f>VLOOKUP(Table4[[#This Row],[AGEN ID]],Reseller!A:E,5,0)</f>
        <v/>
      </c>
    </row>
    <row r="191">
      <c r="A191" t="inlineStr">
        <is>
          <t>OP01487</t>
        </is>
      </c>
      <c r="B191">
        <f>VLOOKUP(A191,Reseller!G:H,2,0)</f>
        <v/>
      </c>
      <c r="C191" t="inlineStr">
        <is>
          <t>ONLINE</t>
        </is>
      </c>
      <c r="G191" s="34">
        <f>VLOOKUP(Table4[[#This Row],[AGEN ID]],Reseller!A:E,5,0)</f>
        <v/>
      </c>
    </row>
    <row r="192">
      <c r="A192" t="inlineStr">
        <is>
          <t>OP01489</t>
        </is>
      </c>
      <c r="B192">
        <f>VLOOKUP(A192,Reseller!G:H,2,0)</f>
        <v/>
      </c>
      <c r="C192" t="inlineStr">
        <is>
          <t>ONLINE</t>
        </is>
      </c>
      <c r="G192" s="34">
        <f>VLOOKUP(Table4[[#This Row],[AGEN ID]],Reseller!A:E,5,0)</f>
        <v/>
      </c>
    </row>
    <row r="193">
      <c r="A193" t="inlineStr">
        <is>
          <t>OP01502</t>
        </is>
      </c>
      <c r="B193">
        <f>VLOOKUP(A193,Reseller!G:H,2,0)</f>
        <v/>
      </c>
      <c r="C193" t="inlineStr">
        <is>
          <t>ONLINE</t>
        </is>
      </c>
      <c r="G193" s="34">
        <f>VLOOKUP(Table4[[#This Row],[AGEN ID]],Reseller!A:E,5,0)</f>
        <v/>
      </c>
    </row>
    <row r="194">
      <c r="A194" t="inlineStr">
        <is>
          <t>OP01536</t>
        </is>
      </c>
      <c r="B194">
        <f>VLOOKUP(A194,Reseller!G:H,2,0)</f>
        <v/>
      </c>
      <c r="C194" t="inlineStr">
        <is>
          <t>ONLINE</t>
        </is>
      </c>
      <c r="G194" s="34">
        <f>VLOOKUP(Table4[[#This Row],[AGEN ID]],Reseller!A:E,5,0)</f>
        <v/>
      </c>
    </row>
    <row r="195">
      <c r="A195" t="inlineStr">
        <is>
          <t>OP01546</t>
        </is>
      </c>
      <c r="B195">
        <f>VLOOKUP(A195,Reseller!G:H,2,0)</f>
        <v/>
      </c>
      <c r="C195" t="inlineStr">
        <is>
          <t>ONLINE</t>
        </is>
      </c>
      <c r="G195" s="34">
        <f>VLOOKUP(Table4[[#This Row],[AGEN ID]],Reseller!A:E,5,0)</f>
        <v/>
      </c>
    </row>
    <row r="196">
      <c r="A196" t="inlineStr">
        <is>
          <t>OP01553</t>
        </is>
      </c>
      <c r="B196">
        <f>VLOOKUP(A196,Reseller!G:H,2,0)</f>
        <v/>
      </c>
      <c r="C196" t="inlineStr">
        <is>
          <t>ONLINE</t>
        </is>
      </c>
      <c r="G196" s="34">
        <f>VLOOKUP(Table4[[#This Row],[AGEN ID]],Reseller!A:E,5,0)</f>
        <v/>
      </c>
    </row>
    <row r="197">
      <c r="A197" t="inlineStr">
        <is>
          <t>OP01556</t>
        </is>
      </c>
      <c r="B197">
        <f>VLOOKUP(A197,Reseller!G:H,2,0)</f>
        <v/>
      </c>
      <c r="C197" t="inlineStr">
        <is>
          <t>ONLINE</t>
        </is>
      </c>
      <c r="G197" s="34">
        <f>VLOOKUP(Table4[[#This Row],[AGEN ID]],Reseller!A:E,5,0)</f>
        <v/>
      </c>
    </row>
    <row r="198">
      <c r="A198" t="inlineStr">
        <is>
          <t>OP01562</t>
        </is>
      </c>
      <c r="B198">
        <f>VLOOKUP(A198,Reseller!G:H,2,0)</f>
        <v/>
      </c>
      <c r="C198" t="inlineStr">
        <is>
          <t>ONLINE</t>
        </is>
      </c>
      <c r="G198" s="34">
        <f>VLOOKUP(Table4[[#This Row],[AGEN ID]],Reseller!A:E,5,0)</f>
        <v/>
      </c>
    </row>
    <row r="199">
      <c r="A199" t="inlineStr">
        <is>
          <t>OP01565</t>
        </is>
      </c>
      <c r="B199">
        <f>VLOOKUP(A199,Reseller!G:H,2,0)</f>
        <v/>
      </c>
      <c r="C199" t="inlineStr">
        <is>
          <t>ONLINE</t>
        </is>
      </c>
      <c r="G199" s="34">
        <f>VLOOKUP(Table4[[#This Row],[AGEN ID]],Reseller!A:E,5,0)</f>
        <v/>
      </c>
    </row>
    <row r="200">
      <c r="A200" t="inlineStr">
        <is>
          <t>OP01570</t>
        </is>
      </c>
      <c r="B200">
        <f>VLOOKUP(A200,Reseller!G:H,2,0)</f>
        <v/>
      </c>
      <c r="C200" t="inlineStr">
        <is>
          <t>ONLINE</t>
        </is>
      </c>
      <c r="G200" s="34">
        <f>VLOOKUP(Table4[[#This Row],[AGEN ID]],Reseller!A:E,5,0)</f>
        <v/>
      </c>
    </row>
    <row r="201">
      <c r="A201" t="inlineStr">
        <is>
          <t>OP01582</t>
        </is>
      </c>
      <c r="B201">
        <f>VLOOKUP(A201,Reseller!G:H,2,0)</f>
        <v/>
      </c>
      <c r="C201" t="inlineStr">
        <is>
          <t>ONLINE</t>
        </is>
      </c>
      <c r="G201" s="34">
        <f>VLOOKUP(Table4[[#This Row],[AGEN ID]],Reseller!A:E,5,0)</f>
        <v/>
      </c>
    </row>
    <row r="202">
      <c r="A202" t="inlineStr">
        <is>
          <t>OP01593</t>
        </is>
      </c>
      <c r="B202">
        <f>VLOOKUP(A202,Reseller!G:H,2,0)</f>
        <v/>
      </c>
      <c r="C202" t="inlineStr">
        <is>
          <t>ONLINE</t>
        </is>
      </c>
      <c r="G202" s="34">
        <f>VLOOKUP(Table4[[#This Row],[AGEN ID]],Reseller!A:E,5,0)</f>
        <v/>
      </c>
    </row>
    <row r="203">
      <c r="A203" t="inlineStr">
        <is>
          <t>OP01600</t>
        </is>
      </c>
      <c r="B203">
        <f>VLOOKUP(A203,Reseller!G:H,2,0)</f>
        <v/>
      </c>
      <c r="C203" t="inlineStr">
        <is>
          <t>ONLINE</t>
        </is>
      </c>
      <c r="G203" s="34">
        <f>VLOOKUP(Table4[[#This Row],[AGEN ID]],Reseller!A:E,5,0)</f>
        <v/>
      </c>
    </row>
    <row r="204">
      <c r="A204" t="inlineStr">
        <is>
          <t>OP01605</t>
        </is>
      </c>
      <c r="B204">
        <f>VLOOKUP(A204,Reseller!G:H,2,0)</f>
        <v/>
      </c>
      <c r="C204" t="inlineStr">
        <is>
          <t>ONLINE</t>
        </is>
      </c>
      <c r="G204" s="34">
        <f>VLOOKUP(Table4[[#This Row],[AGEN ID]],Reseller!A:E,5,0)</f>
        <v/>
      </c>
    </row>
    <row r="205">
      <c r="A205" t="inlineStr">
        <is>
          <t>OP01610</t>
        </is>
      </c>
      <c r="B205">
        <f>VLOOKUP(A205,Reseller!G:H,2,0)</f>
        <v/>
      </c>
      <c r="C205" t="inlineStr">
        <is>
          <t>ONLINE</t>
        </is>
      </c>
      <c r="G205" s="34">
        <f>VLOOKUP(Table4[[#This Row],[AGEN ID]],Reseller!A:E,5,0)</f>
        <v/>
      </c>
    </row>
    <row r="206">
      <c r="A206" t="inlineStr">
        <is>
          <t>OP01612</t>
        </is>
      </c>
      <c r="B206">
        <f>VLOOKUP(A206,Reseller!G:H,2,0)</f>
        <v/>
      </c>
      <c r="C206" t="inlineStr">
        <is>
          <t>ONLINE</t>
        </is>
      </c>
      <c r="G206" s="34">
        <f>VLOOKUP(Table4[[#This Row],[AGEN ID]],Reseller!A:E,5,0)</f>
        <v/>
      </c>
    </row>
    <row r="207">
      <c r="A207" t="inlineStr">
        <is>
          <t>OP01640</t>
        </is>
      </c>
      <c r="B207">
        <f>VLOOKUP(A207,Reseller!G:H,2,0)</f>
        <v/>
      </c>
      <c r="C207" t="inlineStr">
        <is>
          <t>ONLINE</t>
        </is>
      </c>
      <c r="G207" s="34">
        <f>VLOOKUP(Table4[[#This Row],[AGEN ID]],Reseller!A:E,5,0)</f>
        <v/>
      </c>
    </row>
    <row r="208">
      <c r="A208" t="inlineStr">
        <is>
          <t>OP01661</t>
        </is>
      </c>
      <c r="B208">
        <f>VLOOKUP(A208,Reseller!G:H,2,0)</f>
        <v/>
      </c>
      <c r="C208" t="inlineStr">
        <is>
          <t>ONLINE</t>
        </is>
      </c>
      <c r="G208" s="34">
        <f>VLOOKUP(Table4[[#This Row],[AGEN ID]],Reseller!A:E,5,0)</f>
        <v/>
      </c>
    </row>
    <row r="209">
      <c r="A209" t="inlineStr">
        <is>
          <t>OP01677</t>
        </is>
      </c>
      <c r="B209">
        <f>VLOOKUP(A209,Reseller!G:H,2,0)</f>
        <v/>
      </c>
      <c r="C209" t="inlineStr">
        <is>
          <t>ONLINE</t>
        </is>
      </c>
      <c r="G209" s="34">
        <f>VLOOKUP(Table4[[#This Row],[AGEN ID]],Reseller!A:E,5,0)</f>
        <v/>
      </c>
    </row>
    <row r="210">
      <c r="A210" t="inlineStr">
        <is>
          <t>OP01683</t>
        </is>
      </c>
      <c r="B210">
        <f>VLOOKUP(A210,Reseller!G:H,2,0)</f>
        <v/>
      </c>
      <c r="C210" t="inlineStr">
        <is>
          <t>ONLINE</t>
        </is>
      </c>
      <c r="G210" s="34">
        <f>VLOOKUP(Table4[[#This Row],[AGEN ID]],Reseller!A:E,5,0)</f>
        <v/>
      </c>
    </row>
    <row r="211">
      <c r="A211" t="inlineStr">
        <is>
          <t>OP01689</t>
        </is>
      </c>
      <c r="B211">
        <f>VLOOKUP(A211,Reseller!G:H,2,0)</f>
        <v/>
      </c>
      <c r="C211" t="inlineStr">
        <is>
          <t>ONLINE</t>
        </is>
      </c>
      <c r="G211" s="34">
        <f>VLOOKUP(Table4[[#This Row],[AGEN ID]],Reseller!A:E,5,0)</f>
        <v/>
      </c>
    </row>
    <row r="212">
      <c r="A212" t="inlineStr">
        <is>
          <t>OP01697</t>
        </is>
      </c>
      <c r="B212">
        <f>VLOOKUP(A212,Reseller!G:H,2,0)</f>
        <v/>
      </c>
      <c r="C212" t="inlineStr">
        <is>
          <t>ONLINE</t>
        </is>
      </c>
      <c r="G212" s="34">
        <f>VLOOKUP(Table4[[#This Row],[AGEN ID]],Reseller!A:E,5,0)</f>
        <v/>
      </c>
    </row>
    <row r="213">
      <c r="A213" t="inlineStr">
        <is>
          <t>OP01707</t>
        </is>
      </c>
      <c r="B213">
        <f>VLOOKUP(A213,Reseller!G:H,2,0)</f>
        <v/>
      </c>
      <c r="C213" t="inlineStr">
        <is>
          <t>ONLINE</t>
        </is>
      </c>
      <c r="G213" s="34">
        <f>VLOOKUP(Table4[[#This Row],[AGEN ID]],Reseller!A:E,5,0)</f>
        <v/>
      </c>
    </row>
    <row r="214">
      <c r="A214" t="inlineStr">
        <is>
          <t>OP01709</t>
        </is>
      </c>
      <c r="B214">
        <f>VLOOKUP(A214,Reseller!G:H,2,0)</f>
        <v/>
      </c>
      <c r="C214" t="inlineStr">
        <is>
          <t>ONLINE</t>
        </is>
      </c>
      <c r="G214" s="34">
        <f>VLOOKUP(Table4[[#This Row],[AGEN ID]],Reseller!A:E,5,0)</f>
        <v/>
      </c>
    </row>
    <row r="215">
      <c r="A215" t="inlineStr">
        <is>
          <t>OP01719</t>
        </is>
      </c>
      <c r="B215">
        <f>VLOOKUP(A215,Reseller!G:H,2,0)</f>
        <v/>
      </c>
      <c r="C215" t="inlineStr">
        <is>
          <t>ONLINE</t>
        </is>
      </c>
      <c r="G215" s="34">
        <f>VLOOKUP(Table4[[#This Row],[AGEN ID]],Reseller!A:E,5,0)</f>
        <v/>
      </c>
    </row>
    <row r="216">
      <c r="A216" t="inlineStr">
        <is>
          <t>OP01725</t>
        </is>
      </c>
      <c r="B216">
        <f>VLOOKUP(A216,Reseller!G:H,2,0)</f>
        <v/>
      </c>
      <c r="C216" t="inlineStr">
        <is>
          <t>ONLINE</t>
        </is>
      </c>
      <c r="G216" s="34">
        <f>VLOOKUP(Table4[[#This Row],[AGEN ID]],Reseller!A:E,5,0)</f>
        <v/>
      </c>
    </row>
    <row r="217">
      <c r="A217" t="inlineStr">
        <is>
          <t>OP01727</t>
        </is>
      </c>
      <c r="B217">
        <f>VLOOKUP(A217,Reseller!G:H,2,0)</f>
        <v/>
      </c>
      <c r="C217" t="inlineStr">
        <is>
          <t>ONLINE</t>
        </is>
      </c>
      <c r="G217" s="34">
        <f>VLOOKUP(Table4[[#This Row],[AGEN ID]],Reseller!A:E,5,0)</f>
        <v/>
      </c>
    </row>
    <row r="218">
      <c r="A218" t="inlineStr">
        <is>
          <t>OP01735</t>
        </is>
      </c>
      <c r="B218">
        <f>VLOOKUP(A218,Reseller!G:H,2,0)</f>
        <v/>
      </c>
      <c r="C218" t="inlineStr">
        <is>
          <t>ONLINE</t>
        </is>
      </c>
      <c r="G218" s="34">
        <f>VLOOKUP(Table4[[#This Row],[AGEN ID]],Reseller!A:E,5,0)</f>
        <v/>
      </c>
    </row>
    <row r="219">
      <c r="A219" t="inlineStr">
        <is>
          <t>OP01746</t>
        </is>
      </c>
      <c r="B219">
        <f>VLOOKUP(A219,Reseller!G:H,2,0)</f>
        <v/>
      </c>
      <c r="C219" t="inlineStr">
        <is>
          <t>ONLINE</t>
        </is>
      </c>
      <c r="G219" s="34">
        <f>VLOOKUP(Table4[[#This Row],[AGEN ID]],Reseller!A:E,5,0)</f>
        <v/>
      </c>
    </row>
    <row r="220">
      <c r="A220" t="inlineStr">
        <is>
          <t>OP01751</t>
        </is>
      </c>
      <c r="B220">
        <f>VLOOKUP(A220,Reseller!G:H,2,0)</f>
        <v/>
      </c>
      <c r="C220" t="inlineStr">
        <is>
          <t>ONLINE</t>
        </is>
      </c>
      <c r="G220" s="34">
        <f>VLOOKUP(Table4[[#This Row],[AGEN ID]],Reseller!A:E,5,0)</f>
        <v/>
      </c>
    </row>
    <row r="221">
      <c r="A221" t="inlineStr">
        <is>
          <t>OP01769</t>
        </is>
      </c>
      <c r="B221">
        <f>VLOOKUP(A221,Reseller!G:H,2,0)</f>
        <v/>
      </c>
      <c r="C221" t="inlineStr">
        <is>
          <t>ONLINE</t>
        </is>
      </c>
      <c r="G221" s="34">
        <f>VLOOKUP(Table4[[#This Row],[AGEN ID]],Reseller!A:E,5,0)</f>
        <v/>
      </c>
    </row>
    <row r="222">
      <c r="A222" t="inlineStr">
        <is>
          <t>OP01777</t>
        </is>
      </c>
      <c r="B222">
        <f>VLOOKUP(A222,Reseller!G:H,2,0)</f>
        <v/>
      </c>
      <c r="C222" t="inlineStr">
        <is>
          <t>ONLINE</t>
        </is>
      </c>
      <c r="G222" s="34">
        <f>VLOOKUP(Table4[[#This Row],[AGEN ID]],Reseller!A:E,5,0)</f>
        <v/>
      </c>
    </row>
    <row r="223">
      <c r="A223" t="inlineStr">
        <is>
          <t>OP01780</t>
        </is>
      </c>
      <c r="B223">
        <f>VLOOKUP(A223,Reseller!G:H,2,0)</f>
        <v/>
      </c>
      <c r="C223" t="inlineStr">
        <is>
          <t>ONLINE</t>
        </is>
      </c>
      <c r="G223" s="34">
        <f>VLOOKUP(Table4[[#This Row],[AGEN ID]],Reseller!A:E,5,0)</f>
        <v/>
      </c>
    </row>
    <row r="224">
      <c r="A224" t="inlineStr">
        <is>
          <t>OP01794</t>
        </is>
      </c>
      <c r="B224">
        <f>VLOOKUP(A224,Reseller!G:H,2,0)</f>
        <v/>
      </c>
      <c r="C224" t="inlineStr">
        <is>
          <t>ONLINE</t>
        </is>
      </c>
      <c r="G224" s="34">
        <f>VLOOKUP(Table4[[#This Row],[AGEN ID]],Reseller!A:E,5,0)</f>
        <v/>
      </c>
    </row>
    <row r="225">
      <c r="A225" t="inlineStr">
        <is>
          <t>OP01799</t>
        </is>
      </c>
      <c r="B225">
        <f>VLOOKUP(A225,Reseller!G:H,2,0)</f>
        <v/>
      </c>
      <c r="C225" t="inlineStr">
        <is>
          <t>ONLINE</t>
        </is>
      </c>
      <c r="G225" s="34">
        <f>VLOOKUP(Table4[[#This Row],[AGEN ID]],Reseller!A:E,5,0)</f>
        <v/>
      </c>
    </row>
    <row r="226">
      <c r="A226" t="inlineStr">
        <is>
          <t>OP01803</t>
        </is>
      </c>
      <c r="B226">
        <f>VLOOKUP(A226,Reseller!G:H,2,0)</f>
        <v/>
      </c>
      <c r="C226" t="inlineStr">
        <is>
          <t>ONLINE</t>
        </is>
      </c>
      <c r="G226" s="34">
        <f>VLOOKUP(Table4[[#This Row],[AGEN ID]],Reseller!A:E,5,0)</f>
        <v/>
      </c>
    </row>
    <row r="227">
      <c r="A227" t="inlineStr">
        <is>
          <t>OP01804</t>
        </is>
      </c>
      <c r="B227">
        <f>VLOOKUP(A227,Reseller!G:H,2,0)</f>
        <v/>
      </c>
      <c r="C227" t="inlineStr">
        <is>
          <t>ONLINE</t>
        </is>
      </c>
      <c r="G227" s="34">
        <f>VLOOKUP(Table4[[#This Row],[AGEN ID]],Reseller!A:E,5,0)</f>
        <v/>
      </c>
    </row>
    <row r="228">
      <c r="A228" t="inlineStr">
        <is>
          <t>OP01817</t>
        </is>
      </c>
      <c r="B228">
        <f>VLOOKUP(A228,Reseller!G:H,2,0)</f>
        <v/>
      </c>
      <c r="C228" t="inlineStr">
        <is>
          <t>ONLINE</t>
        </is>
      </c>
      <c r="G228" s="34">
        <f>VLOOKUP(Table4[[#This Row],[AGEN ID]],Reseller!A:E,5,0)</f>
        <v/>
      </c>
    </row>
    <row r="229">
      <c r="A229" t="inlineStr">
        <is>
          <t>OP01827</t>
        </is>
      </c>
      <c r="B229">
        <f>VLOOKUP(A229,Reseller!G:H,2,0)</f>
        <v/>
      </c>
      <c r="C229" t="inlineStr">
        <is>
          <t>ONLINE</t>
        </is>
      </c>
      <c r="G229" s="34">
        <f>VLOOKUP(Table4[[#This Row],[AGEN ID]],Reseller!A:E,5,0)</f>
        <v/>
      </c>
    </row>
    <row r="230">
      <c r="A230" t="inlineStr">
        <is>
          <t>OP01831</t>
        </is>
      </c>
      <c r="B230">
        <f>VLOOKUP(A230,Reseller!G:H,2,0)</f>
        <v/>
      </c>
      <c r="C230" t="inlineStr">
        <is>
          <t>ONLINE</t>
        </is>
      </c>
      <c r="G230" s="34">
        <f>VLOOKUP(Table4[[#This Row],[AGEN ID]],Reseller!A:E,5,0)</f>
        <v/>
      </c>
    </row>
    <row r="231">
      <c r="A231" t="inlineStr">
        <is>
          <t>OP01837</t>
        </is>
      </c>
      <c r="B231">
        <f>VLOOKUP(A231,Reseller!G:H,2,0)</f>
        <v/>
      </c>
      <c r="C231" t="inlineStr">
        <is>
          <t>ONLINE</t>
        </is>
      </c>
      <c r="G231" s="34">
        <f>VLOOKUP(Table4[[#This Row],[AGEN ID]],Reseller!A:E,5,0)</f>
        <v/>
      </c>
    </row>
    <row r="232">
      <c r="A232" t="inlineStr">
        <is>
          <t>OP01840</t>
        </is>
      </c>
      <c r="B232">
        <f>VLOOKUP(A232,Reseller!G:H,2,0)</f>
        <v/>
      </c>
      <c r="C232" t="inlineStr">
        <is>
          <t>ONLINE</t>
        </is>
      </c>
      <c r="G232" s="34">
        <f>VLOOKUP(Table4[[#This Row],[AGEN ID]],Reseller!A:E,5,0)</f>
        <v/>
      </c>
    </row>
    <row r="233">
      <c r="A233" t="inlineStr">
        <is>
          <t>OP01842</t>
        </is>
      </c>
      <c r="B233">
        <f>VLOOKUP(A233,Reseller!G:H,2,0)</f>
        <v/>
      </c>
      <c r="C233" t="inlineStr">
        <is>
          <t>ONLINE</t>
        </is>
      </c>
      <c r="G233" s="34">
        <f>VLOOKUP(Table4[[#This Row],[AGEN ID]],Reseller!A:E,5,0)</f>
        <v/>
      </c>
    </row>
    <row r="234">
      <c r="A234" t="inlineStr">
        <is>
          <t>OP01843</t>
        </is>
      </c>
      <c r="B234">
        <f>VLOOKUP(A234,Reseller!G:H,2,0)</f>
        <v/>
      </c>
      <c r="C234" t="inlineStr">
        <is>
          <t>ONLINE</t>
        </is>
      </c>
      <c r="G234" s="34">
        <f>VLOOKUP(Table4[[#This Row],[AGEN ID]],Reseller!A:E,5,0)</f>
        <v/>
      </c>
    </row>
    <row r="235">
      <c r="A235" t="inlineStr">
        <is>
          <t>OP01847</t>
        </is>
      </c>
      <c r="B235">
        <f>VLOOKUP(A235,Reseller!G:H,2,0)</f>
        <v/>
      </c>
      <c r="C235" t="inlineStr">
        <is>
          <t>ONLINE</t>
        </is>
      </c>
      <c r="G235" s="34">
        <f>VLOOKUP(Table4[[#This Row],[AGEN ID]],Reseller!A:E,5,0)</f>
        <v/>
      </c>
    </row>
    <row r="236">
      <c r="A236" t="inlineStr">
        <is>
          <t>OP01860</t>
        </is>
      </c>
      <c r="B236">
        <f>VLOOKUP(A236,Reseller!G:H,2,0)</f>
        <v/>
      </c>
      <c r="C236" t="inlineStr">
        <is>
          <t>ONLINE</t>
        </is>
      </c>
      <c r="G236" s="34">
        <f>VLOOKUP(Table4[[#This Row],[AGEN ID]],Reseller!A:E,5,0)</f>
        <v/>
      </c>
    </row>
    <row r="237">
      <c r="A237" t="inlineStr">
        <is>
          <t>OP01862</t>
        </is>
      </c>
      <c r="B237">
        <f>VLOOKUP(A237,Reseller!G:H,2,0)</f>
        <v/>
      </c>
      <c r="C237" t="inlineStr">
        <is>
          <t>ONLINE</t>
        </is>
      </c>
      <c r="G237" s="34">
        <f>VLOOKUP(Table4[[#This Row],[AGEN ID]],Reseller!A:E,5,0)</f>
        <v/>
      </c>
    </row>
    <row r="238">
      <c r="A238" t="inlineStr">
        <is>
          <t>OP01868</t>
        </is>
      </c>
      <c r="B238">
        <f>VLOOKUP(A238,Reseller!G:H,2,0)</f>
        <v/>
      </c>
      <c r="C238" t="inlineStr">
        <is>
          <t>ONLINE</t>
        </is>
      </c>
      <c r="G238" s="34">
        <f>VLOOKUP(Table4[[#This Row],[AGEN ID]],Reseller!A:E,5,0)</f>
        <v/>
      </c>
    </row>
    <row r="239">
      <c r="A239" t="inlineStr">
        <is>
          <t>OP01876</t>
        </is>
      </c>
      <c r="B239">
        <f>VLOOKUP(A239,Reseller!G:H,2,0)</f>
        <v/>
      </c>
      <c r="C239" t="inlineStr">
        <is>
          <t>ONLINE</t>
        </is>
      </c>
      <c r="G239" s="34">
        <f>VLOOKUP(Table4[[#This Row],[AGEN ID]],Reseller!A:E,5,0)</f>
        <v/>
      </c>
    </row>
    <row r="240">
      <c r="A240" t="inlineStr">
        <is>
          <t>OP01877</t>
        </is>
      </c>
      <c r="B240">
        <f>VLOOKUP(A240,Reseller!G:H,2,0)</f>
        <v/>
      </c>
      <c r="C240" t="inlineStr">
        <is>
          <t>ONLINE</t>
        </is>
      </c>
      <c r="G240" s="34">
        <f>VLOOKUP(Table4[[#This Row],[AGEN ID]],Reseller!A:E,5,0)</f>
        <v/>
      </c>
    </row>
    <row r="241">
      <c r="A241" t="inlineStr">
        <is>
          <t>OP01892</t>
        </is>
      </c>
      <c r="B241">
        <f>VLOOKUP(A241,Reseller!G:H,2,0)</f>
        <v/>
      </c>
      <c r="C241" t="inlineStr">
        <is>
          <t>ONLINE</t>
        </is>
      </c>
      <c r="G241" s="34">
        <f>VLOOKUP(Table4[[#This Row],[AGEN ID]],Reseller!A:E,5,0)</f>
        <v/>
      </c>
    </row>
    <row r="242">
      <c r="A242" t="inlineStr">
        <is>
          <t>OP01911</t>
        </is>
      </c>
      <c r="B242">
        <f>VLOOKUP(A242,Reseller!G:H,2,0)</f>
        <v/>
      </c>
      <c r="C242" t="inlineStr">
        <is>
          <t>ONLINE</t>
        </is>
      </c>
      <c r="G242" s="34">
        <f>VLOOKUP(Table4[[#This Row],[AGEN ID]],Reseller!A:E,5,0)</f>
        <v/>
      </c>
    </row>
    <row r="243">
      <c r="A243" t="inlineStr">
        <is>
          <t>OP01914</t>
        </is>
      </c>
      <c r="B243">
        <f>VLOOKUP(A243,Reseller!G:H,2,0)</f>
        <v/>
      </c>
      <c r="C243" t="inlineStr">
        <is>
          <t>ONLINE</t>
        </is>
      </c>
      <c r="G243" s="34">
        <f>VLOOKUP(Table4[[#This Row],[AGEN ID]],Reseller!A:E,5,0)</f>
        <v/>
      </c>
    </row>
    <row r="244">
      <c r="A244" t="inlineStr">
        <is>
          <t>OP01928</t>
        </is>
      </c>
      <c r="B244">
        <f>VLOOKUP(A244,Reseller!G:H,2,0)</f>
        <v/>
      </c>
      <c r="C244" t="inlineStr">
        <is>
          <t>ONLINE</t>
        </is>
      </c>
      <c r="G244" s="34">
        <f>VLOOKUP(Table4[[#This Row],[AGEN ID]],Reseller!A:E,5,0)</f>
        <v/>
      </c>
    </row>
    <row r="245">
      <c r="A245" t="inlineStr">
        <is>
          <t>OP01935</t>
        </is>
      </c>
      <c r="B245">
        <f>VLOOKUP(A245,Reseller!G:H,2,0)</f>
        <v/>
      </c>
      <c r="C245" t="inlineStr">
        <is>
          <t>ONLINE</t>
        </is>
      </c>
      <c r="G245" s="34">
        <f>VLOOKUP(Table4[[#This Row],[AGEN ID]],Reseller!A:E,5,0)</f>
        <v/>
      </c>
    </row>
    <row r="246">
      <c r="A246" t="inlineStr">
        <is>
          <t>OP01949</t>
        </is>
      </c>
      <c r="B246">
        <f>VLOOKUP(A246,Reseller!G:H,2,0)</f>
        <v/>
      </c>
      <c r="C246" t="inlineStr">
        <is>
          <t>ONLINE</t>
        </is>
      </c>
      <c r="G246" s="34">
        <f>VLOOKUP(Table4[[#This Row],[AGEN ID]],Reseller!A:E,5,0)</f>
        <v/>
      </c>
    </row>
    <row r="247">
      <c r="A247" t="inlineStr">
        <is>
          <t>OP01953</t>
        </is>
      </c>
      <c r="B247">
        <f>VLOOKUP(A247,Reseller!G:H,2,0)</f>
        <v/>
      </c>
      <c r="C247" t="inlineStr">
        <is>
          <t>ONLINE</t>
        </is>
      </c>
      <c r="G247" s="34">
        <f>VLOOKUP(Table4[[#This Row],[AGEN ID]],Reseller!A:E,5,0)</f>
        <v/>
      </c>
    </row>
    <row r="248">
      <c r="A248" t="inlineStr">
        <is>
          <t>OP01986</t>
        </is>
      </c>
      <c r="B248">
        <f>VLOOKUP(A248,Reseller!G:H,2,0)</f>
        <v/>
      </c>
      <c r="C248" t="inlineStr">
        <is>
          <t>ONLINE</t>
        </is>
      </c>
      <c r="G248" s="34">
        <f>VLOOKUP(Table4[[#This Row],[AGEN ID]],Reseller!A:E,5,0)</f>
        <v/>
      </c>
    </row>
    <row r="249">
      <c r="A249" t="inlineStr">
        <is>
          <t>OP01993</t>
        </is>
      </c>
      <c r="B249">
        <f>VLOOKUP(A249,Reseller!G:H,2,0)</f>
        <v/>
      </c>
      <c r="C249" t="inlineStr">
        <is>
          <t>ONLINE</t>
        </is>
      </c>
      <c r="G249" s="34">
        <f>VLOOKUP(Table4[[#This Row],[AGEN ID]],Reseller!A:E,5,0)</f>
        <v/>
      </c>
    </row>
    <row r="250">
      <c r="A250" t="inlineStr">
        <is>
          <t>OP01995</t>
        </is>
      </c>
      <c r="B250">
        <f>VLOOKUP(A250,Reseller!G:H,2,0)</f>
        <v/>
      </c>
      <c r="C250" t="inlineStr">
        <is>
          <t>ONLINE</t>
        </is>
      </c>
      <c r="G250" s="34">
        <f>VLOOKUP(Table4[[#This Row],[AGEN ID]],Reseller!A:E,5,0)</f>
        <v/>
      </c>
    </row>
    <row r="251">
      <c r="A251" t="inlineStr">
        <is>
          <t>OP02001</t>
        </is>
      </c>
      <c r="B251">
        <f>VLOOKUP(A251,Reseller!G:H,2,0)</f>
        <v/>
      </c>
      <c r="C251" t="inlineStr">
        <is>
          <t>ONLINE</t>
        </is>
      </c>
      <c r="G251" s="34">
        <f>VLOOKUP(Table4[[#This Row],[AGEN ID]],Reseller!A:E,5,0)</f>
        <v/>
      </c>
    </row>
    <row r="252">
      <c r="A252" t="inlineStr">
        <is>
          <t>OP02003</t>
        </is>
      </c>
      <c r="B252">
        <f>VLOOKUP(A252,Reseller!G:H,2,0)</f>
        <v/>
      </c>
      <c r="C252" t="inlineStr">
        <is>
          <t>ONLINE</t>
        </is>
      </c>
      <c r="G252" s="34">
        <f>VLOOKUP(Table4[[#This Row],[AGEN ID]],Reseller!A:E,5,0)</f>
        <v/>
      </c>
    </row>
    <row r="253">
      <c r="A253" t="inlineStr">
        <is>
          <t>OP02016</t>
        </is>
      </c>
      <c r="B253">
        <f>VLOOKUP(A253,Reseller!G:H,2,0)</f>
        <v/>
      </c>
      <c r="C253" t="inlineStr">
        <is>
          <t>ONLINE</t>
        </is>
      </c>
      <c r="G253" s="34">
        <f>VLOOKUP(Table4[[#This Row],[AGEN ID]],Reseller!A:E,5,0)</f>
        <v/>
      </c>
    </row>
    <row r="254">
      <c r="A254" t="inlineStr">
        <is>
          <t>OP02018</t>
        </is>
      </c>
      <c r="B254">
        <f>VLOOKUP(A254,Reseller!G:H,2,0)</f>
        <v/>
      </c>
      <c r="C254" t="inlineStr">
        <is>
          <t>ONLINE</t>
        </is>
      </c>
      <c r="G254" s="34">
        <f>VLOOKUP(Table4[[#This Row],[AGEN ID]],Reseller!A:E,5,0)</f>
        <v/>
      </c>
    </row>
    <row r="255">
      <c r="A255" t="inlineStr">
        <is>
          <t>OP02031</t>
        </is>
      </c>
      <c r="B255">
        <f>VLOOKUP(A255,Reseller!G:H,2,0)</f>
        <v/>
      </c>
      <c r="C255" t="inlineStr">
        <is>
          <t>ONLINE</t>
        </is>
      </c>
      <c r="G255" s="34">
        <f>VLOOKUP(Table4[[#This Row],[AGEN ID]],Reseller!A:E,5,0)</f>
        <v/>
      </c>
    </row>
    <row r="256">
      <c r="A256" t="inlineStr">
        <is>
          <t>OP02033</t>
        </is>
      </c>
      <c r="B256">
        <f>VLOOKUP(A256,Reseller!G:H,2,0)</f>
        <v/>
      </c>
      <c r="C256" t="inlineStr">
        <is>
          <t>ONLINE</t>
        </is>
      </c>
      <c r="G256" s="34">
        <f>VLOOKUP(Table4[[#This Row],[AGEN ID]],Reseller!A:E,5,0)</f>
        <v/>
      </c>
    </row>
    <row r="257">
      <c r="A257" t="inlineStr">
        <is>
          <t>OP02039</t>
        </is>
      </c>
      <c r="B257">
        <f>VLOOKUP(A257,Reseller!G:H,2,0)</f>
        <v/>
      </c>
      <c r="C257" t="inlineStr">
        <is>
          <t>ONLINE</t>
        </is>
      </c>
      <c r="G257" s="34">
        <f>VLOOKUP(Table4[[#This Row],[AGEN ID]],Reseller!A:E,5,0)</f>
        <v/>
      </c>
    </row>
    <row r="258">
      <c r="A258" t="inlineStr">
        <is>
          <t>OP02048</t>
        </is>
      </c>
      <c r="B258">
        <f>VLOOKUP(A258,Reseller!G:H,2,0)</f>
        <v/>
      </c>
      <c r="C258" t="inlineStr">
        <is>
          <t>ONLINE</t>
        </is>
      </c>
      <c r="G258" s="34">
        <f>VLOOKUP(Table4[[#This Row],[AGEN ID]],Reseller!A:E,5,0)</f>
        <v/>
      </c>
    </row>
    <row r="259">
      <c r="A259" t="inlineStr">
        <is>
          <t>OP02050</t>
        </is>
      </c>
      <c r="B259">
        <f>VLOOKUP(A259,Reseller!G:H,2,0)</f>
        <v/>
      </c>
      <c r="C259" t="inlineStr">
        <is>
          <t>ONLINE</t>
        </is>
      </c>
      <c r="G259" s="34">
        <f>VLOOKUP(Table4[[#This Row],[AGEN ID]],Reseller!A:E,5,0)</f>
        <v/>
      </c>
    </row>
    <row r="260">
      <c r="A260" t="inlineStr">
        <is>
          <t>OP02059</t>
        </is>
      </c>
      <c r="B260">
        <f>VLOOKUP(A260,Reseller!G:H,2,0)</f>
        <v/>
      </c>
      <c r="C260" t="inlineStr">
        <is>
          <t>ONLINE</t>
        </is>
      </c>
      <c r="G260" s="34">
        <f>VLOOKUP(Table4[[#This Row],[AGEN ID]],Reseller!A:E,5,0)</f>
        <v/>
      </c>
    </row>
    <row r="261">
      <c r="A261" t="inlineStr">
        <is>
          <t>OP02064</t>
        </is>
      </c>
      <c r="B261">
        <f>VLOOKUP(A261,Reseller!G:H,2,0)</f>
        <v/>
      </c>
      <c r="C261" t="inlineStr">
        <is>
          <t>ONLINE</t>
        </is>
      </c>
      <c r="G261" s="34">
        <f>VLOOKUP(Table4[[#This Row],[AGEN ID]],Reseller!A:E,5,0)</f>
        <v/>
      </c>
    </row>
    <row r="262">
      <c r="A262" t="inlineStr">
        <is>
          <t>OP02076</t>
        </is>
      </c>
      <c r="B262">
        <f>VLOOKUP(A262,Reseller!G:H,2,0)</f>
        <v/>
      </c>
      <c r="C262" t="inlineStr">
        <is>
          <t>ONLINE</t>
        </is>
      </c>
      <c r="G262" s="34">
        <f>VLOOKUP(Table4[[#This Row],[AGEN ID]],Reseller!A:E,5,0)</f>
        <v/>
      </c>
    </row>
    <row r="263">
      <c r="A263" t="inlineStr">
        <is>
          <t>OP02082</t>
        </is>
      </c>
      <c r="B263">
        <f>VLOOKUP(A263,Reseller!G:H,2,0)</f>
        <v/>
      </c>
      <c r="C263" t="inlineStr">
        <is>
          <t>ONLINE</t>
        </is>
      </c>
      <c r="G263" s="34">
        <f>VLOOKUP(Table4[[#This Row],[AGEN ID]],Reseller!A:E,5,0)</f>
        <v/>
      </c>
    </row>
    <row r="264">
      <c r="A264" t="inlineStr">
        <is>
          <t>OP02125</t>
        </is>
      </c>
      <c r="B264">
        <f>VLOOKUP(A264,Reseller!G:H,2,0)</f>
        <v/>
      </c>
      <c r="C264" t="inlineStr">
        <is>
          <t>ONLINE</t>
        </is>
      </c>
      <c r="G264" s="34">
        <f>VLOOKUP(Table4[[#This Row],[AGEN ID]],Reseller!A:E,5,0)</f>
        <v/>
      </c>
    </row>
    <row r="265">
      <c r="A265" t="inlineStr">
        <is>
          <t>OP02182</t>
        </is>
      </c>
      <c r="B265">
        <f>VLOOKUP(A265,Reseller!G:H,2,0)</f>
        <v/>
      </c>
      <c r="C265" t="inlineStr">
        <is>
          <t>ONLINE</t>
        </is>
      </c>
      <c r="G265" s="34">
        <f>VLOOKUP(Table4[[#This Row],[AGEN ID]],Reseller!A:E,5,0)</f>
        <v/>
      </c>
    </row>
    <row r="266">
      <c r="A266" t="inlineStr">
        <is>
          <t>OP02189</t>
        </is>
      </c>
      <c r="B266">
        <f>VLOOKUP(A266,Reseller!G:H,2,0)</f>
        <v/>
      </c>
      <c r="C266" t="inlineStr">
        <is>
          <t>ONLINE</t>
        </is>
      </c>
      <c r="G266" s="34">
        <f>VLOOKUP(Table4[[#This Row],[AGEN ID]],Reseller!A:E,5,0)</f>
        <v/>
      </c>
    </row>
    <row r="267">
      <c r="A267" t="inlineStr">
        <is>
          <t>OP02195</t>
        </is>
      </c>
      <c r="B267">
        <f>VLOOKUP(A267,Reseller!G:H,2,0)</f>
        <v/>
      </c>
      <c r="C267" t="inlineStr">
        <is>
          <t>ONLINE</t>
        </is>
      </c>
      <c r="G267" s="34">
        <f>VLOOKUP(Table4[[#This Row],[AGEN ID]],Reseller!A:E,5,0)</f>
        <v/>
      </c>
    </row>
    <row r="268">
      <c r="A268" t="inlineStr">
        <is>
          <t>OP02218</t>
        </is>
      </c>
      <c r="B268">
        <f>VLOOKUP(A268,Reseller!G:H,2,0)</f>
        <v/>
      </c>
      <c r="C268" t="inlineStr">
        <is>
          <t>ONLINE</t>
        </is>
      </c>
      <c r="G268" s="34">
        <f>VLOOKUP(Table4[[#This Row],[AGEN ID]],Reseller!A:E,5,0)</f>
        <v/>
      </c>
    </row>
    <row r="269">
      <c r="A269" t="inlineStr">
        <is>
          <t>OP02233</t>
        </is>
      </c>
      <c r="B269">
        <f>VLOOKUP(A269,Reseller!G:H,2,0)</f>
        <v/>
      </c>
      <c r="C269" t="inlineStr">
        <is>
          <t>ONLINE</t>
        </is>
      </c>
      <c r="G269" s="34">
        <f>VLOOKUP(Table4[[#This Row],[AGEN ID]],Reseller!A:E,5,0)</f>
        <v/>
      </c>
    </row>
    <row r="270">
      <c r="A270" t="inlineStr">
        <is>
          <t>OP02252</t>
        </is>
      </c>
      <c r="B270">
        <f>VLOOKUP(A270,Reseller!G:H,2,0)</f>
        <v/>
      </c>
      <c r="C270" t="inlineStr">
        <is>
          <t>ONLINE</t>
        </is>
      </c>
      <c r="G270" s="34">
        <f>VLOOKUP(Table4[[#This Row],[AGEN ID]],Reseller!A:E,5,0)</f>
        <v/>
      </c>
    </row>
    <row r="271">
      <c r="A271" t="inlineStr">
        <is>
          <t>OP02280</t>
        </is>
      </c>
      <c r="B271">
        <f>VLOOKUP(A271,Reseller!G:H,2,0)</f>
        <v/>
      </c>
      <c r="C271" t="inlineStr">
        <is>
          <t>ONLINE</t>
        </is>
      </c>
      <c r="G271" s="34">
        <f>VLOOKUP(Table4[[#This Row],[AGEN ID]],Reseller!A:E,5,0)</f>
        <v/>
      </c>
    </row>
    <row r="272">
      <c r="A272" t="inlineStr">
        <is>
          <t>OP02285</t>
        </is>
      </c>
      <c r="B272">
        <f>VLOOKUP(A272,Reseller!G:H,2,0)</f>
        <v/>
      </c>
      <c r="C272" t="inlineStr">
        <is>
          <t>ONLINE</t>
        </is>
      </c>
      <c r="G272" s="34">
        <f>VLOOKUP(Table4[[#This Row],[AGEN ID]],Reseller!A:E,5,0)</f>
        <v/>
      </c>
    </row>
    <row r="273">
      <c r="A273" t="inlineStr">
        <is>
          <t>OP02327</t>
        </is>
      </c>
      <c r="B273">
        <f>VLOOKUP(A273,Reseller!G:H,2,0)</f>
        <v/>
      </c>
      <c r="C273" t="inlineStr">
        <is>
          <t>ONLINE</t>
        </is>
      </c>
      <c r="G273" s="34">
        <f>VLOOKUP(Table4[[#This Row],[AGEN ID]],Reseller!A:E,5,0)</f>
        <v/>
      </c>
    </row>
    <row r="274">
      <c r="A274" t="inlineStr">
        <is>
          <t>OP02329</t>
        </is>
      </c>
      <c r="B274">
        <f>VLOOKUP(A274,Reseller!G:H,2,0)</f>
        <v/>
      </c>
      <c r="C274" t="inlineStr">
        <is>
          <t>ONLINE</t>
        </is>
      </c>
      <c r="G274" s="34">
        <f>VLOOKUP(Table4[[#This Row],[AGEN ID]],Reseller!A:E,5,0)</f>
        <v/>
      </c>
    </row>
    <row r="275">
      <c r="A275" t="inlineStr">
        <is>
          <t>OP02331</t>
        </is>
      </c>
      <c r="B275">
        <f>VLOOKUP(A275,Reseller!G:H,2,0)</f>
        <v/>
      </c>
      <c r="C275" t="inlineStr">
        <is>
          <t>ONLINE</t>
        </is>
      </c>
      <c r="G275" s="34">
        <f>VLOOKUP(Table4[[#This Row],[AGEN ID]],Reseller!A:E,5,0)</f>
        <v/>
      </c>
    </row>
    <row r="276">
      <c r="A276" t="inlineStr">
        <is>
          <t>OP02332</t>
        </is>
      </c>
      <c r="B276">
        <f>VLOOKUP(A276,Reseller!G:H,2,0)</f>
        <v/>
      </c>
      <c r="C276" t="inlineStr">
        <is>
          <t>ONLINE</t>
        </is>
      </c>
      <c r="G276" s="34">
        <f>VLOOKUP(Table4[[#This Row],[AGEN ID]],Reseller!A:E,5,0)</f>
        <v/>
      </c>
    </row>
    <row r="277">
      <c r="A277" t="inlineStr">
        <is>
          <t>OP02334</t>
        </is>
      </c>
      <c r="B277">
        <f>VLOOKUP(A277,Reseller!G:H,2,0)</f>
        <v/>
      </c>
      <c r="C277" t="inlineStr">
        <is>
          <t>ONLINE</t>
        </is>
      </c>
      <c r="G277" s="34">
        <f>VLOOKUP(Table4[[#This Row],[AGEN ID]],Reseller!A:E,5,0)</f>
        <v/>
      </c>
    </row>
    <row r="278">
      <c r="A278" t="inlineStr">
        <is>
          <t>OP02341</t>
        </is>
      </c>
      <c r="B278">
        <f>VLOOKUP(A278,Reseller!G:H,2,0)</f>
        <v/>
      </c>
      <c r="C278" t="inlineStr">
        <is>
          <t>ONLINE</t>
        </is>
      </c>
      <c r="G278" s="34">
        <f>VLOOKUP(Table4[[#This Row],[AGEN ID]],Reseller!A:E,5,0)</f>
        <v/>
      </c>
    </row>
    <row r="279">
      <c r="A279" t="inlineStr">
        <is>
          <t>OP02362</t>
        </is>
      </c>
      <c r="B279">
        <f>VLOOKUP(A279,Reseller!G:H,2,0)</f>
        <v/>
      </c>
      <c r="C279" t="inlineStr">
        <is>
          <t>ONLINE</t>
        </is>
      </c>
      <c r="G279" s="34">
        <f>VLOOKUP(Table4[[#This Row],[AGEN ID]],Reseller!A:E,5,0)</f>
        <v/>
      </c>
    </row>
    <row r="280">
      <c r="A280" t="inlineStr">
        <is>
          <t>OP02383</t>
        </is>
      </c>
      <c r="B280">
        <f>VLOOKUP(A280,Reseller!G:H,2,0)</f>
        <v/>
      </c>
      <c r="C280" t="inlineStr">
        <is>
          <t>ONLINE</t>
        </is>
      </c>
      <c r="G280" s="34">
        <f>VLOOKUP(Table4[[#This Row],[AGEN ID]],Reseller!A:E,5,0)</f>
        <v/>
      </c>
    </row>
    <row r="281">
      <c r="A281" t="inlineStr">
        <is>
          <t>OP02388</t>
        </is>
      </c>
      <c r="B281">
        <f>VLOOKUP(A281,Reseller!G:H,2,0)</f>
        <v/>
      </c>
      <c r="C281" t="inlineStr">
        <is>
          <t>ONLINE</t>
        </is>
      </c>
      <c r="G281" s="34">
        <f>VLOOKUP(Table4[[#This Row],[AGEN ID]],Reseller!A:E,5,0)</f>
        <v/>
      </c>
    </row>
    <row r="282">
      <c r="A282" t="inlineStr">
        <is>
          <t>OP02397</t>
        </is>
      </c>
      <c r="B282">
        <f>VLOOKUP(A282,Reseller!G:H,2,0)</f>
        <v/>
      </c>
      <c r="C282" t="inlineStr">
        <is>
          <t>ONLINE</t>
        </is>
      </c>
      <c r="G282" s="34">
        <f>VLOOKUP(Table4[[#This Row],[AGEN ID]],Reseller!A:E,5,0)</f>
        <v/>
      </c>
    </row>
    <row r="283">
      <c r="A283" t="inlineStr">
        <is>
          <t>OP02409</t>
        </is>
      </c>
      <c r="B283">
        <f>VLOOKUP(A283,Reseller!G:H,2,0)</f>
        <v/>
      </c>
      <c r="C283" t="inlineStr">
        <is>
          <t>ONLINE</t>
        </is>
      </c>
      <c r="G283" s="34">
        <f>VLOOKUP(Table4[[#This Row],[AGEN ID]],Reseller!A:E,5,0)</f>
        <v/>
      </c>
    </row>
    <row r="284">
      <c r="A284" t="inlineStr">
        <is>
          <t>OP02418</t>
        </is>
      </c>
      <c r="B284">
        <f>VLOOKUP(A284,Reseller!G:H,2,0)</f>
        <v/>
      </c>
      <c r="C284" t="inlineStr">
        <is>
          <t>ONLINE</t>
        </is>
      </c>
      <c r="G284" s="34">
        <f>VLOOKUP(Table4[[#This Row],[AGEN ID]],Reseller!A:E,5,0)</f>
        <v/>
      </c>
    </row>
    <row r="285">
      <c r="A285" t="inlineStr">
        <is>
          <t>OP02420</t>
        </is>
      </c>
      <c r="B285">
        <f>VLOOKUP(A285,Reseller!G:H,2,0)</f>
        <v/>
      </c>
      <c r="C285" t="inlineStr">
        <is>
          <t>ONLINE</t>
        </is>
      </c>
      <c r="G285" s="34">
        <f>VLOOKUP(Table4[[#This Row],[AGEN ID]],Reseller!A:E,5,0)</f>
        <v/>
      </c>
    </row>
    <row r="286">
      <c r="A286" t="inlineStr">
        <is>
          <t>OP02428</t>
        </is>
      </c>
      <c r="B286">
        <f>VLOOKUP(A286,Reseller!G:H,2,0)</f>
        <v/>
      </c>
      <c r="C286" t="inlineStr">
        <is>
          <t>ONLINE</t>
        </is>
      </c>
      <c r="G286" s="34">
        <f>VLOOKUP(Table4[[#This Row],[AGEN ID]],Reseller!A:E,5,0)</f>
        <v/>
      </c>
    </row>
    <row r="287">
      <c r="A287" t="inlineStr">
        <is>
          <t>OP02431</t>
        </is>
      </c>
      <c r="B287">
        <f>VLOOKUP(A287,Reseller!G:H,2,0)</f>
        <v/>
      </c>
      <c r="C287" t="inlineStr">
        <is>
          <t>ONLINE</t>
        </is>
      </c>
      <c r="G287" s="34">
        <f>VLOOKUP(Table4[[#This Row],[AGEN ID]],Reseller!A:E,5,0)</f>
        <v/>
      </c>
    </row>
    <row r="288">
      <c r="A288" t="inlineStr">
        <is>
          <t>OP02448</t>
        </is>
      </c>
      <c r="B288">
        <f>VLOOKUP(A288,Reseller!G:H,2,0)</f>
        <v/>
      </c>
      <c r="C288" t="inlineStr">
        <is>
          <t>ONLINE</t>
        </is>
      </c>
      <c r="G288" s="34">
        <f>VLOOKUP(Table4[[#This Row],[AGEN ID]],Reseller!A:E,5,0)</f>
        <v/>
      </c>
    </row>
    <row r="289">
      <c r="A289" t="inlineStr">
        <is>
          <t>OP02454</t>
        </is>
      </c>
      <c r="B289">
        <f>VLOOKUP(A289,Reseller!G:H,2,0)</f>
        <v/>
      </c>
      <c r="C289" t="inlineStr">
        <is>
          <t>ONLINE</t>
        </is>
      </c>
      <c r="G289" s="34">
        <f>VLOOKUP(Table4[[#This Row],[AGEN ID]],Reseller!A:E,5,0)</f>
        <v/>
      </c>
    </row>
    <row r="290">
      <c r="A290" t="inlineStr">
        <is>
          <t>OP02480</t>
        </is>
      </c>
      <c r="B290">
        <f>VLOOKUP(A290,Reseller!G:H,2,0)</f>
        <v/>
      </c>
      <c r="C290" t="inlineStr">
        <is>
          <t>ONLINE</t>
        </is>
      </c>
      <c r="G290" s="34">
        <f>VLOOKUP(Table4[[#This Row],[AGEN ID]],Reseller!A:E,5,0)</f>
        <v/>
      </c>
    </row>
    <row r="291">
      <c r="A291" t="inlineStr">
        <is>
          <t>OP02485</t>
        </is>
      </c>
      <c r="B291">
        <f>VLOOKUP(A291,Reseller!G:H,2,0)</f>
        <v/>
      </c>
      <c r="C291" t="inlineStr">
        <is>
          <t>ONLINE</t>
        </is>
      </c>
      <c r="G291" s="34">
        <f>VLOOKUP(Table4[[#This Row],[AGEN ID]],Reseller!A:E,5,0)</f>
        <v/>
      </c>
    </row>
    <row r="292">
      <c r="A292" t="inlineStr">
        <is>
          <t>OP02498</t>
        </is>
      </c>
      <c r="B292">
        <f>VLOOKUP(A292,Reseller!G:H,2,0)</f>
        <v/>
      </c>
      <c r="C292" t="inlineStr">
        <is>
          <t>ONLINE</t>
        </is>
      </c>
      <c r="G292" s="34">
        <f>VLOOKUP(Table4[[#This Row],[AGEN ID]],Reseller!A:E,5,0)</f>
        <v/>
      </c>
    </row>
    <row r="293">
      <c r="A293" t="inlineStr">
        <is>
          <t>OP02512</t>
        </is>
      </c>
      <c r="B293">
        <f>VLOOKUP(A293,Reseller!G:H,2,0)</f>
        <v/>
      </c>
      <c r="C293" t="inlineStr">
        <is>
          <t>ONLINE</t>
        </is>
      </c>
      <c r="G293" s="34">
        <f>VLOOKUP(Table4[[#This Row],[AGEN ID]],Reseller!A:E,5,0)</f>
        <v/>
      </c>
    </row>
    <row r="294">
      <c r="A294" t="inlineStr">
        <is>
          <t>OP02536</t>
        </is>
      </c>
      <c r="B294">
        <f>VLOOKUP(A294,Reseller!G:H,2,0)</f>
        <v/>
      </c>
      <c r="C294" t="inlineStr">
        <is>
          <t>ONLINE</t>
        </is>
      </c>
      <c r="G294" s="34">
        <f>VLOOKUP(Table4[[#This Row],[AGEN ID]],Reseller!A:E,5,0)</f>
        <v/>
      </c>
    </row>
    <row r="295">
      <c r="A295" t="inlineStr">
        <is>
          <t>OP02537</t>
        </is>
      </c>
      <c r="B295">
        <f>VLOOKUP(A295,Reseller!G:H,2,0)</f>
        <v/>
      </c>
      <c r="C295" t="inlineStr">
        <is>
          <t>ONLINE</t>
        </is>
      </c>
      <c r="G295" s="34">
        <f>VLOOKUP(Table4[[#This Row],[AGEN ID]],Reseller!A:E,5,0)</f>
        <v/>
      </c>
    </row>
    <row r="296">
      <c r="A296" t="inlineStr">
        <is>
          <t>OP02543</t>
        </is>
      </c>
      <c r="B296">
        <f>VLOOKUP(A296,Reseller!G:H,2,0)</f>
        <v/>
      </c>
      <c r="C296" t="inlineStr">
        <is>
          <t>ONLINE</t>
        </is>
      </c>
      <c r="G296" s="34">
        <f>VLOOKUP(Table4[[#This Row],[AGEN ID]],Reseller!A:E,5,0)</f>
        <v/>
      </c>
    </row>
    <row r="297">
      <c r="A297" t="inlineStr">
        <is>
          <t>OP02550</t>
        </is>
      </c>
      <c r="B297">
        <f>VLOOKUP(A297,Reseller!G:H,2,0)</f>
        <v/>
      </c>
      <c r="C297" t="inlineStr">
        <is>
          <t>ONLINE</t>
        </is>
      </c>
      <c r="G297" s="34">
        <f>VLOOKUP(Table4[[#This Row],[AGEN ID]],Reseller!A:E,5,0)</f>
        <v/>
      </c>
    </row>
    <row r="298">
      <c r="A298" t="inlineStr">
        <is>
          <t>OP02551</t>
        </is>
      </c>
      <c r="B298">
        <f>VLOOKUP(A298,Reseller!G:H,2,0)</f>
        <v/>
      </c>
      <c r="C298" t="inlineStr">
        <is>
          <t>ONLINE</t>
        </is>
      </c>
      <c r="G298" s="34">
        <f>VLOOKUP(Table4[[#This Row],[AGEN ID]],Reseller!A:E,5,0)</f>
        <v/>
      </c>
    </row>
    <row r="299">
      <c r="A299" t="inlineStr">
        <is>
          <t>OP02554</t>
        </is>
      </c>
      <c r="B299">
        <f>VLOOKUP(A299,Reseller!G:H,2,0)</f>
        <v/>
      </c>
      <c r="C299" t="inlineStr">
        <is>
          <t>ONLINE</t>
        </is>
      </c>
      <c r="G299" s="34">
        <f>VLOOKUP(Table4[[#This Row],[AGEN ID]],Reseller!A:E,5,0)</f>
        <v/>
      </c>
    </row>
    <row r="300">
      <c r="A300" t="inlineStr">
        <is>
          <t>OP02558</t>
        </is>
      </c>
      <c r="B300">
        <f>VLOOKUP(A300,Reseller!G:H,2,0)</f>
        <v/>
      </c>
      <c r="C300" t="inlineStr">
        <is>
          <t>ONLINE</t>
        </is>
      </c>
      <c r="G300" s="34">
        <f>VLOOKUP(Table4[[#This Row],[AGEN ID]],Reseller!A:E,5,0)</f>
        <v/>
      </c>
    </row>
    <row r="301">
      <c r="A301" t="inlineStr">
        <is>
          <t>OP02600</t>
        </is>
      </c>
      <c r="B301">
        <f>VLOOKUP(A301,Reseller!G:H,2,0)</f>
        <v/>
      </c>
      <c r="C301" t="inlineStr">
        <is>
          <t>ONLINE</t>
        </is>
      </c>
      <c r="G301" s="34">
        <f>VLOOKUP(Table4[[#This Row],[AGEN ID]],Reseller!A:E,5,0)</f>
        <v/>
      </c>
    </row>
    <row r="302">
      <c r="A302" t="inlineStr">
        <is>
          <t>OP02616</t>
        </is>
      </c>
      <c r="B302">
        <f>VLOOKUP(A302,Reseller!G:H,2,0)</f>
        <v/>
      </c>
      <c r="C302" t="inlineStr">
        <is>
          <t>ONLINE</t>
        </is>
      </c>
      <c r="G302" s="34">
        <f>VLOOKUP(Table4[[#This Row],[AGEN ID]],Reseller!A:E,5,0)</f>
        <v/>
      </c>
    </row>
    <row r="303">
      <c r="A303" t="inlineStr">
        <is>
          <t>OP02673</t>
        </is>
      </c>
      <c r="B303">
        <f>VLOOKUP(A303,Reseller!G:H,2,0)</f>
        <v/>
      </c>
      <c r="C303" t="inlineStr">
        <is>
          <t>ONLINE</t>
        </is>
      </c>
      <c r="G303" s="34">
        <f>VLOOKUP(Table4[[#This Row],[AGEN ID]],Reseller!A:E,5,0)</f>
        <v/>
      </c>
    </row>
    <row r="304">
      <c r="A304" t="inlineStr">
        <is>
          <t>OP02685</t>
        </is>
      </c>
      <c r="B304">
        <f>VLOOKUP(A304,Reseller!G:H,2,0)</f>
        <v/>
      </c>
      <c r="C304" t="inlineStr">
        <is>
          <t>ONLINE</t>
        </is>
      </c>
      <c r="G304" s="34">
        <f>VLOOKUP(Table4[[#This Row],[AGEN ID]],Reseller!A:E,5,0)</f>
        <v/>
      </c>
    </row>
    <row r="305">
      <c r="A305" t="inlineStr">
        <is>
          <t>OP02705</t>
        </is>
      </c>
      <c r="B305">
        <f>VLOOKUP(A305,Reseller!G:H,2,0)</f>
        <v/>
      </c>
      <c r="C305" t="inlineStr">
        <is>
          <t>ONLINE</t>
        </is>
      </c>
      <c r="G305" s="34">
        <f>VLOOKUP(Table4[[#This Row],[AGEN ID]],Reseller!A:E,5,0)</f>
        <v/>
      </c>
    </row>
    <row r="306">
      <c r="A306" t="inlineStr">
        <is>
          <t>OP02706</t>
        </is>
      </c>
      <c r="B306">
        <f>VLOOKUP(A306,Reseller!G:H,2,0)</f>
        <v/>
      </c>
      <c r="C306" t="inlineStr">
        <is>
          <t>ONLINE</t>
        </is>
      </c>
      <c r="G306" s="34">
        <f>VLOOKUP(Table4[[#This Row],[AGEN ID]],Reseller!A:E,5,0)</f>
        <v/>
      </c>
    </row>
    <row r="307">
      <c r="A307" t="inlineStr">
        <is>
          <t>OP02718</t>
        </is>
      </c>
      <c r="B307">
        <f>VLOOKUP(A307,Reseller!G:H,2,0)</f>
        <v/>
      </c>
      <c r="C307" t="inlineStr">
        <is>
          <t>ONLINE</t>
        </is>
      </c>
      <c r="G307" s="34">
        <f>VLOOKUP(Table4[[#This Row],[AGEN ID]],Reseller!A:E,5,0)</f>
        <v/>
      </c>
    </row>
    <row r="308">
      <c r="A308" t="inlineStr">
        <is>
          <t>OP02730</t>
        </is>
      </c>
      <c r="B308">
        <f>VLOOKUP(A308,Reseller!G:H,2,0)</f>
        <v/>
      </c>
      <c r="C308" t="inlineStr">
        <is>
          <t>ONLINE</t>
        </is>
      </c>
      <c r="G308" s="34">
        <f>VLOOKUP(Table4[[#This Row],[AGEN ID]],Reseller!A:E,5,0)</f>
        <v/>
      </c>
    </row>
    <row r="309">
      <c r="A309" t="inlineStr">
        <is>
          <t>OP02749</t>
        </is>
      </c>
      <c r="B309">
        <f>VLOOKUP(A309,Reseller!G:H,2,0)</f>
        <v/>
      </c>
      <c r="C309" t="inlineStr">
        <is>
          <t>ONLINE</t>
        </is>
      </c>
      <c r="G309" s="34">
        <f>VLOOKUP(Table4[[#This Row],[AGEN ID]],Reseller!A:E,5,0)</f>
        <v/>
      </c>
    </row>
    <row r="310">
      <c r="A310" t="inlineStr">
        <is>
          <t>OP02759</t>
        </is>
      </c>
      <c r="B310">
        <f>VLOOKUP(A310,Reseller!G:H,2,0)</f>
        <v/>
      </c>
      <c r="C310" t="inlineStr">
        <is>
          <t>ONLINE</t>
        </is>
      </c>
      <c r="G310" s="34">
        <f>VLOOKUP(Table4[[#This Row],[AGEN ID]],Reseller!A:E,5,0)</f>
        <v/>
      </c>
    </row>
    <row r="311">
      <c r="A311" t="inlineStr">
        <is>
          <t>OP02796</t>
        </is>
      </c>
      <c r="B311">
        <f>VLOOKUP(A311,Reseller!G:H,2,0)</f>
        <v/>
      </c>
      <c r="C311" t="inlineStr">
        <is>
          <t>ONLINE</t>
        </is>
      </c>
      <c r="G311" s="34">
        <f>VLOOKUP(Table4[[#This Row],[AGEN ID]],Reseller!A:E,5,0)</f>
        <v/>
      </c>
    </row>
    <row r="312">
      <c r="A312" t="inlineStr">
        <is>
          <t>OP02819</t>
        </is>
      </c>
      <c r="B312">
        <f>VLOOKUP(A312,Reseller!G:H,2,0)</f>
        <v/>
      </c>
      <c r="C312" t="inlineStr">
        <is>
          <t>ONLINE</t>
        </is>
      </c>
      <c r="G312" s="34">
        <f>VLOOKUP(Table4[[#This Row],[AGEN ID]],Reseller!A:E,5,0)</f>
        <v/>
      </c>
    </row>
    <row r="313">
      <c r="A313" t="inlineStr">
        <is>
          <t>OP02846</t>
        </is>
      </c>
      <c r="B313">
        <f>VLOOKUP(A313,Reseller!G:H,2,0)</f>
        <v/>
      </c>
      <c r="C313" t="inlineStr">
        <is>
          <t>ONLINE</t>
        </is>
      </c>
      <c r="G313" s="34">
        <f>VLOOKUP(Table4[[#This Row],[AGEN ID]],Reseller!A:E,5,0)</f>
        <v/>
      </c>
    </row>
    <row r="314">
      <c r="A314" t="inlineStr">
        <is>
          <t>OP02855</t>
        </is>
      </c>
      <c r="B314">
        <f>VLOOKUP(A314,Reseller!G:H,2,0)</f>
        <v/>
      </c>
      <c r="C314" t="inlineStr">
        <is>
          <t>ONLINE</t>
        </is>
      </c>
      <c r="G314" s="34">
        <f>VLOOKUP(Table4[[#This Row],[AGEN ID]],Reseller!A:E,5,0)</f>
        <v/>
      </c>
    </row>
    <row r="315">
      <c r="A315" t="inlineStr">
        <is>
          <t>OP02859</t>
        </is>
      </c>
      <c r="B315">
        <f>VLOOKUP(A315,Reseller!G:H,2,0)</f>
        <v/>
      </c>
      <c r="C315" t="inlineStr">
        <is>
          <t>ONLINE</t>
        </is>
      </c>
      <c r="G315" s="34">
        <f>VLOOKUP(Table4[[#This Row],[AGEN ID]],Reseller!A:E,5,0)</f>
        <v/>
      </c>
    </row>
    <row r="316">
      <c r="A316" t="inlineStr">
        <is>
          <t>OP02878</t>
        </is>
      </c>
      <c r="B316">
        <f>VLOOKUP(A316,Reseller!G:H,2,0)</f>
        <v/>
      </c>
      <c r="C316" t="inlineStr">
        <is>
          <t>ONLINE</t>
        </is>
      </c>
      <c r="G316" s="34">
        <f>VLOOKUP(Table4[[#This Row],[AGEN ID]],Reseller!A:E,5,0)</f>
        <v/>
      </c>
    </row>
    <row r="317">
      <c r="A317" t="inlineStr">
        <is>
          <t>OP02896</t>
        </is>
      </c>
      <c r="B317">
        <f>VLOOKUP(A317,Reseller!G:H,2,0)</f>
        <v/>
      </c>
      <c r="C317" t="inlineStr">
        <is>
          <t>ONLINE</t>
        </is>
      </c>
      <c r="G317" s="34">
        <f>VLOOKUP(Table4[[#This Row],[AGEN ID]],Reseller!A:E,5,0)</f>
        <v/>
      </c>
    </row>
    <row r="318">
      <c r="A318" t="inlineStr">
        <is>
          <t>OP02897</t>
        </is>
      </c>
      <c r="B318">
        <f>VLOOKUP(A318,Reseller!G:H,2,0)</f>
        <v/>
      </c>
      <c r="C318" t="inlineStr">
        <is>
          <t>ONLINE</t>
        </is>
      </c>
      <c r="G318" s="34">
        <f>VLOOKUP(Table4[[#This Row],[AGEN ID]],Reseller!A:E,5,0)</f>
        <v/>
      </c>
    </row>
    <row r="319">
      <c r="A319" t="inlineStr">
        <is>
          <t>OP02901</t>
        </is>
      </c>
      <c r="B319">
        <f>VLOOKUP(A319,Reseller!G:H,2,0)</f>
        <v/>
      </c>
      <c r="C319" t="inlineStr">
        <is>
          <t>ONLINE</t>
        </is>
      </c>
      <c r="G319" s="34">
        <f>VLOOKUP(Table4[[#This Row],[AGEN ID]],Reseller!A:E,5,0)</f>
        <v/>
      </c>
    </row>
    <row r="320">
      <c r="A320" t="inlineStr">
        <is>
          <t>OP02933</t>
        </is>
      </c>
      <c r="B320">
        <f>VLOOKUP(A320,Reseller!G:H,2,0)</f>
        <v/>
      </c>
      <c r="C320" t="inlineStr">
        <is>
          <t>ONLINE</t>
        </is>
      </c>
      <c r="G320" s="34">
        <f>VLOOKUP(Table4[[#This Row],[AGEN ID]],Reseller!A:E,5,0)</f>
        <v/>
      </c>
    </row>
    <row r="321">
      <c r="A321" t="inlineStr">
        <is>
          <t>OP02936</t>
        </is>
      </c>
      <c r="B321">
        <f>VLOOKUP(A321,Reseller!G:H,2,0)</f>
        <v/>
      </c>
      <c r="C321" t="inlineStr">
        <is>
          <t>ONLINE</t>
        </is>
      </c>
      <c r="G321" s="34">
        <f>VLOOKUP(Table4[[#This Row],[AGEN ID]],Reseller!A:E,5,0)</f>
        <v/>
      </c>
    </row>
    <row r="322">
      <c r="A322" t="inlineStr">
        <is>
          <t>OP02974</t>
        </is>
      </c>
      <c r="B322">
        <f>VLOOKUP(A322,Reseller!G:H,2,0)</f>
        <v/>
      </c>
      <c r="C322" t="inlineStr">
        <is>
          <t>ONLINE</t>
        </is>
      </c>
      <c r="G322" s="34">
        <f>VLOOKUP(Table4[[#This Row],[AGEN ID]],Reseller!A:E,5,0)</f>
        <v/>
      </c>
    </row>
    <row r="323">
      <c r="A323" t="inlineStr">
        <is>
          <t>OP02981</t>
        </is>
      </c>
      <c r="B323">
        <f>VLOOKUP(A323,Reseller!G:H,2,0)</f>
        <v/>
      </c>
      <c r="C323" t="inlineStr">
        <is>
          <t>ONLINE</t>
        </is>
      </c>
      <c r="G323" s="34">
        <f>VLOOKUP(Table4[[#This Row],[AGEN ID]],Reseller!A:E,5,0)</f>
        <v/>
      </c>
    </row>
    <row r="324">
      <c r="A324" t="inlineStr">
        <is>
          <t>OP02996</t>
        </is>
      </c>
      <c r="B324">
        <f>VLOOKUP(A324,Reseller!G:H,2,0)</f>
        <v/>
      </c>
      <c r="C324" t="inlineStr">
        <is>
          <t>ONLINE</t>
        </is>
      </c>
      <c r="G324" s="34">
        <f>VLOOKUP(Table4[[#This Row],[AGEN ID]],Reseller!A:E,5,0)</f>
        <v/>
      </c>
    </row>
    <row r="325">
      <c r="A325" t="inlineStr">
        <is>
          <t>OP02997</t>
        </is>
      </c>
      <c r="B325">
        <f>VLOOKUP(A325,Reseller!G:H,2,0)</f>
        <v/>
      </c>
      <c r="C325" t="inlineStr">
        <is>
          <t>ONLINE</t>
        </is>
      </c>
      <c r="G325" s="34">
        <f>VLOOKUP(Table4[[#This Row],[AGEN ID]],Reseller!A:E,5,0)</f>
        <v/>
      </c>
    </row>
    <row r="326">
      <c r="A326" t="inlineStr">
        <is>
          <t>OP03008</t>
        </is>
      </c>
      <c r="B326">
        <f>VLOOKUP(A326,Reseller!G:H,2,0)</f>
        <v/>
      </c>
      <c r="C326" t="inlineStr">
        <is>
          <t>ONLINE</t>
        </is>
      </c>
      <c r="G326" s="34">
        <f>VLOOKUP(Table4[[#This Row],[AGEN ID]],Reseller!A:E,5,0)</f>
        <v/>
      </c>
    </row>
    <row r="327">
      <c r="A327" t="inlineStr">
        <is>
          <t>OP03010</t>
        </is>
      </c>
      <c r="B327">
        <f>VLOOKUP(A327,Reseller!G:H,2,0)</f>
        <v/>
      </c>
      <c r="C327" t="inlineStr">
        <is>
          <t>ONLINE</t>
        </is>
      </c>
      <c r="G327" s="34">
        <f>VLOOKUP(Table4[[#This Row],[AGEN ID]],Reseller!A:E,5,0)</f>
        <v/>
      </c>
    </row>
    <row r="328">
      <c r="A328" t="inlineStr">
        <is>
          <t>OP03014</t>
        </is>
      </c>
      <c r="B328">
        <f>VLOOKUP(A328,Reseller!G:H,2,0)</f>
        <v/>
      </c>
      <c r="C328" t="inlineStr">
        <is>
          <t>ONLINE</t>
        </is>
      </c>
      <c r="G328" s="34">
        <f>VLOOKUP(Table4[[#This Row],[AGEN ID]],Reseller!A:E,5,0)</f>
        <v/>
      </c>
    </row>
    <row r="329">
      <c r="A329" t="inlineStr">
        <is>
          <t>OP03035</t>
        </is>
      </c>
      <c r="B329">
        <f>VLOOKUP(A329,Reseller!G:H,2,0)</f>
        <v/>
      </c>
      <c r="C329" t="inlineStr">
        <is>
          <t>ONLINE</t>
        </is>
      </c>
      <c r="G329" s="34">
        <f>VLOOKUP(Table4[[#This Row],[AGEN ID]],Reseller!A:E,5,0)</f>
        <v/>
      </c>
    </row>
    <row r="330">
      <c r="A330" t="inlineStr">
        <is>
          <t>OP03037</t>
        </is>
      </c>
      <c r="B330">
        <f>VLOOKUP(A330,Reseller!G:H,2,0)</f>
        <v/>
      </c>
      <c r="C330" t="inlineStr">
        <is>
          <t>ONLINE</t>
        </is>
      </c>
      <c r="G330" s="34">
        <f>VLOOKUP(Table4[[#This Row],[AGEN ID]],Reseller!A:E,5,0)</f>
        <v/>
      </c>
    </row>
    <row r="331">
      <c r="A331" t="inlineStr">
        <is>
          <t>OP03038</t>
        </is>
      </c>
      <c r="B331">
        <f>VLOOKUP(A331,Reseller!G:H,2,0)</f>
        <v/>
      </c>
      <c r="C331" t="inlineStr">
        <is>
          <t>ONLINE</t>
        </is>
      </c>
      <c r="G331" s="34">
        <f>VLOOKUP(Table4[[#This Row],[AGEN ID]],Reseller!A:E,5,0)</f>
        <v/>
      </c>
    </row>
    <row r="332">
      <c r="A332" t="inlineStr">
        <is>
          <t>OP03041</t>
        </is>
      </c>
      <c r="B332">
        <f>VLOOKUP(A332,Reseller!G:H,2,0)</f>
        <v/>
      </c>
      <c r="C332" t="inlineStr">
        <is>
          <t>ONLINE</t>
        </is>
      </c>
      <c r="G332" s="34">
        <f>VLOOKUP(Table4[[#This Row],[AGEN ID]],Reseller!A:E,5,0)</f>
        <v/>
      </c>
    </row>
    <row r="333">
      <c r="A333" t="inlineStr">
        <is>
          <t>OP03062</t>
        </is>
      </c>
      <c r="B333">
        <f>VLOOKUP(A333,Reseller!G:H,2,0)</f>
        <v/>
      </c>
      <c r="C333" t="inlineStr">
        <is>
          <t>ONLINE</t>
        </is>
      </c>
      <c r="G333" s="34">
        <f>VLOOKUP(Table4[[#This Row],[AGEN ID]],Reseller!A:E,5,0)</f>
        <v/>
      </c>
    </row>
    <row r="334">
      <c r="A334" t="inlineStr">
        <is>
          <t>OP03081</t>
        </is>
      </c>
      <c r="B334">
        <f>VLOOKUP(A334,Reseller!G:H,2,0)</f>
        <v/>
      </c>
      <c r="C334" t="inlineStr">
        <is>
          <t>ONLINE</t>
        </is>
      </c>
      <c r="G334" s="34">
        <f>VLOOKUP(Table4[[#This Row],[AGEN ID]],Reseller!A:E,5,0)</f>
        <v/>
      </c>
    </row>
    <row r="335">
      <c r="A335" t="inlineStr">
        <is>
          <t>OP03098</t>
        </is>
      </c>
      <c r="B335">
        <f>VLOOKUP(A335,Reseller!G:H,2,0)</f>
        <v/>
      </c>
      <c r="C335" t="inlineStr">
        <is>
          <t>ONLINE</t>
        </is>
      </c>
      <c r="G335" s="34">
        <f>VLOOKUP(Table4[[#This Row],[AGEN ID]],Reseller!A:E,5,0)</f>
        <v/>
      </c>
    </row>
    <row r="336">
      <c r="A336" t="inlineStr">
        <is>
          <t>OP03099</t>
        </is>
      </c>
      <c r="B336">
        <f>VLOOKUP(A336,Reseller!G:H,2,0)</f>
        <v/>
      </c>
      <c r="C336" t="inlineStr">
        <is>
          <t>ONLINE</t>
        </is>
      </c>
      <c r="G336" s="34">
        <f>VLOOKUP(Table4[[#This Row],[AGEN ID]],Reseller!A:E,5,0)</f>
        <v/>
      </c>
    </row>
    <row r="337">
      <c r="A337" t="inlineStr">
        <is>
          <t>OP03104</t>
        </is>
      </c>
      <c r="B337">
        <f>VLOOKUP(A337,Reseller!G:H,2,0)</f>
        <v/>
      </c>
      <c r="C337" t="inlineStr">
        <is>
          <t>ONLINE</t>
        </is>
      </c>
      <c r="G337" s="34">
        <f>VLOOKUP(Table4[[#This Row],[AGEN ID]],Reseller!A:E,5,0)</f>
        <v/>
      </c>
    </row>
    <row r="338">
      <c r="A338" t="inlineStr">
        <is>
          <t>OP03105</t>
        </is>
      </c>
      <c r="B338">
        <f>VLOOKUP(A338,Reseller!G:H,2,0)</f>
        <v/>
      </c>
      <c r="C338" t="inlineStr">
        <is>
          <t>ONLINE</t>
        </is>
      </c>
      <c r="G338" s="34">
        <f>VLOOKUP(Table4[[#This Row],[AGEN ID]],Reseller!A:E,5,0)</f>
        <v/>
      </c>
    </row>
    <row r="339">
      <c r="A339" t="inlineStr">
        <is>
          <t>OP03118</t>
        </is>
      </c>
      <c r="B339">
        <f>VLOOKUP(A339,Reseller!G:H,2,0)</f>
        <v/>
      </c>
      <c r="C339" t="inlineStr">
        <is>
          <t>ONLINE</t>
        </is>
      </c>
      <c r="G339" s="34">
        <f>VLOOKUP(Table4[[#This Row],[AGEN ID]],Reseller!A:E,5,0)</f>
        <v/>
      </c>
    </row>
    <row r="340">
      <c r="A340" t="inlineStr">
        <is>
          <t>OP03140</t>
        </is>
      </c>
      <c r="B340">
        <f>VLOOKUP(A340,Reseller!G:H,2,0)</f>
        <v/>
      </c>
      <c r="C340" t="inlineStr">
        <is>
          <t>ONLINE</t>
        </is>
      </c>
      <c r="G340" s="34">
        <f>VLOOKUP(Table4[[#This Row],[AGEN ID]],Reseller!A:E,5,0)</f>
        <v/>
      </c>
    </row>
    <row r="341">
      <c r="A341" t="inlineStr">
        <is>
          <t>OP03146</t>
        </is>
      </c>
      <c r="B341">
        <f>VLOOKUP(A341,Reseller!G:H,2,0)</f>
        <v/>
      </c>
      <c r="C341" t="inlineStr">
        <is>
          <t>ONLINE</t>
        </is>
      </c>
      <c r="G341" s="34">
        <f>VLOOKUP(Table4[[#This Row],[AGEN ID]],Reseller!A:E,5,0)</f>
        <v/>
      </c>
    </row>
    <row r="342">
      <c r="A342" t="inlineStr">
        <is>
          <t>OP03171</t>
        </is>
      </c>
      <c r="B342">
        <f>VLOOKUP(A342,Reseller!G:H,2,0)</f>
        <v/>
      </c>
      <c r="C342" t="inlineStr">
        <is>
          <t>ONLINE</t>
        </is>
      </c>
      <c r="G342" s="34">
        <f>VLOOKUP(Table4[[#This Row],[AGEN ID]],Reseller!A:E,5,0)</f>
        <v/>
      </c>
    </row>
    <row r="343">
      <c r="A343" t="inlineStr">
        <is>
          <t>OP03179</t>
        </is>
      </c>
      <c r="B343">
        <f>VLOOKUP(A343,Reseller!G:H,2,0)</f>
        <v/>
      </c>
      <c r="C343" t="inlineStr">
        <is>
          <t>ONLINE</t>
        </is>
      </c>
      <c r="G343" s="34">
        <f>VLOOKUP(Table4[[#This Row],[AGEN ID]],Reseller!A:E,5,0)</f>
        <v/>
      </c>
    </row>
    <row r="344">
      <c r="A344" t="inlineStr">
        <is>
          <t>OP03180</t>
        </is>
      </c>
      <c r="B344">
        <f>VLOOKUP(A344,Reseller!G:H,2,0)</f>
        <v/>
      </c>
      <c r="C344" t="inlineStr">
        <is>
          <t>ONLINE</t>
        </is>
      </c>
      <c r="G344" s="34">
        <f>VLOOKUP(Table4[[#This Row],[AGEN ID]],Reseller!A:E,5,0)</f>
        <v/>
      </c>
    </row>
    <row r="345">
      <c r="A345" t="inlineStr">
        <is>
          <t>OP03184</t>
        </is>
      </c>
      <c r="B345">
        <f>VLOOKUP(A345,Reseller!G:H,2,0)</f>
        <v/>
      </c>
      <c r="C345" t="inlineStr">
        <is>
          <t>ONLINE</t>
        </is>
      </c>
      <c r="G345" s="34">
        <f>VLOOKUP(Table4[[#This Row],[AGEN ID]],Reseller!A:E,5,0)</f>
        <v/>
      </c>
    </row>
    <row r="346">
      <c r="A346" t="inlineStr">
        <is>
          <t>OP03230</t>
        </is>
      </c>
      <c r="B346">
        <f>VLOOKUP(A346,Reseller!G:H,2,0)</f>
        <v/>
      </c>
      <c r="C346" t="inlineStr">
        <is>
          <t>ONLINE</t>
        </is>
      </c>
      <c r="G346" s="34">
        <f>VLOOKUP(Table4[[#This Row],[AGEN ID]],Reseller!A:E,5,0)</f>
        <v/>
      </c>
    </row>
    <row r="347">
      <c r="A347" t="inlineStr">
        <is>
          <t>OP03232</t>
        </is>
      </c>
      <c r="B347">
        <f>VLOOKUP(A347,Reseller!G:H,2,0)</f>
        <v/>
      </c>
      <c r="C347" t="inlineStr">
        <is>
          <t>ONLINE</t>
        </is>
      </c>
      <c r="G347" s="34">
        <f>VLOOKUP(Table4[[#This Row],[AGEN ID]],Reseller!A:E,5,0)</f>
        <v/>
      </c>
    </row>
    <row r="348">
      <c r="A348" t="inlineStr">
        <is>
          <t>OP03245</t>
        </is>
      </c>
      <c r="B348">
        <f>VLOOKUP(A348,Reseller!G:H,2,0)</f>
        <v/>
      </c>
      <c r="C348" t="inlineStr">
        <is>
          <t>ONLINE</t>
        </is>
      </c>
      <c r="G348" s="34">
        <f>VLOOKUP(Table4[[#This Row],[AGEN ID]],Reseller!A:E,5,0)</f>
        <v/>
      </c>
    </row>
    <row r="349">
      <c r="A349" t="inlineStr">
        <is>
          <t>OP03250</t>
        </is>
      </c>
      <c r="B349">
        <f>VLOOKUP(A349,Reseller!G:H,2,0)</f>
        <v/>
      </c>
      <c r="C349" t="inlineStr">
        <is>
          <t>ONLINE</t>
        </is>
      </c>
      <c r="G349" s="34">
        <f>VLOOKUP(Table4[[#This Row],[AGEN ID]],Reseller!A:E,5,0)</f>
        <v/>
      </c>
    </row>
    <row r="350">
      <c r="A350" t="inlineStr">
        <is>
          <t>OP03265</t>
        </is>
      </c>
      <c r="B350">
        <f>VLOOKUP(A350,Reseller!G:H,2,0)</f>
        <v/>
      </c>
      <c r="C350" t="inlineStr">
        <is>
          <t>ONLINE</t>
        </is>
      </c>
      <c r="G350" s="34">
        <f>VLOOKUP(Table4[[#This Row],[AGEN ID]],Reseller!A:E,5,0)</f>
        <v/>
      </c>
    </row>
    <row r="351">
      <c r="A351" t="inlineStr">
        <is>
          <t>OP03271</t>
        </is>
      </c>
      <c r="B351">
        <f>VLOOKUP(A351,Reseller!G:H,2,0)</f>
        <v/>
      </c>
      <c r="C351" t="inlineStr">
        <is>
          <t>ONLINE</t>
        </is>
      </c>
      <c r="G351" s="34">
        <f>VLOOKUP(Table4[[#This Row],[AGEN ID]],Reseller!A:E,5,0)</f>
        <v/>
      </c>
    </row>
    <row r="352">
      <c r="A352" t="inlineStr">
        <is>
          <t>OP03274</t>
        </is>
      </c>
      <c r="B352">
        <f>VLOOKUP(A352,Reseller!G:H,2,0)</f>
        <v/>
      </c>
      <c r="C352" t="inlineStr">
        <is>
          <t>ONLINE</t>
        </is>
      </c>
      <c r="G352" s="34">
        <f>VLOOKUP(Table4[[#This Row],[AGEN ID]],Reseller!A:E,5,0)</f>
        <v/>
      </c>
    </row>
    <row r="353">
      <c r="A353" t="inlineStr">
        <is>
          <t>OP03298</t>
        </is>
      </c>
      <c r="B353">
        <f>VLOOKUP(A353,Reseller!G:H,2,0)</f>
        <v/>
      </c>
      <c r="C353" t="inlineStr">
        <is>
          <t>ONLINE</t>
        </is>
      </c>
      <c r="G353" s="34">
        <f>VLOOKUP(Table4[[#This Row],[AGEN ID]],Reseller!A:E,5,0)</f>
        <v/>
      </c>
    </row>
    <row r="354">
      <c r="A354" t="inlineStr">
        <is>
          <t>OP03315</t>
        </is>
      </c>
      <c r="B354">
        <f>VLOOKUP(A354,Reseller!G:H,2,0)</f>
        <v/>
      </c>
      <c r="C354" t="inlineStr">
        <is>
          <t>ONLINE</t>
        </is>
      </c>
      <c r="G354" s="34">
        <f>VLOOKUP(Table4[[#This Row],[AGEN ID]],Reseller!A:E,5,0)</f>
        <v/>
      </c>
    </row>
    <row r="355">
      <c r="A355" t="inlineStr">
        <is>
          <t>OP03321</t>
        </is>
      </c>
      <c r="B355">
        <f>VLOOKUP(A355,Reseller!G:H,2,0)</f>
        <v/>
      </c>
      <c r="C355" t="inlineStr">
        <is>
          <t>ONLINE</t>
        </is>
      </c>
      <c r="G355" s="34">
        <f>VLOOKUP(Table4[[#This Row],[AGEN ID]],Reseller!A:E,5,0)</f>
        <v/>
      </c>
    </row>
    <row r="356">
      <c r="A356" t="inlineStr">
        <is>
          <t>OP03331</t>
        </is>
      </c>
      <c r="B356">
        <f>VLOOKUP(A356,Reseller!G:H,2,0)</f>
        <v/>
      </c>
      <c r="C356" t="inlineStr">
        <is>
          <t>ONLINE</t>
        </is>
      </c>
      <c r="G356" s="34">
        <f>VLOOKUP(Table4[[#This Row],[AGEN ID]],Reseller!A:E,5,0)</f>
        <v/>
      </c>
    </row>
    <row r="357">
      <c r="A357" t="inlineStr">
        <is>
          <t>OP03338</t>
        </is>
      </c>
      <c r="B357">
        <f>VLOOKUP(A357,Reseller!G:H,2,0)</f>
        <v/>
      </c>
      <c r="C357" t="inlineStr">
        <is>
          <t>ONLINE</t>
        </is>
      </c>
      <c r="G357" s="34">
        <f>VLOOKUP(Table4[[#This Row],[AGEN ID]],Reseller!A:E,5,0)</f>
        <v/>
      </c>
    </row>
    <row r="358">
      <c r="A358" t="inlineStr">
        <is>
          <t>OP03362</t>
        </is>
      </c>
      <c r="B358">
        <f>VLOOKUP(A358,Reseller!G:H,2,0)</f>
        <v/>
      </c>
      <c r="C358" t="inlineStr">
        <is>
          <t>ONLINE</t>
        </is>
      </c>
      <c r="G358" s="34">
        <f>VLOOKUP(Table4[[#This Row],[AGEN ID]],Reseller!A:E,5,0)</f>
        <v/>
      </c>
    </row>
    <row r="359">
      <c r="A359" t="inlineStr">
        <is>
          <t>OP03367</t>
        </is>
      </c>
      <c r="B359">
        <f>VLOOKUP(A359,Reseller!G:H,2,0)</f>
        <v/>
      </c>
      <c r="C359" t="inlineStr">
        <is>
          <t>ONLINE</t>
        </is>
      </c>
      <c r="G359" s="34">
        <f>VLOOKUP(Table4[[#This Row],[AGEN ID]],Reseller!A:E,5,0)</f>
        <v/>
      </c>
    </row>
    <row r="360">
      <c r="A360" t="inlineStr">
        <is>
          <t>OP03369</t>
        </is>
      </c>
      <c r="B360">
        <f>VLOOKUP(A360,Reseller!G:H,2,0)</f>
        <v/>
      </c>
      <c r="C360" t="inlineStr">
        <is>
          <t>ONLINE</t>
        </is>
      </c>
      <c r="G360" s="34">
        <f>VLOOKUP(Table4[[#This Row],[AGEN ID]],Reseller!A:E,5,0)</f>
        <v/>
      </c>
    </row>
    <row r="361">
      <c r="A361" t="inlineStr">
        <is>
          <t>OP03372</t>
        </is>
      </c>
      <c r="B361">
        <f>VLOOKUP(A361,Reseller!G:H,2,0)</f>
        <v/>
      </c>
      <c r="C361" t="inlineStr">
        <is>
          <t>ONLINE</t>
        </is>
      </c>
      <c r="G361" s="34">
        <f>VLOOKUP(Table4[[#This Row],[AGEN ID]],Reseller!A:E,5,0)</f>
        <v/>
      </c>
    </row>
    <row r="362">
      <c r="A362" t="inlineStr">
        <is>
          <t>OP03375</t>
        </is>
      </c>
      <c r="B362">
        <f>VLOOKUP(A362,Reseller!G:H,2,0)</f>
        <v/>
      </c>
      <c r="C362" t="inlineStr">
        <is>
          <t>ONLINE</t>
        </is>
      </c>
      <c r="G362" s="34">
        <f>VLOOKUP(Table4[[#This Row],[AGEN ID]],Reseller!A:E,5,0)</f>
        <v/>
      </c>
    </row>
    <row r="363">
      <c r="A363" t="inlineStr">
        <is>
          <t>OP03387</t>
        </is>
      </c>
      <c r="B363">
        <f>VLOOKUP(A363,Reseller!G:H,2,0)</f>
        <v/>
      </c>
      <c r="C363" t="inlineStr">
        <is>
          <t>ONLINE</t>
        </is>
      </c>
      <c r="G363" s="34">
        <f>VLOOKUP(Table4[[#This Row],[AGEN ID]],Reseller!A:E,5,0)</f>
        <v/>
      </c>
    </row>
    <row r="364">
      <c r="A364" t="inlineStr">
        <is>
          <t>OP03398</t>
        </is>
      </c>
      <c r="B364">
        <f>VLOOKUP(A364,Reseller!G:H,2,0)</f>
        <v/>
      </c>
      <c r="C364" t="inlineStr">
        <is>
          <t>ONLINE</t>
        </is>
      </c>
      <c r="G364" s="34">
        <f>VLOOKUP(Table4[[#This Row],[AGEN ID]],Reseller!A:E,5,0)</f>
        <v/>
      </c>
    </row>
    <row r="365">
      <c r="A365" t="inlineStr">
        <is>
          <t>OP03400</t>
        </is>
      </c>
      <c r="B365">
        <f>VLOOKUP(A365,Reseller!G:H,2,0)</f>
        <v/>
      </c>
      <c r="C365" t="inlineStr">
        <is>
          <t>ONLINE</t>
        </is>
      </c>
      <c r="G365" s="34">
        <f>VLOOKUP(Table4[[#This Row],[AGEN ID]],Reseller!A:E,5,0)</f>
        <v/>
      </c>
    </row>
    <row r="366">
      <c r="A366" t="inlineStr">
        <is>
          <t>OP03425</t>
        </is>
      </c>
      <c r="B366">
        <f>VLOOKUP(A366,Reseller!G:H,2,0)</f>
        <v/>
      </c>
      <c r="C366" t="inlineStr">
        <is>
          <t>ONLINE</t>
        </is>
      </c>
      <c r="G366" s="34">
        <f>VLOOKUP(Table4[[#This Row],[AGEN ID]],Reseller!A:E,5,0)</f>
        <v/>
      </c>
    </row>
    <row r="367">
      <c r="A367" t="inlineStr">
        <is>
          <t>OP03426</t>
        </is>
      </c>
      <c r="B367">
        <f>VLOOKUP(A367,Reseller!G:H,2,0)</f>
        <v/>
      </c>
      <c r="C367" t="inlineStr">
        <is>
          <t>ONLINE</t>
        </is>
      </c>
      <c r="G367" s="34">
        <f>VLOOKUP(Table4[[#This Row],[AGEN ID]],Reseller!A:E,5,0)</f>
        <v/>
      </c>
    </row>
    <row r="368">
      <c r="A368" t="inlineStr">
        <is>
          <t>OP03445</t>
        </is>
      </c>
      <c r="B368">
        <f>VLOOKUP(A368,Reseller!G:H,2,0)</f>
        <v/>
      </c>
      <c r="C368" t="inlineStr">
        <is>
          <t>ONLINE</t>
        </is>
      </c>
      <c r="G368" s="34">
        <f>VLOOKUP(Table4[[#This Row],[AGEN ID]],Reseller!A:E,5,0)</f>
        <v/>
      </c>
    </row>
    <row r="369">
      <c r="A369" t="inlineStr">
        <is>
          <t>OP03461</t>
        </is>
      </c>
      <c r="B369">
        <f>VLOOKUP(A369,Reseller!G:H,2,0)</f>
        <v/>
      </c>
      <c r="C369" t="inlineStr">
        <is>
          <t>ONLINE</t>
        </is>
      </c>
      <c r="G369" s="34">
        <f>VLOOKUP(Table4[[#This Row],[AGEN ID]],Reseller!A:E,5,0)</f>
        <v/>
      </c>
    </row>
    <row r="370">
      <c r="A370" t="inlineStr">
        <is>
          <t>OP03470</t>
        </is>
      </c>
      <c r="B370">
        <f>VLOOKUP(A370,Reseller!G:H,2,0)</f>
        <v/>
      </c>
      <c r="C370" t="inlineStr">
        <is>
          <t>ONLINE</t>
        </is>
      </c>
      <c r="G370" s="34">
        <f>VLOOKUP(Table4[[#This Row],[AGEN ID]],Reseller!A:E,5,0)</f>
        <v/>
      </c>
    </row>
    <row r="371">
      <c r="A371" t="inlineStr">
        <is>
          <t>OP03472</t>
        </is>
      </c>
      <c r="B371">
        <f>VLOOKUP(A371,Reseller!G:H,2,0)</f>
        <v/>
      </c>
      <c r="C371" t="inlineStr">
        <is>
          <t>ONLINE</t>
        </is>
      </c>
      <c r="G371" s="34">
        <f>VLOOKUP(Table4[[#This Row],[AGEN ID]],Reseller!A:E,5,0)</f>
        <v/>
      </c>
    </row>
    <row r="372">
      <c r="A372" t="inlineStr">
        <is>
          <t>OP03493</t>
        </is>
      </c>
      <c r="B372">
        <f>VLOOKUP(A372,Reseller!G:H,2,0)</f>
        <v/>
      </c>
      <c r="C372" t="inlineStr">
        <is>
          <t>ONLINE</t>
        </is>
      </c>
      <c r="G372" s="34">
        <f>VLOOKUP(Table4[[#This Row],[AGEN ID]],Reseller!A:E,5,0)</f>
        <v/>
      </c>
    </row>
    <row r="373">
      <c r="A373" t="inlineStr">
        <is>
          <t>OP03503</t>
        </is>
      </c>
      <c r="B373">
        <f>VLOOKUP(A373,Reseller!G:H,2,0)</f>
        <v/>
      </c>
      <c r="C373" t="inlineStr">
        <is>
          <t>ONLINE</t>
        </is>
      </c>
      <c r="G373" s="34">
        <f>VLOOKUP(Table4[[#This Row],[AGEN ID]],Reseller!A:E,5,0)</f>
        <v/>
      </c>
    </row>
    <row r="374">
      <c r="A374" t="inlineStr">
        <is>
          <t>OP03531</t>
        </is>
      </c>
      <c r="B374">
        <f>VLOOKUP(A374,Reseller!G:H,2,0)</f>
        <v/>
      </c>
      <c r="C374" t="inlineStr">
        <is>
          <t>ONLINE</t>
        </is>
      </c>
      <c r="G374" s="34">
        <f>VLOOKUP(Table4[[#This Row],[AGEN ID]],Reseller!A:E,5,0)</f>
        <v/>
      </c>
    </row>
    <row r="375">
      <c r="A375" t="inlineStr">
        <is>
          <t>OP03562</t>
        </is>
      </c>
      <c r="B375">
        <f>VLOOKUP(A375,Reseller!G:H,2,0)</f>
        <v/>
      </c>
      <c r="C375" t="inlineStr">
        <is>
          <t>ONLINE</t>
        </is>
      </c>
      <c r="G375" s="34">
        <f>VLOOKUP(Table4[[#This Row],[AGEN ID]],Reseller!A:E,5,0)</f>
        <v/>
      </c>
    </row>
    <row r="376">
      <c r="A376" t="inlineStr">
        <is>
          <t>OP03563</t>
        </is>
      </c>
      <c r="B376">
        <f>VLOOKUP(A376,Reseller!G:H,2,0)</f>
        <v/>
      </c>
      <c r="C376" t="inlineStr">
        <is>
          <t>ONLINE</t>
        </is>
      </c>
      <c r="G376" s="34">
        <f>VLOOKUP(Table4[[#This Row],[AGEN ID]],Reseller!A:E,5,0)</f>
        <v/>
      </c>
    </row>
    <row r="377">
      <c r="A377" t="inlineStr">
        <is>
          <t>OP03564</t>
        </is>
      </c>
      <c r="B377">
        <f>VLOOKUP(A377,Reseller!G:H,2,0)</f>
        <v/>
      </c>
      <c r="C377" t="inlineStr">
        <is>
          <t>ONLINE</t>
        </is>
      </c>
      <c r="G377" s="34">
        <f>VLOOKUP(Table4[[#This Row],[AGEN ID]],Reseller!A:E,5,0)</f>
        <v/>
      </c>
    </row>
    <row r="378">
      <c r="A378" t="inlineStr">
        <is>
          <t>OP03577</t>
        </is>
      </c>
      <c r="B378">
        <f>VLOOKUP(A378,Reseller!G:H,2,0)</f>
        <v/>
      </c>
      <c r="C378" t="inlineStr">
        <is>
          <t>ONLINE</t>
        </is>
      </c>
      <c r="G378" s="34">
        <f>VLOOKUP(Table4[[#This Row],[AGEN ID]],Reseller!A:E,5,0)</f>
        <v/>
      </c>
    </row>
    <row r="379">
      <c r="A379" t="inlineStr">
        <is>
          <t>OP03600</t>
        </is>
      </c>
      <c r="B379">
        <f>VLOOKUP(A379,Reseller!G:H,2,0)</f>
        <v/>
      </c>
      <c r="C379" t="inlineStr">
        <is>
          <t>ONLINE</t>
        </is>
      </c>
      <c r="G379" s="34">
        <f>VLOOKUP(Table4[[#This Row],[AGEN ID]],Reseller!A:E,5,0)</f>
        <v/>
      </c>
    </row>
    <row r="380">
      <c r="A380" t="inlineStr">
        <is>
          <t>OP03623</t>
        </is>
      </c>
      <c r="B380">
        <f>VLOOKUP(A380,Reseller!G:H,2,0)</f>
        <v/>
      </c>
      <c r="C380" t="inlineStr">
        <is>
          <t>ONLINE</t>
        </is>
      </c>
      <c r="G380" s="34">
        <f>VLOOKUP(Table4[[#This Row],[AGEN ID]],Reseller!A:E,5,0)</f>
        <v/>
      </c>
    </row>
    <row r="381">
      <c r="A381" t="inlineStr">
        <is>
          <t>OP03624</t>
        </is>
      </c>
      <c r="B381">
        <f>VLOOKUP(A381,Reseller!G:H,2,0)</f>
        <v/>
      </c>
      <c r="C381" t="inlineStr">
        <is>
          <t>ONLINE</t>
        </is>
      </c>
      <c r="G381" s="34">
        <f>VLOOKUP(Table4[[#This Row],[AGEN ID]],Reseller!A:E,5,0)</f>
        <v/>
      </c>
    </row>
    <row r="382">
      <c r="A382" t="inlineStr">
        <is>
          <t>OP03630</t>
        </is>
      </c>
      <c r="B382">
        <f>VLOOKUP(A382,Reseller!G:H,2,0)</f>
        <v/>
      </c>
      <c r="C382" t="inlineStr">
        <is>
          <t>ONLINE</t>
        </is>
      </c>
      <c r="G382" s="34">
        <f>VLOOKUP(Table4[[#This Row],[AGEN ID]],Reseller!A:E,5,0)</f>
        <v/>
      </c>
    </row>
    <row r="383">
      <c r="A383" t="inlineStr">
        <is>
          <t>OP03633</t>
        </is>
      </c>
      <c r="B383">
        <f>VLOOKUP(A383,Reseller!G:H,2,0)</f>
        <v/>
      </c>
      <c r="C383" t="inlineStr">
        <is>
          <t>ONLINE</t>
        </is>
      </c>
      <c r="G383" s="34">
        <f>VLOOKUP(Table4[[#This Row],[AGEN ID]],Reseller!A:E,5,0)</f>
        <v/>
      </c>
    </row>
    <row r="384">
      <c r="A384" t="inlineStr">
        <is>
          <t>OP03639</t>
        </is>
      </c>
      <c r="B384">
        <f>VLOOKUP(A384,Reseller!G:H,2,0)</f>
        <v/>
      </c>
      <c r="C384" t="inlineStr">
        <is>
          <t>ONLINE</t>
        </is>
      </c>
      <c r="G384" s="34">
        <f>VLOOKUP(Table4[[#This Row],[AGEN ID]],Reseller!A:E,5,0)</f>
        <v/>
      </c>
    </row>
    <row r="385">
      <c r="A385" t="inlineStr">
        <is>
          <t>OP03675</t>
        </is>
      </c>
      <c r="B385">
        <f>VLOOKUP(A385,Reseller!G:H,2,0)</f>
        <v/>
      </c>
      <c r="C385" t="inlineStr">
        <is>
          <t>ONLINE</t>
        </is>
      </c>
      <c r="G385" s="34">
        <f>VLOOKUP(Table4[[#This Row],[AGEN ID]],Reseller!A:E,5,0)</f>
        <v/>
      </c>
    </row>
    <row r="386">
      <c r="A386" t="inlineStr">
        <is>
          <t>OP03693</t>
        </is>
      </c>
      <c r="B386">
        <f>VLOOKUP(A386,Reseller!G:H,2,0)</f>
        <v/>
      </c>
      <c r="C386" t="inlineStr">
        <is>
          <t>ONLINE</t>
        </is>
      </c>
      <c r="G386" s="34">
        <f>VLOOKUP(Table4[[#This Row],[AGEN ID]],Reseller!A:E,5,0)</f>
        <v/>
      </c>
    </row>
    <row r="387">
      <c r="A387" t="inlineStr">
        <is>
          <t>OP03699</t>
        </is>
      </c>
      <c r="B387">
        <f>VLOOKUP(A387,Reseller!G:H,2,0)</f>
        <v/>
      </c>
      <c r="C387" t="inlineStr">
        <is>
          <t>ONLINE</t>
        </is>
      </c>
      <c r="G387" s="34">
        <f>VLOOKUP(Table4[[#This Row],[AGEN ID]],Reseller!A:E,5,0)</f>
        <v/>
      </c>
    </row>
    <row r="388">
      <c r="A388" t="inlineStr">
        <is>
          <t>OP03703</t>
        </is>
      </c>
      <c r="B388">
        <f>VLOOKUP(A388,Reseller!G:H,2,0)</f>
        <v/>
      </c>
      <c r="C388" t="inlineStr">
        <is>
          <t>ONLINE</t>
        </is>
      </c>
      <c r="G388" s="34">
        <f>VLOOKUP(Table4[[#This Row],[AGEN ID]],Reseller!A:E,5,0)</f>
        <v/>
      </c>
    </row>
    <row r="389">
      <c r="A389" t="inlineStr">
        <is>
          <t>OP03706</t>
        </is>
      </c>
      <c r="B389">
        <f>VLOOKUP(A389,Reseller!G:H,2,0)</f>
        <v/>
      </c>
      <c r="C389" t="inlineStr">
        <is>
          <t>ONLINE</t>
        </is>
      </c>
      <c r="G389" s="34">
        <f>VLOOKUP(Table4[[#This Row],[AGEN ID]],Reseller!A:E,5,0)</f>
        <v/>
      </c>
    </row>
    <row r="390">
      <c r="A390" t="inlineStr">
        <is>
          <t>OP03708</t>
        </is>
      </c>
      <c r="B390">
        <f>VLOOKUP(A390,Reseller!G:H,2,0)</f>
        <v/>
      </c>
      <c r="C390" t="inlineStr">
        <is>
          <t>ONLINE</t>
        </is>
      </c>
      <c r="G390" s="34">
        <f>VLOOKUP(Table4[[#This Row],[AGEN ID]],Reseller!A:E,5,0)</f>
        <v/>
      </c>
    </row>
    <row r="391">
      <c r="A391" t="inlineStr">
        <is>
          <t>OP03711</t>
        </is>
      </c>
      <c r="B391">
        <f>VLOOKUP(A391,Reseller!G:H,2,0)</f>
        <v/>
      </c>
      <c r="C391" t="inlineStr">
        <is>
          <t>ONLINE</t>
        </is>
      </c>
      <c r="G391" s="34">
        <f>VLOOKUP(Table4[[#This Row],[AGEN ID]],Reseller!A:E,5,0)</f>
        <v/>
      </c>
    </row>
    <row r="392">
      <c r="A392" t="inlineStr">
        <is>
          <t>OP03719</t>
        </is>
      </c>
      <c r="B392">
        <f>VLOOKUP(A392,Reseller!G:H,2,0)</f>
        <v/>
      </c>
      <c r="C392" t="inlineStr">
        <is>
          <t>ONLINE</t>
        </is>
      </c>
      <c r="G392" s="34">
        <f>VLOOKUP(Table4[[#This Row],[AGEN ID]],Reseller!A:E,5,0)</f>
        <v/>
      </c>
    </row>
    <row r="393">
      <c r="A393" t="inlineStr">
        <is>
          <t>OP03722</t>
        </is>
      </c>
      <c r="B393">
        <f>VLOOKUP(A393,Reseller!G:H,2,0)</f>
        <v/>
      </c>
      <c r="C393" t="inlineStr">
        <is>
          <t>ONLINE</t>
        </is>
      </c>
      <c r="G393" s="34">
        <f>VLOOKUP(Table4[[#This Row],[AGEN ID]],Reseller!A:E,5,0)</f>
        <v/>
      </c>
    </row>
    <row r="394">
      <c r="A394" t="inlineStr">
        <is>
          <t>OP03736</t>
        </is>
      </c>
      <c r="B394">
        <f>VLOOKUP(A394,Reseller!G:H,2,0)</f>
        <v/>
      </c>
      <c r="C394" t="inlineStr">
        <is>
          <t>ONLINE</t>
        </is>
      </c>
      <c r="G394" s="34">
        <f>VLOOKUP(Table4[[#This Row],[AGEN ID]],Reseller!A:E,5,0)</f>
        <v/>
      </c>
    </row>
    <row r="395">
      <c r="A395" t="inlineStr">
        <is>
          <t>OP03757</t>
        </is>
      </c>
      <c r="B395">
        <f>VLOOKUP(A395,Reseller!G:H,2,0)</f>
        <v/>
      </c>
      <c r="C395" t="inlineStr">
        <is>
          <t>ONLINE</t>
        </is>
      </c>
      <c r="G395" s="34">
        <f>VLOOKUP(Table4[[#This Row],[AGEN ID]],Reseller!A:E,5,0)</f>
        <v/>
      </c>
    </row>
    <row r="396">
      <c r="A396" t="inlineStr">
        <is>
          <t>OP03805</t>
        </is>
      </c>
      <c r="B396">
        <f>VLOOKUP(A396,Reseller!G:H,2,0)</f>
        <v/>
      </c>
      <c r="C396" t="inlineStr">
        <is>
          <t>ONLINE</t>
        </is>
      </c>
      <c r="G396" s="34">
        <f>VLOOKUP(Table4[[#This Row],[AGEN ID]],Reseller!A:E,5,0)</f>
        <v/>
      </c>
    </row>
    <row r="397">
      <c r="A397" t="inlineStr">
        <is>
          <t>OP03810</t>
        </is>
      </c>
      <c r="B397">
        <f>VLOOKUP(A397,Reseller!G:H,2,0)</f>
        <v/>
      </c>
      <c r="C397" t="inlineStr">
        <is>
          <t>ONLINE</t>
        </is>
      </c>
      <c r="G397" s="34">
        <f>VLOOKUP(Table4[[#This Row],[AGEN ID]],Reseller!A:E,5,0)</f>
        <v/>
      </c>
    </row>
    <row r="398">
      <c r="A398" t="inlineStr">
        <is>
          <t>OP03814</t>
        </is>
      </c>
      <c r="B398">
        <f>VLOOKUP(A398,Reseller!G:H,2,0)</f>
        <v/>
      </c>
      <c r="C398" t="inlineStr">
        <is>
          <t>ONLINE</t>
        </is>
      </c>
      <c r="G398" s="34">
        <f>VLOOKUP(Table4[[#This Row],[AGEN ID]],Reseller!A:E,5,0)</f>
        <v/>
      </c>
    </row>
    <row r="399">
      <c r="A399" t="inlineStr">
        <is>
          <t>OP03823</t>
        </is>
      </c>
      <c r="B399">
        <f>VLOOKUP(A399,Reseller!G:H,2,0)</f>
        <v/>
      </c>
      <c r="C399" t="inlineStr">
        <is>
          <t>ONLINE</t>
        </is>
      </c>
      <c r="G399" s="34">
        <f>VLOOKUP(Table4[[#This Row],[AGEN ID]],Reseller!A:E,5,0)</f>
        <v/>
      </c>
    </row>
    <row r="400">
      <c r="A400" t="inlineStr">
        <is>
          <t>OP03832</t>
        </is>
      </c>
      <c r="B400">
        <f>VLOOKUP(A400,Reseller!G:H,2,0)</f>
        <v/>
      </c>
      <c r="C400" t="inlineStr">
        <is>
          <t>ONLINE</t>
        </is>
      </c>
      <c r="G400" s="34">
        <f>VLOOKUP(Table4[[#This Row],[AGEN ID]],Reseller!A:E,5,0)</f>
        <v/>
      </c>
    </row>
    <row r="401">
      <c r="A401" t="inlineStr">
        <is>
          <t>OP03833</t>
        </is>
      </c>
      <c r="B401">
        <f>VLOOKUP(A401,Reseller!G:H,2,0)</f>
        <v/>
      </c>
      <c r="C401" t="inlineStr">
        <is>
          <t>ONLINE</t>
        </is>
      </c>
      <c r="G401" s="34">
        <f>VLOOKUP(Table4[[#This Row],[AGEN ID]],Reseller!A:E,5,0)</f>
        <v/>
      </c>
    </row>
    <row r="402">
      <c r="A402" t="inlineStr">
        <is>
          <t>OP03852</t>
        </is>
      </c>
      <c r="B402">
        <f>VLOOKUP(A402,Reseller!G:H,2,0)</f>
        <v/>
      </c>
      <c r="C402" t="inlineStr">
        <is>
          <t>ONLINE</t>
        </is>
      </c>
      <c r="G402" s="34">
        <f>VLOOKUP(Table4[[#This Row],[AGEN ID]],Reseller!A:E,5,0)</f>
        <v/>
      </c>
    </row>
    <row r="403">
      <c r="A403" t="inlineStr">
        <is>
          <t>OP03860</t>
        </is>
      </c>
      <c r="B403">
        <f>VLOOKUP(A403,Reseller!G:H,2,0)</f>
        <v/>
      </c>
      <c r="C403" t="inlineStr">
        <is>
          <t>ONLINE</t>
        </is>
      </c>
      <c r="G403" s="34">
        <f>VLOOKUP(Table4[[#This Row],[AGEN ID]],Reseller!A:E,5,0)</f>
        <v/>
      </c>
    </row>
    <row r="404">
      <c r="A404" t="inlineStr">
        <is>
          <t>OP03865</t>
        </is>
      </c>
      <c r="B404">
        <f>VLOOKUP(A404,Reseller!G:H,2,0)</f>
        <v/>
      </c>
      <c r="C404" t="inlineStr">
        <is>
          <t>ONLINE</t>
        </is>
      </c>
      <c r="G404" s="34">
        <f>VLOOKUP(Table4[[#This Row],[AGEN ID]],Reseller!A:E,5,0)</f>
        <v/>
      </c>
    </row>
    <row r="405">
      <c r="A405" t="inlineStr">
        <is>
          <t>OP03885</t>
        </is>
      </c>
      <c r="B405">
        <f>VLOOKUP(A405,Reseller!G:H,2,0)</f>
        <v/>
      </c>
      <c r="C405" t="inlineStr">
        <is>
          <t>ONLINE</t>
        </is>
      </c>
      <c r="G405" s="34">
        <f>VLOOKUP(Table4[[#This Row],[AGEN ID]],Reseller!A:E,5,0)</f>
        <v/>
      </c>
    </row>
    <row r="406">
      <c r="A406" t="inlineStr">
        <is>
          <t>OP03926</t>
        </is>
      </c>
      <c r="B406">
        <f>VLOOKUP(A406,Reseller!G:H,2,0)</f>
        <v/>
      </c>
      <c r="C406" t="inlineStr">
        <is>
          <t>ONLINE</t>
        </is>
      </c>
      <c r="G406" s="34">
        <f>VLOOKUP(Table4[[#This Row],[AGEN ID]],Reseller!A:E,5,0)</f>
        <v/>
      </c>
    </row>
    <row r="407">
      <c r="A407" t="inlineStr">
        <is>
          <t>OP03935</t>
        </is>
      </c>
      <c r="B407">
        <f>VLOOKUP(A407,Reseller!G:H,2,0)</f>
        <v/>
      </c>
      <c r="C407" t="inlineStr">
        <is>
          <t>ONLINE</t>
        </is>
      </c>
      <c r="G407" s="34">
        <f>VLOOKUP(Table4[[#This Row],[AGEN ID]],Reseller!A:E,5,0)</f>
        <v/>
      </c>
    </row>
    <row r="408">
      <c r="A408" t="inlineStr">
        <is>
          <t>OP03948</t>
        </is>
      </c>
      <c r="B408">
        <f>VLOOKUP(A408,Reseller!G:H,2,0)</f>
        <v/>
      </c>
      <c r="C408" t="inlineStr">
        <is>
          <t>ONLINE</t>
        </is>
      </c>
      <c r="G408" s="34">
        <f>VLOOKUP(Table4[[#This Row],[AGEN ID]],Reseller!A:E,5,0)</f>
        <v/>
      </c>
    </row>
    <row r="409">
      <c r="A409" t="inlineStr">
        <is>
          <t>OP03954</t>
        </is>
      </c>
      <c r="B409">
        <f>VLOOKUP(A409,Reseller!G:H,2,0)</f>
        <v/>
      </c>
      <c r="C409" t="inlineStr">
        <is>
          <t>ONLINE</t>
        </is>
      </c>
      <c r="G409" s="34">
        <f>VLOOKUP(Table4[[#This Row],[AGEN ID]],Reseller!A:E,5,0)</f>
        <v/>
      </c>
    </row>
    <row r="410">
      <c r="A410" t="inlineStr">
        <is>
          <t>OP03961</t>
        </is>
      </c>
      <c r="B410">
        <f>VLOOKUP(A410,Reseller!G:H,2,0)</f>
        <v/>
      </c>
      <c r="C410" t="inlineStr">
        <is>
          <t>ONLINE</t>
        </is>
      </c>
      <c r="G410" s="34">
        <f>VLOOKUP(Table4[[#This Row],[AGEN ID]],Reseller!A:E,5,0)</f>
        <v/>
      </c>
    </row>
    <row r="411">
      <c r="A411" t="inlineStr">
        <is>
          <t>OP03967</t>
        </is>
      </c>
      <c r="B411">
        <f>VLOOKUP(A411,Reseller!G:H,2,0)</f>
        <v/>
      </c>
      <c r="C411" t="inlineStr">
        <is>
          <t>ONLINE</t>
        </is>
      </c>
      <c r="G411" s="34">
        <f>VLOOKUP(Table4[[#This Row],[AGEN ID]],Reseller!A:E,5,0)</f>
        <v/>
      </c>
    </row>
    <row r="412">
      <c r="A412" t="inlineStr">
        <is>
          <t>OP03988</t>
        </is>
      </c>
      <c r="B412">
        <f>VLOOKUP(A412,Reseller!G:H,2,0)</f>
        <v/>
      </c>
      <c r="C412" t="inlineStr">
        <is>
          <t>ONLINE</t>
        </is>
      </c>
      <c r="G412" s="34">
        <f>VLOOKUP(Table4[[#This Row],[AGEN ID]],Reseller!A:E,5,0)</f>
        <v/>
      </c>
    </row>
    <row r="413">
      <c r="A413" t="inlineStr">
        <is>
          <t>OP04032</t>
        </is>
      </c>
      <c r="B413">
        <f>VLOOKUP(A413,Reseller!G:H,2,0)</f>
        <v/>
      </c>
      <c r="C413" t="inlineStr">
        <is>
          <t>ONLINE</t>
        </is>
      </c>
      <c r="G413" s="34">
        <f>VLOOKUP(Table4[[#This Row],[AGEN ID]],Reseller!A:E,5,0)</f>
        <v/>
      </c>
    </row>
    <row r="414">
      <c r="A414" t="inlineStr">
        <is>
          <t>OP04042</t>
        </is>
      </c>
      <c r="B414">
        <f>VLOOKUP(A414,Reseller!G:H,2,0)</f>
        <v/>
      </c>
      <c r="C414" t="inlineStr">
        <is>
          <t>ONLINE</t>
        </is>
      </c>
      <c r="G414" s="34">
        <f>VLOOKUP(Table4[[#This Row],[AGEN ID]],Reseller!A:E,5,0)</f>
        <v/>
      </c>
    </row>
    <row r="415">
      <c r="A415" t="inlineStr">
        <is>
          <t>OP04067</t>
        </is>
      </c>
      <c r="B415">
        <f>VLOOKUP(A415,Reseller!G:H,2,0)</f>
        <v/>
      </c>
      <c r="C415" t="inlineStr">
        <is>
          <t>ONLINE</t>
        </is>
      </c>
      <c r="G415" s="34">
        <f>VLOOKUP(Table4[[#This Row],[AGEN ID]],Reseller!A:E,5,0)</f>
        <v/>
      </c>
    </row>
    <row r="416">
      <c r="A416" t="inlineStr">
        <is>
          <t>OP04079</t>
        </is>
      </c>
      <c r="B416">
        <f>VLOOKUP(A416,Reseller!G:H,2,0)</f>
        <v/>
      </c>
      <c r="C416" t="inlineStr">
        <is>
          <t>ONLINE</t>
        </is>
      </c>
      <c r="G416" s="34">
        <f>VLOOKUP(Table4[[#This Row],[AGEN ID]],Reseller!A:E,5,0)</f>
        <v/>
      </c>
    </row>
    <row r="417">
      <c r="A417" t="inlineStr">
        <is>
          <t>OP04084</t>
        </is>
      </c>
      <c r="B417">
        <f>VLOOKUP(A417,Reseller!G:H,2,0)</f>
        <v/>
      </c>
      <c r="C417" t="inlineStr">
        <is>
          <t>ONLINE</t>
        </is>
      </c>
      <c r="G417" s="34">
        <f>VLOOKUP(Table4[[#This Row],[AGEN ID]],Reseller!A:E,5,0)</f>
        <v/>
      </c>
    </row>
    <row r="418">
      <c r="A418" t="inlineStr">
        <is>
          <t>OP04093</t>
        </is>
      </c>
      <c r="B418">
        <f>VLOOKUP(A418,Reseller!G:H,2,0)</f>
        <v/>
      </c>
      <c r="C418" t="inlineStr">
        <is>
          <t>ONLINE</t>
        </is>
      </c>
      <c r="G418" s="34">
        <f>VLOOKUP(Table4[[#This Row],[AGEN ID]],Reseller!A:E,5,0)</f>
        <v/>
      </c>
    </row>
    <row r="419">
      <c r="A419" t="inlineStr">
        <is>
          <t>OP04099</t>
        </is>
      </c>
      <c r="B419">
        <f>VLOOKUP(A419,Reseller!G:H,2,0)</f>
        <v/>
      </c>
      <c r="C419" t="inlineStr">
        <is>
          <t>ONLINE</t>
        </is>
      </c>
      <c r="G419" s="34">
        <f>VLOOKUP(Table4[[#This Row],[AGEN ID]],Reseller!A:E,5,0)</f>
        <v/>
      </c>
    </row>
    <row r="420">
      <c r="A420" t="inlineStr">
        <is>
          <t>OP04102</t>
        </is>
      </c>
      <c r="B420">
        <f>VLOOKUP(A420,Reseller!G:H,2,0)</f>
        <v/>
      </c>
      <c r="C420" t="inlineStr">
        <is>
          <t>ONLINE</t>
        </is>
      </c>
      <c r="G420" s="34">
        <f>VLOOKUP(Table4[[#This Row],[AGEN ID]],Reseller!A:E,5,0)</f>
        <v/>
      </c>
    </row>
    <row r="421">
      <c r="A421" t="inlineStr">
        <is>
          <t>OP04148</t>
        </is>
      </c>
      <c r="B421">
        <f>VLOOKUP(A421,Reseller!G:H,2,0)</f>
        <v/>
      </c>
      <c r="C421" t="inlineStr">
        <is>
          <t>ONLINE</t>
        </is>
      </c>
      <c r="G421" s="34">
        <f>VLOOKUP(Table4[[#This Row],[AGEN ID]],Reseller!A:E,5,0)</f>
        <v/>
      </c>
    </row>
    <row r="422">
      <c r="A422" t="inlineStr">
        <is>
          <t>OP04150</t>
        </is>
      </c>
      <c r="B422">
        <f>VLOOKUP(A422,Reseller!G:H,2,0)</f>
        <v/>
      </c>
      <c r="C422" t="inlineStr">
        <is>
          <t>ONLINE</t>
        </is>
      </c>
      <c r="G422" s="34">
        <f>VLOOKUP(Table4[[#This Row],[AGEN ID]],Reseller!A:E,5,0)</f>
        <v/>
      </c>
    </row>
    <row r="423">
      <c r="A423" t="inlineStr">
        <is>
          <t>OP04153</t>
        </is>
      </c>
      <c r="B423">
        <f>VLOOKUP(A423,Reseller!G:H,2,0)</f>
        <v/>
      </c>
      <c r="C423" t="inlineStr">
        <is>
          <t>ONLINE</t>
        </is>
      </c>
      <c r="G423" s="34">
        <f>VLOOKUP(Table4[[#This Row],[AGEN ID]],Reseller!A:E,5,0)</f>
        <v/>
      </c>
    </row>
    <row r="424">
      <c r="A424" t="inlineStr">
        <is>
          <t>OP04154</t>
        </is>
      </c>
      <c r="B424">
        <f>VLOOKUP(A424,Reseller!G:H,2,0)</f>
        <v/>
      </c>
      <c r="C424" t="inlineStr">
        <is>
          <t>ONLINE</t>
        </is>
      </c>
      <c r="G424" s="34">
        <f>VLOOKUP(Table4[[#This Row],[AGEN ID]],Reseller!A:E,5,0)</f>
        <v/>
      </c>
    </row>
    <row r="425">
      <c r="A425" t="inlineStr">
        <is>
          <t>OP04162</t>
        </is>
      </c>
      <c r="B425">
        <f>VLOOKUP(A425,Reseller!G:H,2,0)</f>
        <v/>
      </c>
      <c r="C425" t="inlineStr">
        <is>
          <t>ONLINE</t>
        </is>
      </c>
      <c r="G425" s="34">
        <f>VLOOKUP(Table4[[#This Row],[AGEN ID]],Reseller!A:E,5,0)</f>
        <v/>
      </c>
    </row>
    <row r="426">
      <c r="A426" t="inlineStr">
        <is>
          <t>OP04164</t>
        </is>
      </c>
      <c r="B426">
        <f>VLOOKUP(A426,Reseller!G:H,2,0)</f>
        <v/>
      </c>
      <c r="C426" t="inlineStr">
        <is>
          <t>ONLINE</t>
        </is>
      </c>
      <c r="G426" s="34">
        <f>VLOOKUP(Table4[[#This Row],[AGEN ID]],Reseller!A:E,5,0)</f>
        <v/>
      </c>
    </row>
    <row r="427">
      <c r="A427" t="inlineStr">
        <is>
          <t>OP04215</t>
        </is>
      </c>
      <c r="B427">
        <f>VLOOKUP(A427,Reseller!G:H,2,0)</f>
        <v/>
      </c>
      <c r="C427" t="inlineStr">
        <is>
          <t>ONLINE</t>
        </is>
      </c>
      <c r="G427" s="34">
        <f>VLOOKUP(Table4[[#This Row],[AGEN ID]],Reseller!A:E,5,0)</f>
        <v/>
      </c>
    </row>
    <row r="428">
      <c r="A428" t="inlineStr">
        <is>
          <t>OP04219</t>
        </is>
      </c>
      <c r="B428">
        <f>VLOOKUP(A428,Reseller!G:H,2,0)</f>
        <v/>
      </c>
      <c r="C428" t="inlineStr">
        <is>
          <t>ONLINE</t>
        </is>
      </c>
      <c r="G428" s="34">
        <f>VLOOKUP(Table4[[#This Row],[AGEN ID]],Reseller!A:E,5,0)</f>
        <v/>
      </c>
    </row>
    <row r="429">
      <c r="A429" t="inlineStr">
        <is>
          <t>OP04228</t>
        </is>
      </c>
      <c r="B429">
        <f>VLOOKUP(A429,Reseller!G:H,2,0)</f>
        <v/>
      </c>
      <c r="C429" t="inlineStr">
        <is>
          <t>ONLINE</t>
        </is>
      </c>
      <c r="G429" s="34">
        <f>VLOOKUP(Table4[[#This Row],[AGEN ID]],Reseller!A:E,5,0)</f>
        <v/>
      </c>
    </row>
    <row r="430">
      <c r="A430" t="inlineStr">
        <is>
          <t>OP04237</t>
        </is>
      </c>
      <c r="B430">
        <f>VLOOKUP(A430,Reseller!G:H,2,0)</f>
        <v/>
      </c>
      <c r="C430" t="inlineStr">
        <is>
          <t>ONLINE</t>
        </is>
      </c>
      <c r="G430" s="34">
        <f>VLOOKUP(Table4[[#This Row],[AGEN ID]],Reseller!A:E,5,0)</f>
        <v/>
      </c>
    </row>
    <row r="431">
      <c r="A431" t="inlineStr">
        <is>
          <t>OP04255</t>
        </is>
      </c>
      <c r="B431">
        <f>VLOOKUP(A431,Reseller!G:H,2,0)</f>
        <v/>
      </c>
      <c r="C431" t="inlineStr">
        <is>
          <t>ONLINE</t>
        </is>
      </c>
      <c r="G431" s="34">
        <f>VLOOKUP(Table4[[#This Row],[AGEN ID]],Reseller!A:E,5,0)</f>
        <v/>
      </c>
    </row>
    <row r="432">
      <c r="A432" t="inlineStr">
        <is>
          <t>OP04271</t>
        </is>
      </c>
      <c r="B432">
        <f>VLOOKUP(A432,Reseller!G:H,2,0)</f>
        <v/>
      </c>
      <c r="C432" t="inlineStr">
        <is>
          <t>ONLINE</t>
        </is>
      </c>
      <c r="G432" s="34">
        <f>VLOOKUP(Table4[[#This Row],[AGEN ID]],Reseller!A:E,5,0)</f>
        <v/>
      </c>
    </row>
    <row r="433">
      <c r="A433" t="inlineStr">
        <is>
          <t>OP04305</t>
        </is>
      </c>
      <c r="B433">
        <f>VLOOKUP(A433,Reseller!G:H,2,0)</f>
        <v/>
      </c>
      <c r="C433" t="inlineStr">
        <is>
          <t>ONLINE</t>
        </is>
      </c>
      <c r="G433" s="34">
        <f>VLOOKUP(Table4[[#This Row],[AGEN ID]],Reseller!A:E,5,0)</f>
        <v/>
      </c>
    </row>
    <row r="434">
      <c r="A434" t="inlineStr">
        <is>
          <t>OP04307</t>
        </is>
      </c>
      <c r="B434">
        <f>VLOOKUP(A434,Reseller!G:H,2,0)</f>
        <v/>
      </c>
      <c r="C434" t="inlineStr">
        <is>
          <t>ONLINE</t>
        </is>
      </c>
      <c r="G434" s="34">
        <f>VLOOKUP(Table4[[#This Row],[AGEN ID]],Reseller!A:E,5,0)</f>
        <v/>
      </c>
    </row>
    <row r="435">
      <c r="A435" t="inlineStr">
        <is>
          <t>OP04310</t>
        </is>
      </c>
      <c r="B435">
        <f>VLOOKUP(A435,Reseller!G:H,2,0)</f>
        <v/>
      </c>
      <c r="C435" t="inlineStr">
        <is>
          <t>ONLINE</t>
        </is>
      </c>
      <c r="G435" s="34">
        <f>VLOOKUP(Table4[[#This Row],[AGEN ID]],Reseller!A:E,5,0)</f>
        <v/>
      </c>
    </row>
    <row r="436">
      <c r="A436" t="inlineStr">
        <is>
          <t>OP04318</t>
        </is>
      </c>
      <c r="B436">
        <f>VLOOKUP(A436,Reseller!G:H,2,0)</f>
        <v/>
      </c>
      <c r="C436" t="inlineStr">
        <is>
          <t>ONLINE</t>
        </is>
      </c>
      <c r="G436" s="34">
        <f>VLOOKUP(Table4[[#This Row],[AGEN ID]],Reseller!A:E,5,0)</f>
        <v/>
      </c>
    </row>
    <row r="437">
      <c r="A437" t="inlineStr">
        <is>
          <t>OP04325</t>
        </is>
      </c>
      <c r="B437">
        <f>VLOOKUP(A437,Reseller!G:H,2,0)</f>
        <v/>
      </c>
      <c r="C437" t="inlineStr">
        <is>
          <t>ONLINE</t>
        </is>
      </c>
      <c r="G437" s="34">
        <f>VLOOKUP(Table4[[#This Row],[AGEN ID]],Reseller!A:E,5,0)</f>
        <v/>
      </c>
    </row>
    <row r="438">
      <c r="A438" t="inlineStr">
        <is>
          <t>OP04330</t>
        </is>
      </c>
      <c r="B438">
        <f>VLOOKUP(A438,Reseller!G:H,2,0)</f>
        <v/>
      </c>
      <c r="C438" t="inlineStr">
        <is>
          <t>ONLINE</t>
        </is>
      </c>
      <c r="G438" s="34">
        <f>VLOOKUP(Table4[[#This Row],[AGEN ID]],Reseller!A:E,5,0)</f>
        <v/>
      </c>
    </row>
    <row r="439">
      <c r="A439" t="inlineStr">
        <is>
          <t>OP04337</t>
        </is>
      </c>
      <c r="B439">
        <f>VLOOKUP(A439,Reseller!G:H,2,0)</f>
        <v/>
      </c>
      <c r="C439" t="inlineStr">
        <is>
          <t>ONLINE</t>
        </is>
      </c>
      <c r="G439" s="34">
        <f>VLOOKUP(Table4[[#This Row],[AGEN ID]],Reseller!A:E,5,0)</f>
        <v/>
      </c>
    </row>
    <row r="440">
      <c r="A440" t="inlineStr">
        <is>
          <t>OP04346</t>
        </is>
      </c>
      <c r="B440">
        <f>VLOOKUP(A440,Reseller!G:H,2,0)</f>
        <v/>
      </c>
      <c r="C440" t="inlineStr">
        <is>
          <t>ONLINE</t>
        </is>
      </c>
      <c r="G440" s="34">
        <f>VLOOKUP(Table4[[#This Row],[AGEN ID]],Reseller!A:E,5,0)</f>
        <v/>
      </c>
    </row>
    <row r="441">
      <c r="A441" t="inlineStr">
        <is>
          <t>OP04391</t>
        </is>
      </c>
      <c r="B441">
        <f>VLOOKUP(A441,Reseller!G:H,2,0)</f>
        <v/>
      </c>
      <c r="C441" t="inlineStr">
        <is>
          <t>ONLINE</t>
        </is>
      </c>
      <c r="G441" s="34">
        <f>VLOOKUP(Table4[[#This Row],[AGEN ID]],Reseller!A:E,5,0)</f>
        <v/>
      </c>
    </row>
    <row r="442">
      <c r="A442" t="inlineStr">
        <is>
          <t>OP04409</t>
        </is>
      </c>
      <c r="B442">
        <f>VLOOKUP(A442,Reseller!G:H,2,0)</f>
        <v/>
      </c>
      <c r="C442" t="inlineStr">
        <is>
          <t>ONLINE</t>
        </is>
      </c>
      <c r="G442" s="34">
        <f>VLOOKUP(Table4[[#This Row],[AGEN ID]],Reseller!A:E,5,0)</f>
        <v/>
      </c>
    </row>
    <row r="443">
      <c r="A443" t="inlineStr">
        <is>
          <t>OP04410</t>
        </is>
      </c>
      <c r="B443">
        <f>VLOOKUP(A443,Reseller!G:H,2,0)</f>
        <v/>
      </c>
      <c r="C443" t="inlineStr">
        <is>
          <t>ONLINE</t>
        </is>
      </c>
      <c r="G443" s="34">
        <f>VLOOKUP(Table4[[#This Row],[AGEN ID]],Reseller!A:E,5,0)</f>
        <v/>
      </c>
    </row>
    <row r="444">
      <c r="A444" t="inlineStr">
        <is>
          <t>OP04422</t>
        </is>
      </c>
      <c r="B444">
        <f>VLOOKUP(A444,Reseller!G:H,2,0)</f>
        <v/>
      </c>
      <c r="C444" t="inlineStr">
        <is>
          <t>ONLINE</t>
        </is>
      </c>
      <c r="G444" s="34">
        <f>VLOOKUP(Table4[[#This Row],[AGEN ID]],Reseller!A:E,5,0)</f>
        <v/>
      </c>
    </row>
    <row r="445">
      <c r="A445" t="inlineStr">
        <is>
          <t>OP04427</t>
        </is>
      </c>
      <c r="B445">
        <f>VLOOKUP(A445,Reseller!G:H,2,0)</f>
        <v/>
      </c>
      <c r="C445" t="inlineStr">
        <is>
          <t>ONLINE</t>
        </is>
      </c>
      <c r="G445" s="34">
        <f>VLOOKUP(Table4[[#This Row],[AGEN ID]],Reseller!A:E,5,0)</f>
        <v/>
      </c>
    </row>
    <row r="446">
      <c r="A446" t="inlineStr">
        <is>
          <t>OP04436</t>
        </is>
      </c>
      <c r="B446">
        <f>VLOOKUP(A446,Reseller!G:H,2,0)</f>
        <v/>
      </c>
      <c r="C446" t="inlineStr">
        <is>
          <t>ONLINE</t>
        </is>
      </c>
      <c r="G446" s="34">
        <f>VLOOKUP(Table4[[#This Row],[AGEN ID]],Reseller!A:E,5,0)</f>
        <v/>
      </c>
    </row>
    <row r="447">
      <c r="A447" t="inlineStr">
        <is>
          <t>OP04438</t>
        </is>
      </c>
      <c r="B447">
        <f>VLOOKUP(A447,Reseller!G:H,2,0)</f>
        <v/>
      </c>
      <c r="C447" t="inlineStr">
        <is>
          <t>ONLINE</t>
        </is>
      </c>
      <c r="G447" s="34">
        <f>VLOOKUP(Table4[[#This Row],[AGEN ID]],Reseller!A:E,5,0)</f>
        <v/>
      </c>
    </row>
    <row r="448">
      <c r="A448" t="inlineStr">
        <is>
          <t>OP04445</t>
        </is>
      </c>
      <c r="B448">
        <f>VLOOKUP(A448,Reseller!G:H,2,0)</f>
        <v/>
      </c>
      <c r="C448" t="inlineStr">
        <is>
          <t>ONLINE</t>
        </is>
      </c>
      <c r="G448" s="34">
        <f>VLOOKUP(Table4[[#This Row],[AGEN ID]],Reseller!A:E,5,0)</f>
        <v/>
      </c>
    </row>
    <row r="449">
      <c r="A449" t="inlineStr">
        <is>
          <t>OP04472</t>
        </is>
      </c>
      <c r="B449">
        <f>VLOOKUP(A449,Reseller!G:H,2,0)</f>
        <v/>
      </c>
      <c r="C449" t="inlineStr">
        <is>
          <t>ONLINE</t>
        </is>
      </c>
      <c r="G449" s="34">
        <f>VLOOKUP(Table4[[#This Row],[AGEN ID]],Reseller!A:E,5,0)</f>
        <v/>
      </c>
    </row>
    <row r="450">
      <c r="A450" t="inlineStr">
        <is>
          <t>OP04478</t>
        </is>
      </c>
      <c r="B450">
        <f>VLOOKUP(A450,Reseller!G:H,2,0)</f>
        <v/>
      </c>
      <c r="C450" t="inlineStr">
        <is>
          <t>ONLINE</t>
        </is>
      </c>
      <c r="G450" s="34">
        <f>VLOOKUP(Table4[[#This Row],[AGEN ID]],Reseller!A:E,5,0)</f>
        <v/>
      </c>
    </row>
    <row r="451">
      <c r="A451" t="inlineStr">
        <is>
          <t>OP04482</t>
        </is>
      </c>
      <c r="B451">
        <f>VLOOKUP(A451,Reseller!G:H,2,0)</f>
        <v/>
      </c>
      <c r="C451" t="inlineStr">
        <is>
          <t>ONLINE</t>
        </is>
      </c>
      <c r="G451" s="34">
        <f>VLOOKUP(Table4[[#This Row],[AGEN ID]],Reseller!A:E,5,0)</f>
        <v/>
      </c>
    </row>
    <row r="452">
      <c r="A452" t="inlineStr">
        <is>
          <t>OP04506</t>
        </is>
      </c>
      <c r="B452">
        <f>VLOOKUP(A452,Reseller!G:H,2,0)</f>
        <v/>
      </c>
      <c r="C452" t="inlineStr">
        <is>
          <t>ONLINE</t>
        </is>
      </c>
      <c r="G452" s="34">
        <f>VLOOKUP(Table4[[#This Row],[AGEN ID]],Reseller!A:E,5,0)</f>
        <v/>
      </c>
    </row>
    <row r="453">
      <c r="A453" t="inlineStr">
        <is>
          <t>OP04514</t>
        </is>
      </c>
      <c r="B453">
        <f>VLOOKUP(A453,Reseller!G:H,2,0)</f>
        <v/>
      </c>
      <c r="C453" t="inlineStr">
        <is>
          <t>ONLINE</t>
        </is>
      </c>
      <c r="G453" s="34">
        <f>VLOOKUP(Table4[[#This Row],[AGEN ID]],Reseller!A:E,5,0)</f>
        <v/>
      </c>
    </row>
    <row r="454">
      <c r="A454" t="inlineStr">
        <is>
          <t>OP04515</t>
        </is>
      </c>
      <c r="B454">
        <f>VLOOKUP(A454,Reseller!G:H,2,0)</f>
        <v/>
      </c>
      <c r="C454" t="inlineStr">
        <is>
          <t>ONLINE</t>
        </is>
      </c>
      <c r="G454" s="34">
        <f>VLOOKUP(Table4[[#This Row],[AGEN ID]],Reseller!A:E,5,0)</f>
        <v/>
      </c>
    </row>
    <row r="455">
      <c r="A455" t="inlineStr">
        <is>
          <t>OP04521</t>
        </is>
      </c>
      <c r="B455">
        <f>VLOOKUP(A455,Reseller!G:H,2,0)</f>
        <v/>
      </c>
      <c r="C455" t="inlineStr">
        <is>
          <t>ONLINE</t>
        </is>
      </c>
      <c r="G455" s="34">
        <f>VLOOKUP(Table4[[#This Row],[AGEN ID]],Reseller!A:E,5,0)</f>
        <v/>
      </c>
    </row>
    <row r="456">
      <c r="A456" t="inlineStr">
        <is>
          <t>OP04523</t>
        </is>
      </c>
      <c r="B456">
        <f>VLOOKUP(A456,Reseller!G:H,2,0)</f>
        <v/>
      </c>
      <c r="C456" t="inlineStr">
        <is>
          <t>ONLINE</t>
        </is>
      </c>
      <c r="G456" s="34">
        <f>VLOOKUP(Table4[[#This Row],[AGEN ID]],Reseller!A:E,5,0)</f>
        <v/>
      </c>
    </row>
    <row r="457">
      <c r="A457" t="inlineStr">
        <is>
          <t>OP04551</t>
        </is>
      </c>
      <c r="B457">
        <f>VLOOKUP(A457,Reseller!G:H,2,0)</f>
        <v/>
      </c>
      <c r="C457" t="inlineStr">
        <is>
          <t>ONLINE</t>
        </is>
      </c>
      <c r="G457" s="34">
        <f>VLOOKUP(Table4[[#This Row],[AGEN ID]],Reseller!A:E,5,0)</f>
        <v/>
      </c>
    </row>
    <row r="458">
      <c r="A458" t="inlineStr">
        <is>
          <t>OP04563</t>
        </is>
      </c>
      <c r="B458">
        <f>VLOOKUP(A458,Reseller!G:H,2,0)</f>
        <v/>
      </c>
      <c r="C458" t="inlineStr">
        <is>
          <t>ONLINE</t>
        </is>
      </c>
      <c r="G458" s="34">
        <f>VLOOKUP(Table4[[#This Row],[AGEN ID]],Reseller!A:E,5,0)</f>
        <v/>
      </c>
    </row>
    <row r="459">
      <c r="A459" t="inlineStr">
        <is>
          <t>OP04565</t>
        </is>
      </c>
      <c r="B459">
        <f>VLOOKUP(A459,Reseller!G:H,2,0)</f>
        <v/>
      </c>
      <c r="C459" t="inlineStr">
        <is>
          <t>ONLINE</t>
        </is>
      </c>
      <c r="G459" s="34">
        <f>VLOOKUP(Table4[[#This Row],[AGEN ID]],Reseller!A:E,5,0)</f>
        <v/>
      </c>
    </row>
    <row r="460">
      <c r="A460" t="inlineStr">
        <is>
          <t>OP04583</t>
        </is>
      </c>
      <c r="B460">
        <f>VLOOKUP(A460,Reseller!G:H,2,0)</f>
        <v/>
      </c>
      <c r="C460" t="inlineStr">
        <is>
          <t>ONLINE</t>
        </is>
      </c>
      <c r="G460" s="34">
        <f>VLOOKUP(Table4[[#This Row],[AGEN ID]],Reseller!A:E,5,0)</f>
        <v/>
      </c>
    </row>
    <row r="461">
      <c r="A461" t="inlineStr">
        <is>
          <t>OP04592</t>
        </is>
      </c>
      <c r="B461">
        <f>VLOOKUP(A461,Reseller!G:H,2,0)</f>
        <v/>
      </c>
      <c r="C461" t="inlineStr">
        <is>
          <t>ONLINE</t>
        </is>
      </c>
      <c r="G461" s="34">
        <f>VLOOKUP(Table4[[#This Row],[AGEN ID]],Reseller!A:E,5,0)</f>
        <v/>
      </c>
    </row>
    <row r="462">
      <c r="A462" t="inlineStr">
        <is>
          <t>OP04595</t>
        </is>
      </c>
      <c r="B462">
        <f>VLOOKUP(A462,Reseller!G:H,2,0)</f>
        <v/>
      </c>
      <c r="C462" t="inlineStr">
        <is>
          <t>ONLINE</t>
        </is>
      </c>
      <c r="G462" s="34">
        <f>VLOOKUP(Table4[[#This Row],[AGEN ID]],Reseller!A:E,5,0)</f>
        <v/>
      </c>
    </row>
    <row r="463">
      <c r="A463" t="inlineStr">
        <is>
          <t>OP04601</t>
        </is>
      </c>
      <c r="B463">
        <f>VLOOKUP(A463,Reseller!G:H,2,0)</f>
        <v/>
      </c>
      <c r="C463" t="inlineStr">
        <is>
          <t>ONLINE</t>
        </is>
      </c>
      <c r="G463" s="34">
        <f>VLOOKUP(Table4[[#This Row],[AGEN ID]],Reseller!A:E,5,0)</f>
        <v/>
      </c>
    </row>
    <row r="464">
      <c r="A464" t="inlineStr">
        <is>
          <t>OP04610</t>
        </is>
      </c>
      <c r="B464">
        <f>VLOOKUP(A464,Reseller!G:H,2,0)</f>
        <v/>
      </c>
      <c r="C464" t="inlineStr">
        <is>
          <t>ONLINE</t>
        </is>
      </c>
      <c r="G464" s="34">
        <f>VLOOKUP(Table4[[#This Row],[AGEN ID]],Reseller!A:E,5,0)</f>
        <v/>
      </c>
    </row>
    <row r="465">
      <c r="A465" t="inlineStr">
        <is>
          <t>OP04617</t>
        </is>
      </c>
      <c r="B465">
        <f>VLOOKUP(A465,Reseller!G:H,2,0)</f>
        <v/>
      </c>
      <c r="C465" t="inlineStr">
        <is>
          <t>ONLINE</t>
        </is>
      </c>
      <c r="G465" s="34">
        <f>VLOOKUP(Table4[[#This Row],[AGEN ID]],Reseller!A:E,5,0)</f>
        <v/>
      </c>
    </row>
    <row r="466">
      <c r="A466" t="inlineStr">
        <is>
          <t>OP04619</t>
        </is>
      </c>
      <c r="B466">
        <f>VLOOKUP(A466,Reseller!G:H,2,0)</f>
        <v/>
      </c>
      <c r="C466" t="inlineStr">
        <is>
          <t>ONLINE</t>
        </is>
      </c>
      <c r="G466" s="34">
        <f>VLOOKUP(Table4[[#This Row],[AGEN ID]],Reseller!A:E,5,0)</f>
        <v/>
      </c>
    </row>
    <row r="467">
      <c r="A467" t="inlineStr">
        <is>
          <t>OP04627</t>
        </is>
      </c>
      <c r="B467">
        <f>VLOOKUP(A467,Reseller!G:H,2,0)</f>
        <v/>
      </c>
      <c r="C467" t="inlineStr">
        <is>
          <t>ONLINE</t>
        </is>
      </c>
      <c r="G467" s="34">
        <f>VLOOKUP(Table4[[#This Row],[AGEN ID]],Reseller!A:E,5,0)</f>
        <v/>
      </c>
    </row>
    <row r="468">
      <c r="A468" t="inlineStr">
        <is>
          <t>OP04634</t>
        </is>
      </c>
      <c r="B468">
        <f>VLOOKUP(A468,Reseller!G:H,2,0)</f>
        <v/>
      </c>
      <c r="C468" t="inlineStr">
        <is>
          <t>ONLINE</t>
        </is>
      </c>
      <c r="G468" s="34">
        <f>VLOOKUP(Table4[[#This Row],[AGEN ID]],Reseller!A:E,5,0)</f>
        <v/>
      </c>
    </row>
    <row r="469">
      <c r="A469" t="inlineStr">
        <is>
          <t>OP04635</t>
        </is>
      </c>
      <c r="B469">
        <f>VLOOKUP(A469,Reseller!G:H,2,0)</f>
        <v/>
      </c>
      <c r="C469" t="inlineStr">
        <is>
          <t>ONLINE</t>
        </is>
      </c>
      <c r="G469" s="34">
        <f>VLOOKUP(Table4[[#This Row],[AGEN ID]],Reseller!A:E,5,0)</f>
        <v/>
      </c>
    </row>
    <row r="470">
      <c r="A470" t="inlineStr">
        <is>
          <t>OP04644</t>
        </is>
      </c>
      <c r="B470">
        <f>VLOOKUP(A470,Reseller!G:H,2,0)</f>
        <v/>
      </c>
      <c r="C470" t="inlineStr">
        <is>
          <t>ONLINE</t>
        </is>
      </c>
      <c r="G470" s="34">
        <f>VLOOKUP(Table4[[#This Row],[AGEN ID]],Reseller!A:E,5,0)</f>
        <v/>
      </c>
    </row>
    <row r="471">
      <c r="A471" t="inlineStr">
        <is>
          <t>OP04667</t>
        </is>
      </c>
      <c r="B471">
        <f>VLOOKUP(A471,Reseller!G:H,2,0)</f>
        <v/>
      </c>
      <c r="C471" t="inlineStr">
        <is>
          <t>ONLINE</t>
        </is>
      </c>
      <c r="G471" s="34">
        <f>VLOOKUP(Table4[[#This Row],[AGEN ID]],Reseller!A:E,5,0)</f>
        <v/>
      </c>
    </row>
    <row r="472">
      <c r="A472" t="inlineStr">
        <is>
          <t>OP04670</t>
        </is>
      </c>
      <c r="B472">
        <f>VLOOKUP(A472,Reseller!G:H,2,0)</f>
        <v/>
      </c>
      <c r="C472" t="inlineStr">
        <is>
          <t>ONLINE</t>
        </is>
      </c>
      <c r="G472" s="34">
        <f>VLOOKUP(Table4[[#This Row],[AGEN ID]],Reseller!A:E,5,0)</f>
        <v/>
      </c>
    </row>
    <row r="473">
      <c r="A473" t="inlineStr">
        <is>
          <t>OP04672</t>
        </is>
      </c>
      <c r="B473">
        <f>VLOOKUP(A473,Reseller!G:H,2,0)</f>
        <v/>
      </c>
      <c r="C473" t="inlineStr">
        <is>
          <t>ONLINE</t>
        </is>
      </c>
      <c r="G473" s="34">
        <f>VLOOKUP(Table4[[#This Row],[AGEN ID]],Reseller!A:E,5,0)</f>
        <v/>
      </c>
    </row>
    <row r="474">
      <c r="A474" t="inlineStr">
        <is>
          <t>OP04674</t>
        </is>
      </c>
      <c r="B474">
        <f>VLOOKUP(A474,Reseller!G:H,2,0)</f>
        <v/>
      </c>
      <c r="C474" t="inlineStr">
        <is>
          <t>ONLINE</t>
        </is>
      </c>
      <c r="G474" s="34">
        <f>VLOOKUP(Table4[[#This Row],[AGEN ID]],Reseller!A:E,5,0)</f>
        <v/>
      </c>
    </row>
    <row r="475">
      <c r="A475" t="inlineStr">
        <is>
          <t>OP04696</t>
        </is>
      </c>
      <c r="B475">
        <f>VLOOKUP(A475,Reseller!G:H,2,0)</f>
        <v/>
      </c>
      <c r="C475" t="inlineStr">
        <is>
          <t>ONLINE</t>
        </is>
      </c>
      <c r="G475" s="34">
        <f>VLOOKUP(Table4[[#This Row],[AGEN ID]],Reseller!A:E,5,0)</f>
        <v/>
      </c>
    </row>
    <row r="476">
      <c r="A476" t="inlineStr">
        <is>
          <t>OP04706</t>
        </is>
      </c>
      <c r="B476">
        <f>VLOOKUP(A476,Reseller!G:H,2,0)</f>
        <v/>
      </c>
      <c r="C476" t="inlineStr">
        <is>
          <t>ONLINE</t>
        </is>
      </c>
      <c r="G476" s="34">
        <f>VLOOKUP(Table4[[#This Row],[AGEN ID]],Reseller!A:E,5,0)</f>
        <v/>
      </c>
    </row>
    <row r="477">
      <c r="A477" t="inlineStr">
        <is>
          <t>OP04709</t>
        </is>
      </c>
      <c r="B477">
        <f>VLOOKUP(A477,Reseller!G:H,2,0)</f>
        <v/>
      </c>
      <c r="C477" t="inlineStr">
        <is>
          <t>ONLINE</t>
        </is>
      </c>
      <c r="G477" s="34">
        <f>VLOOKUP(Table4[[#This Row],[AGEN ID]],Reseller!A:E,5,0)</f>
        <v/>
      </c>
    </row>
    <row r="478">
      <c r="A478" t="inlineStr">
        <is>
          <t>OP04732</t>
        </is>
      </c>
      <c r="B478">
        <f>VLOOKUP(A478,Reseller!G:H,2,0)</f>
        <v/>
      </c>
      <c r="C478" t="inlineStr">
        <is>
          <t>ONLINE</t>
        </is>
      </c>
      <c r="G478" s="34">
        <f>VLOOKUP(Table4[[#This Row],[AGEN ID]],Reseller!A:E,5,0)</f>
        <v/>
      </c>
    </row>
    <row r="479">
      <c r="A479" t="inlineStr">
        <is>
          <t>OP04750</t>
        </is>
      </c>
      <c r="B479">
        <f>VLOOKUP(A479,Reseller!G:H,2,0)</f>
        <v/>
      </c>
      <c r="C479" t="inlineStr">
        <is>
          <t>ONLINE</t>
        </is>
      </c>
      <c r="G479" s="34">
        <f>VLOOKUP(Table4[[#This Row],[AGEN ID]],Reseller!A:E,5,0)</f>
        <v/>
      </c>
    </row>
    <row r="480">
      <c r="A480" t="inlineStr">
        <is>
          <t>OP04763</t>
        </is>
      </c>
      <c r="B480">
        <f>VLOOKUP(A480,Reseller!G:H,2,0)</f>
        <v/>
      </c>
      <c r="C480" t="inlineStr">
        <is>
          <t>ONLINE</t>
        </is>
      </c>
      <c r="G480" s="34">
        <f>VLOOKUP(Table4[[#This Row],[AGEN ID]],Reseller!A:E,5,0)</f>
        <v/>
      </c>
    </row>
    <row r="481">
      <c r="A481" t="inlineStr">
        <is>
          <t>OP04766</t>
        </is>
      </c>
      <c r="B481">
        <f>VLOOKUP(A481,Reseller!G:H,2,0)</f>
        <v/>
      </c>
      <c r="C481" t="inlineStr">
        <is>
          <t>ONLINE</t>
        </is>
      </c>
      <c r="G481" s="34">
        <f>VLOOKUP(Table4[[#This Row],[AGEN ID]],Reseller!A:E,5,0)</f>
        <v/>
      </c>
    </row>
    <row r="482">
      <c r="A482" t="inlineStr">
        <is>
          <t>OP04771</t>
        </is>
      </c>
      <c r="B482">
        <f>VLOOKUP(A482,Reseller!G:H,2,0)</f>
        <v/>
      </c>
      <c r="C482" t="inlineStr">
        <is>
          <t>ONLINE</t>
        </is>
      </c>
      <c r="G482" s="34">
        <f>VLOOKUP(Table4[[#This Row],[AGEN ID]],Reseller!A:E,5,0)</f>
        <v/>
      </c>
    </row>
    <row r="483">
      <c r="A483" t="inlineStr">
        <is>
          <t>OP04794</t>
        </is>
      </c>
      <c r="B483">
        <f>VLOOKUP(A483,Reseller!G:H,2,0)</f>
        <v/>
      </c>
      <c r="C483" t="inlineStr">
        <is>
          <t>ONLINE</t>
        </is>
      </c>
      <c r="G483" s="34">
        <f>VLOOKUP(Table4[[#This Row],[AGEN ID]],Reseller!A:E,5,0)</f>
        <v/>
      </c>
    </row>
    <row r="484">
      <c r="A484" t="inlineStr">
        <is>
          <t>OP04805</t>
        </is>
      </c>
      <c r="B484">
        <f>VLOOKUP(A484,Reseller!G:H,2,0)</f>
        <v/>
      </c>
      <c r="C484" t="inlineStr">
        <is>
          <t>ONLINE</t>
        </is>
      </c>
      <c r="G484" s="34">
        <f>VLOOKUP(Table4[[#This Row],[AGEN ID]],Reseller!A:E,5,0)</f>
        <v/>
      </c>
    </row>
    <row r="485">
      <c r="A485" t="inlineStr">
        <is>
          <t>OP04825</t>
        </is>
      </c>
      <c r="B485">
        <f>VLOOKUP(A485,Reseller!G:H,2,0)</f>
        <v/>
      </c>
      <c r="C485" t="inlineStr">
        <is>
          <t>ONLINE</t>
        </is>
      </c>
      <c r="G485" s="34">
        <f>VLOOKUP(Table4[[#This Row],[AGEN ID]],Reseller!A:E,5,0)</f>
        <v/>
      </c>
    </row>
    <row r="486">
      <c r="A486" t="inlineStr">
        <is>
          <t>OP04852</t>
        </is>
      </c>
      <c r="B486">
        <f>VLOOKUP(A486,Reseller!G:H,2,0)</f>
        <v/>
      </c>
      <c r="C486" t="inlineStr">
        <is>
          <t>ONLINE</t>
        </is>
      </c>
      <c r="G486" s="34">
        <f>VLOOKUP(Table4[[#This Row],[AGEN ID]],Reseller!A:E,5,0)</f>
        <v/>
      </c>
    </row>
    <row r="487">
      <c r="A487" t="inlineStr">
        <is>
          <t>OP04856</t>
        </is>
      </c>
      <c r="B487">
        <f>VLOOKUP(A487,Reseller!G:H,2,0)</f>
        <v/>
      </c>
      <c r="C487" t="inlineStr">
        <is>
          <t>ONLINE</t>
        </is>
      </c>
      <c r="G487" s="34">
        <f>VLOOKUP(Table4[[#This Row],[AGEN ID]],Reseller!A:E,5,0)</f>
        <v/>
      </c>
    </row>
    <row r="488">
      <c r="A488" t="inlineStr">
        <is>
          <t>OP04893</t>
        </is>
      </c>
      <c r="B488">
        <f>VLOOKUP(A488,Reseller!G:H,2,0)</f>
        <v/>
      </c>
      <c r="C488" t="inlineStr">
        <is>
          <t>ONLINE</t>
        </is>
      </c>
      <c r="G488" s="34">
        <f>VLOOKUP(Table4[[#This Row],[AGEN ID]],Reseller!A:E,5,0)</f>
        <v/>
      </c>
    </row>
    <row r="489">
      <c r="A489" t="inlineStr">
        <is>
          <t>OP04910</t>
        </is>
      </c>
      <c r="B489">
        <f>VLOOKUP(A489,Reseller!G:H,2,0)</f>
        <v/>
      </c>
      <c r="C489" t="inlineStr">
        <is>
          <t>ONLINE</t>
        </is>
      </c>
      <c r="G489" s="34">
        <f>VLOOKUP(Table4[[#This Row],[AGEN ID]],Reseller!A:E,5,0)</f>
        <v/>
      </c>
    </row>
    <row r="490">
      <c r="A490" t="inlineStr">
        <is>
          <t>OP04926</t>
        </is>
      </c>
      <c r="B490">
        <f>VLOOKUP(A490,Reseller!G:H,2,0)</f>
        <v/>
      </c>
      <c r="C490" t="inlineStr">
        <is>
          <t>ONLINE</t>
        </is>
      </c>
      <c r="G490" s="34">
        <f>VLOOKUP(Table4[[#This Row],[AGEN ID]],Reseller!A:E,5,0)</f>
        <v/>
      </c>
    </row>
    <row r="491">
      <c r="A491" t="inlineStr">
        <is>
          <t>OP04928</t>
        </is>
      </c>
      <c r="B491">
        <f>VLOOKUP(A491,Reseller!G:H,2,0)</f>
        <v/>
      </c>
      <c r="C491" t="inlineStr">
        <is>
          <t>ONLINE</t>
        </is>
      </c>
      <c r="G491" s="34">
        <f>VLOOKUP(Table4[[#This Row],[AGEN ID]],Reseller!A:E,5,0)</f>
        <v/>
      </c>
    </row>
    <row r="492">
      <c r="A492" t="inlineStr">
        <is>
          <t>OP04935</t>
        </is>
      </c>
      <c r="B492">
        <f>VLOOKUP(A492,Reseller!G:H,2,0)</f>
        <v/>
      </c>
      <c r="C492" t="inlineStr">
        <is>
          <t>ONLINE</t>
        </is>
      </c>
      <c r="G492" s="34">
        <f>VLOOKUP(Table4[[#This Row],[AGEN ID]],Reseller!A:E,5,0)</f>
        <v/>
      </c>
    </row>
    <row r="493">
      <c r="A493" t="inlineStr">
        <is>
          <t>OP04950</t>
        </is>
      </c>
      <c r="B493">
        <f>VLOOKUP(A493,Reseller!G:H,2,0)</f>
        <v/>
      </c>
      <c r="C493" t="inlineStr">
        <is>
          <t>ONLINE</t>
        </is>
      </c>
      <c r="G493" s="34">
        <f>VLOOKUP(Table4[[#This Row],[AGEN ID]],Reseller!A:E,5,0)</f>
        <v/>
      </c>
    </row>
    <row r="494">
      <c r="A494" t="inlineStr">
        <is>
          <t>OP04957</t>
        </is>
      </c>
      <c r="B494">
        <f>VLOOKUP(A494,Reseller!G:H,2,0)</f>
        <v/>
      </c>
      <c r="C494" t="inlineStr">
        <is>
          <t>ONLINE</t>
        </is>
      </c>
      <c r="G494" s="34">
        <f>VLOOKUP(Table4[[#This Row],[AGEN ID]],Reseller!A:E,5,0)</f>
        <v/>
      </c>
    </row>
    <row r="495">
      <c r="A495" t="inlineStr">
        <is>
          <t>OP04984</t>
        </is>
      </c>
      <c r="B495">
        <f>VLOOKUP(A495,Reseller!G:H,2,0)</f>
        <v/>
      </c>
      <c r="C495" t="inlineStr">
        <is>
          <t>ONLINE</t>
        </is>
      </c>
      <c r="G495" s="34">
        <f>VLOOKUP(Table4[[#This Row],[AGEN ID]],Reseller!A:E,5,0)</f>
        <v/>
      </c>
    </row>
    <row r="496">
      <c r="A496" t="inlineStr">
        <is>
          <t>OP04986</t>
        </is>
      </c>
      <c r="B496">
        <f>VLOOKUP(A496,Reseller!G:H,2,0)</f>
        <v/>
      </c>
      <c r="C496" t="inlineStr">
        <is>
          <t>ONLINE</t>
        </is>
      </c>
      <c r="G496" s="34">
        <f>VLOOKUP(Table4[[#This Row],[AGEN ID]],Reseller!A:E,5,0)</f>
        <v/>
      </c>
    </row>
    <row r="497">
      <c r="A497" t="inlineStr">
        <is>
          <t>OP05008</t>
        </is>
      </c>
      <c r="B497">
        <f>VLOOKUP(A497,Reseller!G:H,2,0)</f>
        <v/>
      </c>
      <c r="C497" t="inlineStr">
        <is>
          <t>ONLINE</t>
        </is>
      </c>
      <c r="G497" s="34">
        <f>VLOOKUP(Table4[[#This Row],[AGEN ID]],Reseller!A:E,5,0)</f>
        <v/>
      </c>
    </row>
    <row r="498">
      <c r="A498" t="inlineStr">
        <is>
          <t>OP05030</t>
        </is>
      </c>
      <c r="B498">
        <f>VLOOKUP(A498,Reseller!G:H,2,0)</f>
        <v/>
      </c>
      <c r="C498" t="inlineStr">
        <is>
          <t>ONLINE</t>
        </is>
      </c>
      <c r="G498" s="34">
        <f>VLOOKUP(Table4[[#This Row],[AGEN ID]],Reseller!A:E,5,0)</f>
        <v/>
      </c>
    </row>
    <row r="499">
      <c r="A499" t="inlineStr">
        <is>
          <t>OP05036</t>
        </is>
      </c>
      <c r="B499">
        <f>VLOOKUP(A499,Reseller!G:H,2,0)</f>
        <v/>
      </c>
      <c r="C499" t="inlineStr">
        <is>
          <t>ONLINE</t>
        </is>
      </c>
      <c r="G499" s="34">
        <f>VLOOKUP(Table4[[#This Row],[AGEN ID]],Reseller!A:E,5,0)</f>
        <v/>
      </c>
    </row>
    <row r="500">
      <c r="A500" t="inlineStr">
        <is>
          <t>OP05056</t>
        </is>
      </c>
      <c r="B500">
        <f>VLOOKUP(A500,Reseller!G:H,2,0)</f>
        <v/>
      </c>
      <c r="C500" t="inlineStr">
        <is>
          <t>ONLINE</t>
        </is>
      </c>
      <c r="G500" s="34">
        <f>VLOOKUP(Table4[[#This Row],[AGEN ID]],Reseller!A:E,5,0)</f>
        <v/>
      </c>
    </row>
    <row r="501">
      <c r="A501" t="inlineStr">
        <is>
          <t>OP05058</t>
        </is>
      </c>
      <c r="B501">
        <f>VLOOKUP(A501,Reseller!G:H,2,0)</f>
        <v/>
      </c>
      <c r="C501" t="inlineStr">
        <is>
          <t>ONLINE</t>
        </is>
      </c>
      <c r="G501" s="34">
        <f>VLOOKUP(Table4[[#This Row],[AGEN ID]],Reseller!A:E,5,0)</f>
        <v/>
      </c>
    </row>
    <row r="502">
      <c r="A502" t="inlineStr">
        <is>
          <t>OP05059</t>
        </is>
      </c>
      <c r="B502">
        <f>VLOOKUP(A502,Reseller!G:H,2,0)</f>
        <v/>
      </c>
      <c r="C502" t="inlineStr">
        <is>
          <t>ONLINE</t>
        </is>
      </c>
      <c r="G502" s="34">
        <f>VLOOKUP(Table4[[#This Row],[AGEN ID]],Reseller!A:E,5,0)</f>
        <v/>
      </c>
    </row>
    <row r="503">
      <c r="A503" t="inlineStr">
        <is>
          <t>OP05063</t>
        </is>
      </c>
      <c r="B503">
        <f>VLOOKUP(A503,Reseller!G:H,2,0)</f>
        <v/>
      </c>
      <c r="C503" t="inlineStr">
        <is>
          <t>ONLINE</t>
        </is>
      </c>
      <c r="G503" s="34">
        <f>VLOOKUP(Table4[[#This Row],[AGEN ID]],Reseller!A:E,5,0)</f>
        <v/>
      </c>
    </row>
    <row r="504">
      <c r="A504" t="inlineStr">
        <is>
          <t>OP05068</t>
        </is>
      </c>
      <c r="B504">
        <f>VLOOKUP(A504,Reseller!G:H,2,0)</f>
        <v/>
      </c>
      <c r="C504" t="inlineStr">
        <is>
          <t>ONLINE</t>
        </is>
      </c>
      <c r="G504" s="34">
        <f>VLOOKUP(Table4[[#This Row],[AGEN ID]],Reseller!A:E,5,0)</f>
        <v/>
      </c>
    </row>
    <row r="505">
      <c r="A505" t="inlineStr">
        <is>
          <t>OP05069</t>
        </is>
      </c>
      <c r="B505">
        <f>VLOOKUP(A505,Reseller!G:H,2,0)</f>
        <v/>
      </c>
      <c r="C505" t="inlineStr">
        <is>
          <t>ONLINE</t>
        </is>
      </c>
      <c r="G505" s="34">
        <f>VLOOKUP(Table4[[#This Row],[AGEN ID]],Reseller!A:E,5,0)</f>
        <v/>
      </c>
    </row>
    <row r="506">
      <c r="A506" t="inlineStr">
        <is>
          <t>OP05079</t>
        </is>
      </c>
      <c r="B506">
        <f>VLOOKUP(A506,Reseller!G:H,2,0)</f>
        <v/>
      </c>
      <c r="C506" t="inlineStr">
        <is>
          <t>ONLINE</t>
        </is>
      </c>
      <c r="G506" s="34">
        <f>VLOOKUP(Table4[[#This Row],[AGEN ID]],Reseller!A:E,5,0)</f>
        <v/>
      </c>
    </row>
    <row r="507">
      <c r="A507" t="inlineStr">
        <is>
          <t>OP05103</t>
        </is>
      </c>
      <c r="B507">
        <f>VLOOKUP(A507,Reseller!G:H,2,0)</f>
        <v/>
      </c>
      <c r="C507" t="inlineStr">
        <is>
          <t>ONLINE</t>
        </is>
      </c>
      <c r="G507" s="34">
        <f>VLOOKUP(Table4[[#This Row],[AGEN ID]],Reseller!A:E,5,0)</f>
        <v/>
      </c>
    </row>
    <row r="508">
      <c r="A508" t="inlineStr">
        <is>
          <t>OP05107</t>
        </is>
      </c>
      <c r="B508">
        <f>VLOOKUP(A508,Reseller!G:H,2,0)</f>
        <v/>
      </c>
      <c r="C508" t="inlineStr">
        <is>
          <t>ONLINE</t>
        </is>
      </c>
      <c r="G508" s="34">
        <f>VLOOKUP(Table4[[#This Row],[AGEN ID]],Reseller!A:E,5,0)</f>
        <v/>
      </c>
    </row>
    <row r="509">
      <c r="A509" t="inlineStr">
        <is>
          <t>OP05112</t>
        </is>
      </c>
      <c r="B509">
        <f>VLOOKUP(A509,Reseller!G:H,2,0)</f>
        <v/>
      </c>
      <c r="C509" t="inlineStr">
        <is>
          <t>ONLINE</t>
        </is>
      </c>
      <c r="G509" s="34">
        <f>VLOOKUP(Table4[[#This Row],[AGEN ID]],Reseller!A:E,5,0)</f>
        <v/>
      </c>
    </row>
    <row r="510">
      <c r="A510" t="inlineStr">
        <is>
          <t>OP05125</t>
        </is>
      </c>
      <c r="B510">
        <f>VLOOKUP(A510,Reseller!G:H,2,0)</f>
        <v/>
      </c>
      <c r="C510" t="inlineStr">
        <is>
          <t>ONLINE</t>
        </is>
      </c>
      <c r="G510" s="34">
        <f>VLOOKUP(Table4[[#This Row],[AGEN ID]],Reseller!A:E,5,0)</f>
        <v/>
      </c>
    </row>
    <row r="511">
      <c r="A511" t="inlineStr">
        <is>
          <t>OP05146</t>
        </is>
      </c>
      <c r="B511">
        <f>VLOOKUP(A511,Reseller!G:H,2,0)</f>
        <v/>
      </c>
      <c r="C511" t="inlineStr">
        <is>
          <t>ONLINE</t>
        </is>
      </c>
      <c r="G511" s="34">
        <f>VLOOKUP(Table4[[#This Row],[AGEN ID]],Reseller!A:E,5,0)</f>
        <v/>
      </c>
    </row>
    <row r="512">
      <c r="A512" t="inlineStr">
        <is>
          <t>OP05147</t>
        </is>
      </c>
      <c r="B512">
        <f>VLOOKUP(A512,Reseller!G:H,2,0)</f>
        <v/>
      </c>
      <c r="C512" t="inlineStr">
        <is>
          <t>ONLINE</t>
        </is>
      </c>
      <c r="G512" s="34">
        <f>VLOOKUP(Table4[[#This Row],[AGEN ID]],Reseller!A:E,5,0)</f>
        <v/>
      </c>
    </row>
    <row r="513">
      <c r="A513" t="inlineStr">
        <is>
          <t>OP05160</t>
        </is>
      </c>
      <c r="B513">
        <f>VLOOKUP(A513,Reseller!G:H,2,0)</f>
        <v/>
      </c>
      <c r="C513" t="inlineStr">
        <is>
          <t>ONLINE</t>
        </is>
      </c>
      <c r="G513" s="34">
        <f>VLOOKUP(Table4[[#This Row],[AGEN ID]],Reseller!A:E,5,0)</f>
        <v/>
      </c>
    </row>
    <row r="514">
      <c r="A514" t="inlineStr">
        <is>
          <t>OP05192</t>
        </is>
      </c>
      <c r="B514">
        <f>VLOOKUP(A514,Reseller!G:H,2,0)</f>
        <v/>
      </c>
      <c r="C514" t="inlineStr">
        <is>
          <t>ONLINE</t>
        </is>
      </c>
      <c r="G514" s="34">
        <f>VLOOKUP(Table4[[#This Row],[AGEN ID]],Reseller!A:E,5,0)</f>
        <v/>
      </c>
    </row>
    <row r="515">
      <c r="A515" t="inlineStr">
        <is>
          <t>OP05212</t>
        </is>
      </c>
      <c r="B515">
        <f>VLOOKUP(A515,Reseller!G:H,2,0)</f>
        <v/>
      </c>
      <c r="C515" t="inlineStr">
        <is>
          <t>ONLINE</t>
        </is>
      </c>
      <c r="G515" s="34">
        <f>VLOOKUP(Table4[[#This Row],[AGEN ID]],Reseller!A:E,5,0)</f>
        <v/>
      </c>
    </row>
    <row r="516">
      <c r="A516" t="inlineStr">
        <is>
          <t>OP05229</t>
        </is>
      </c>
      <c r="B516">
        <f>VLOOKUP(A516,Reseller!G:H,2,0)</f>
        <v/>
      </c>
      <c r="C516" t="inlineStr">
        <is>
          <t>ONLINE</t>
        </is>
      </c>
      <c r="G516" s="34">
        <f>VLOOKUP(Table4[[#This Row],[AGEN ID]],Reseller!A:E,5,0)</f>
        <v/>
      </c>
    </row>
    <row r="517">
      <c r="A517" t="inlineStr">
        <is>
          <t>OP05261</t>
        </is>
      </c>
      <c r="B517">
        <f>VLOOKUP(A517,Reseller!G:H,2,0)</f>
        <v/>
      </c>
      <c r="C517" t="inlineStr">
        <is>
          <t>ONLINE</t>
        </is>
      </c>
      <c r="G517" s="34">
        <f>VLOOKUP(Table4[[#This Row],[AGEN ID]],Reseller!A:E,5,0)</f>
        <v/>
      </c>
    </row>
    <row r="518">
      <c r="A518" t="inlineStr">
        <is>
          <t>OP05266</t>
        </is>
      </c>
      <c r="B518">
        <f>VLOOKUP(A518,Reseller!G:H,2,0)</f>
        <v/>
      </c>
      <c r="C518" t="inlineStr">
        <is>
          <t>ONLINE</t>
        </is>
      </c>
      <c r="G518" s="34">
        <f>VLOOKUP(Table4[[#This Row],[AGEN ID]],Reseller!A:E,5,0)</f>
        <v/>
      </c>
    </row>
    <row r="519">
      <c r="A519" t="inlineStr">
        <is>
          <t>OP05311</t>
        </is>
      </c>
      <c r="B519">
        <f>VLOOKUP(A519,Reseller!G:H,2,0)</f>
        <v/>
      </c>
      <c r="C519" t="inlineStr">
        <is>
          <t>ONLINE</t>
        </is>
      </c>
      <c r="G519" s="34">
        <f>VLOOKUP(Table4[[#This Row],[AGEN ID]],Reseller!A:E,5,0)</f>
        <v/>
      </c>
    </row>
    <row r="520">
      <c r="A520" t="inlineStr">
        <is>
          <t>OP05313</t>
        </is>
      </c>
      <c r="B520">
        <f>VLOOKUP(A520,Reseller!G:H,2,0)</f>
        <v/>
      </c>
      <c r="C520" t="inlineStr">
        <is>
          <t>ONLINE</t>
        </is>
      </c>
      <c r="G520" s="34">
        <f>VLOOKUP(Table4[[#This Row],[AGEN ID]],Reseller!A:E,5,0)</f>
        <v/>
      </c>
    </row>
    <row r="521">
      <c r="A521" t="inlineStr">
        <is>
          <t>OP05318</t>
        </is>
      </c>
      <c r="B521">
        <f>VLOOKUP(A521,Reseller!G:H,2,0)</f>
        <v/>
      </c>
      <c r="C521" t="inlineStr">
        <is>
          <t>ONLINE</t>
        </is>
      </c>
      <c r="G521" s="34">
        <f>VLOOKUP(Table4[[#This Row],[AGEN ID]],Reseller!A:E,5,0)</f>
        <v/>
      </c>
    </row>
    <row r="522">
      <c r="A522" t="inlineStr">
        <is>
          <t>OP05333</t>
        </is>
      </c>
      <c r="B522">
        <f>VLOOKUP(A522,Reseller!G:H,2,0)</f>
        <v/>
      </c>
      <c r="C522" t="inlineStr">
        <is>
          <t>ONLINE</t>
        </is>
      </c>
      <c r="G522" s="34">
        <f>VLOOKUP(Table4[[#This Row],[AGEN ID]],Reseller!A:E,5,0)</f>
        <v/>
      </c>
    </row>
    <row r="523">
      <c r="A523" t="inlineStr">
        <is>
          <t>OP05340</t>
        </is>
      </c>
      <c r="B523">
        <f>VLOOKUP(A523,Reseller!G:H,2,0)</f>
        <v/>
      </c>
      <c r="C523" t="inlineStr">
        <is>
          <t>ONLINE</t>
        </is>
      </c>
      <c r="G523" s="34">
        <f>VLOOKUP(Table4[[#This Row],[AGEN ID]],Reseller!A:E,5,0)</f>
        <v/>
      </c>
    </row>
    <row r="524">
      <c r="A524" t="inlineStr">
        <is>
          <t>OP05342</t>
        </is>
      </c>
      <c r="B524">
        <f>VLOOKUP(A524,Reseller!G:H,2,0)</f>
        <v/>
      </c>
      <c r="C524" t="inlineStr">
        <is>
          <t>ONLINE</t>
        </is>
      </c>
      <c r="G524" s="34">
        <f>VLOOKUP(Table4[[#This Row],[AGEN ID]],Reseller!A:E,5,0)</f>
        <v/>
      </c>
    </row>
    <row r="525">
      <c r="A525" t="inlineStr">
        <is>
          <t>OP05349</t>
        </is>
      </c>
      <c r="B525">
        <f>VLOOKUP(A525,Reseller!G:H,2,0)</f>
        <v/>
      </c>
      <c r="C525" t="inlineStr">
        <is>
          <t>ONLINE</t>
        </is>
      </c>
      <c r="G525" s="34">
        <f>VLOOKUP(Table4[[#This Row],[AGEN ID]],Reseller!A:E,5,0)</f>
        <v/>
      </c>
    </row>
    <row r="526">
      <c r="A526" t="inlineStr">
        <is>
          <t>OP05359</t>
        </is>
      </c>
      <c r="B526">
        <f>VLOOKUP(A526,Reseller!G:H,2,0)</f>
        <v/>
      </c>
      <c r="C526" t="inlineStr">
        <is>
          <t>ONLINE</t>
        </is>
      </c>
      <c r="G526" s="34">
        <f>VLOOKUP(Table4[[#This Row],[AGEN ID]],Reseller!A:E,5,0)</f>
        <v/>
      </c>
    </row>
    <row r="527">
      <c r="A527" t="inlineStr">
        <is>
          <t>OP05378</t>
        </is>
      </c>
      <c r="B527">
        <f>VLOOKUP(A527,Reseller!G:H,2,0)</f>
        <v/>
      </c>
      <c r="C527" t="inlineStr">
        <is>
          <t>ONLINE</t>
        </is>
      </c>
      <c r="G527" s="34">
        <f>VLOOKUP(Table4[[#This Row],[AGEN ID]],Reseller!A:E,5,0)</f>
        <v/>
      </c>
    </row>
    <row r="528">
      <c r="A528" t="inlineStr">
        <is>
          <t>OP05382</t>
        </is>
      </c>
      <c r="B528">
        <f>VLOOKUP(A528,Reseller!G:H,2,0)</f>
        <v/>
      </c>
      <c r="C528" t="inlineStr">
        <is>
          <t>ONLINE</t>
        </is>
      </c>
      <c r="G528" s="34">
        <f>VLOOKUP(Table4[[#This Row],[AGEN ID]],Reseller!A:E,5,0)</f>
        <v/>
      </c>
    </row>
    <row r="529">
      <c r="A529" t="inlineStr">
        <is>
          <t>OP05385</t>
        </is>
      </c>
      <c r="B529">
        <f>VLOOKUP(A529,Reseller!G:H,2,0)</f>
        <v/>
      </c>
      <c r="C529" t="inlineStr">
        <is>
          <t>ONLINE</t>
        </is>
      </c>
      <c r="G529" s="34">
        <f>VLOOKUP(Table4[[#This Row],[AGEN ID]],Reseller!A:E,5,0)</f>
        <v/>
      </c>
    </row>
    <row r="530">
      <c r="A530" t="inlineStr">
        <is>
          <t>OP05409</t>
        </is>
      </c>
      <c r="B530">
        <f>VLOOKUP(A530,Reseller!G:H,2,0)</f>
        <v/>
      </c>
      <c r="C530" t="inlineStr">
        <is>
          <t>ONLINE</t>
        </is>
      </c>
      <c r="G530" s="34">
        <f>VLOOKUP(Table4[[#This Row],[AGEN ID]],Reseller!A:E,5,0)</f>
        <v/>
      </c>
    </row>
    <row r="531">
      <c r="A531" t="inlineStr">
        <is>
          <t>OP05420</t>
        </is>
      </c>
      <c r="B531">
        <f>VLOOKUP(A531,Reseller!G:H,2,0)</f>
        <v/>
      </c>
      <c r="C531" t="inlineStr">
        <is>
          <t>ONLINE</t>
        </is>
      </c>
      <c r="G531" s="34">
        <f>VLOOKUP(Table4[[#This Row],[AGEN ID]],Reseller!A:E,5,0)</f>
        <v/>
      </c>
    </row>
    <row r="532">
      <c r="A532" t="inlineStr">
        <is>
          <t>OP05421</t>
        </is>
      </c>
      <c r="B532">
        <f>VLOOKUP(A532,Reseller!G:H,2,0)</f>
        <v/>
      </c>
      <c r="C532" t="inlineStr">
        <is>
          <t>ONLINE</t>
        </is>
      </c>
      <c r="G532" s="34">
        <f>VLOOKUP(Table4[[#This Row],[AGEN ID]],Reseller!A:E,5,0)</f>
        <v/>
      </c>
    </row>
    <row r="533">
      <c r="A533" t="inlineStr">
        <is>
          <t>OP05435</t>
        </is>
      </c>
      <c r="B533">
        <f>VLOOKUP(A533,Reseller!G:H,2,0)</f>
        <v/>
      </c>
      <c r="C533" t="inlineStr">
        <is>
          <t>ONLINE</t>
        </is>
      </c>
      <c r="G533" s="34">
        <f>VLOOKUP(Table4[[#This Row],[AGEN ID]],Reseller!A:E,5,0)</f>
        <v/>
      </c>
    </row>
    <row r="534">
      <c r="A534" t="inlineStr">
        <is>
          <t>OP05443</t>
        </is>
      </c>
      <c r="B534">
        <f>VLOOKUP(A534,Reseller!G:H,2,0)</f>
        <v/>
      </c>
      <c r="C534" t="inlineStr">
        <is>
          <t>H2H</t>
        </is>
      </c>
      <c r="G534" s="34">
        <f>VLOOKUP(Table4[[#This Row],[AGEN ID]],Reseller!A:E,5,0)</f>
        <v/>
      </c>
    </row>
    <row r="535">
      <c r="A535" t="inlineStr">
        <is>
          <t>OP05454</t>
        </is>
      </c>
      <c r="B535">
        <f>VLOOKUP(A535,Reseller!G:H,2,0)</f>
        <v/>
      </c>
      <c r="C535" t="inlineStr">
        <is>
          <t>ONLINE</t>
        </is>
      </c>
      <c r="G535" s="34">
        <f>VLOOKUP(Table4[[#This Row],[AGEN ID]],Reseller!A:E,5,0)</f>
        <v/>
      </c>
    </row>
    <row r="536">
      <c r="A536" t="inlineStr">
        <is>
          <t>OP05470</t>
        </is>
      </c>
      <c r="B536">
        <f>VLOOKUP(A536,Reseller!G:H,2,0)</f>
        <v/>
      </c>
      <c r="C536" t="inlineStr">
        <is>
          <t>ONLINE</t>
        </is>
      </c>
      <c r="G536" s="34">
        <f>VLOOKUP(Table4[[#This Row],[AGEN ID]],Reseller!A:E,5,0)</f>
        <v/>
      </c>
    </row>
    <row r="537">
      <c r="A537" t="inlineStr">
        <is>
          <t>OP05478</t>
        </is>
      </c>
      <c r="B537">
        <f>VLOOKUP(A537,Reseller!G:H,2,0)</f>
        <v/>
      </c>
      <c r="C537" t="inlineStr">
        <is>
          <t>ONLINE</t>
        </is>
      </c>
      <c r="G537" s="34">
        <f>VLOOKUP(Table4[[#This Row],[AGEN ID]],Reseller!A:E,5,0)</f>
        <v/>
      </c>
    </row>
    <row r="538">
      <c r="A538" t="inlineStr">
        <is>
          <t>OP05483</t>
        </is>
      </c>
      <c r="B538">
        <f>VLOOKUP(A538,Reseller!G:H,2,0)</f>
        <v/>
      </c>
      <c r="C538" t="inlineStr">
        <is>
          <t>ONLINE</t>
        </is>
      </c>
      <c r="G538" s="34">
        <f>VLOOKUP(Table4[[#This Row],[AGEN ID]],Reseller!A:E,5,0)</f>
        <v/>
      </c>
    </row>
    <row r="539">
      <c r="A539" t="inlineStr">
        <is>
          <t>OP05492</t>
        </is>
      </c>
      <c r="B539">
        <f>VLOOKUP(A539,Reseller!G:H,2,0)</f>
        <v/>
      </c>
      <c r="C539" t="inlineStr">
        <is>
          <t>ONLINE</t>
        </is>
      </c>
      <c r="G539" s="34">
        <f>VLOOKUP(Table4[[#This Row],[AGEN ID]],Reseller!A:E,5,0)</f>
        <v/>
      </c>
    </row>
    <row r="540">
      <c r="A540" t="inlineStr">
        <is>
          <t>OP05495</t>
        </is>
      </c>
      <c r="B540">
        <f>VLOOKUP(A540,Reseller!G:H,2,0)</f>
        <v/>
      </c>
      <c r="C540" t="inlineStr">
        <is>
          <t>ONLINE</t>
        </is>
      </c>
      <c r="G540" s="34">
        <f>VLOOKUP(Table4[[#This Row],[AGEN ID]],Reseller!A:E,5,0)</f>
        <v/>
      </c>
    </row>
    <row r="541">
      <c r="A541" t="inlineStr">
        <is>
          <t>OP05497</t>
        </is>
      </c>
      <c r="B541">
        <f>VLOOKUP(A541,Reseller!G:H,2,0)</f>
        <v/>
      </c>
      <c r="C541" t="inlineStr">
        <is>
          <t>ONLINE</t>
        </is>
      </c>
      <c r="G541" s="34">
        <f>VLOOKUP(Table4[[#This Row],[AGEN ID]],Reseller!A:E,5,0)</f>
        <v/>
      </c>
    </row>
    <row r="542">
      <c r="A542" t="inlineStr">
        <is>
          <t>OP05506</t>
        </is>
      </c>
      <c r="B542">
        <f>VLOOKUP(A542,Reseller!G:H,2,0)</f>
        <v/>
      </c>
      <c r="C542" t="inlineStr">
        <is>
          <t>ONLINE</t>
        </is>
      </c>
      <c r="G542" s="34">
        <f>VLOOKUP(Table4[[#This Row],[AGEN ID]],Reseller!A:E,5,0)</f>
        <v/>
      </c>
    </row>
    <row r="543">
      <c r="A543" t="inlineStr">
        <is>
          <t>OP05534</t>
        </is>
      </c>
      <c r="B543">
        <f>VLOOKUP(A543,Reseller!G:H,2,0)</f>
        <v/>
      </c>
      <c r="C543" t="inlineStr">
        <is>
          <t>ONLINE</t>
        </is>
      </c>
      <c r="G543" s="34">
        <f>VLOOKUP(Table4[[#This Row],[AGEN ID]],Reseller!A:E,5,0)</f>
        <v/>
      </c>
    </row>
    <row r="544">
      <c r="A544" t="inlineStr">
        <is>
          <t>OP05548</t>
        </is>
      </c>
      <c r="B544">
        <f>VLOOKUP(A544,Reseller!G:H,2,0)</f>
        <v/>
      </c>
      <c r="C544" t="inlineStr">
        <is>
          <t>ONLINE</t>
        </is>
      </c>
      <c r="G544" s="34">
        <f>VLOOKUP(Table4[[#This Row],[AGEN ID]],Reseller!A:E,5,0)</f>
        <v/>
      </c>
    </row>
    <row r="545">
      <c r="A545" t="inlineStr">
        <is>
          <t>OP05567</t>
        </is>
      </c>
      <c r="B545">
        <f>VLOOKUP(A545,Reseller!G:H,2,0)</f>
        <v/>
      </c>
      <c r="C545" t="inlineStr">
        <is>
          <t>ONLINE</t>
        </is>
      </c>
      <c r="G545" s="34">
        <f>VLOOKUP(Table4[[#This Row],[AGEN ID]],Reseller!A:E,5,0)</f>
        <v/>
      </c>
    </row>
    <row r="546">
      <c r="A546" t="inlineStr">
        <is>
          <t>OP05570</t>
        </is>
      </c>
      <c r="B546">
        <f>VLOOKUP(A546,Reseller!G:H,2,0)</f>
        <v/>
      </c>
      <c r="C546" t="inlineStr">
        <is>
          <t>ONLINE</t>
        </is>
      </c>
      <c r="G546" s="34">
        <f>VLOOKUP(Table4[[#This Row],[AGEN ID]],Reseller!A:E,5,0)</f>
        <v/>
      </c>
    </row>
    <row r="547">
      <c r="A547" t="inlineStr">
        <is>
          <t>OP05578</t>
        </is>
      </c>
      <c r="B547">
        <f>VLOOKUP(A547,Reseller!G:H,2,0)</f>
        <v/>
      </c>
      <c r="C547" t="inlineStr">
        <is>
          <t>ONLINE</t>
        </is>
      </c>
      <c r="G547" s="34">
        <f>VLOOKUP(Table4[[#This Row],[AGEN ID]],Reseller!A:E,5,0)</f>
        <v/>
      </c>
    </row>
    <row r="548">
      <c r="A548" t="inlineStr">
        <is>
          <t>OP05609</t>
        </is>
      </c>
      <c r="B548">
        <f>VLOOKUP(A548,Reseller!G:H,2,0)</f>
        <v/>
      </c>
      <c r="C548" t="inlineStr">
        <is>
          <t>ONLINE</t>
        </is>
      </c>
      <c r="G548" s="34">
        <f>VLOOKUP(Table4[[#This Row],[AGEN ID]],Reseller!A:E,5,0)</f>
        <v/>
      </c>
    </row>
    <row r="549">
      <c r="A549" t="inlineStr">
        <is>
          <t>OP05625</t>
        </is>
      </c>
      <c r="B549">
        <f>VLOOKUP(A549,Reseller!G:H,2,0)</f>
        <v/>
      </c>
      <c r="C549" t="inlineStr">
        <is>
          <t>ONLINE</t>
        </is>
      </c>
      <c r="G549" s="34">
        <f>VLOOKUP(Table4[[#This Row],[AGEN ID]],Reseller!A:E,5,0)</f>
        <v/>
      </c>
    </row>
    <row r="550">
      <c r="A550" t="inlineStr">
        <is>
          <t>OP05629</t>
        </is>
      </c>
      <c r="B550">
        <f>VLOOKUP(A550,Reseller!G:H,2,0)</f>
        <v/>
      </c>
      <c r="C550" t="inlineStr">
        <is>
          <t>ONLINE</t>
        </is>
      </c>
      <c r="G550" s="34">
        <f>VLOOKUP(Table4[[#This Row],[AGEN ID]],Reseller!A:E,5,0)</f>
        <v/>
      </c>
    </row>
    <row r="551">
      <c r="A551" t="inlineStr">
        <is>
          <t>OP05639</t>
        </is>
      </c>
      <c r="B551">
        <f>VLOOKUP(A551,Reseller!G:H,2,0)</f>
        <v/>
      </c>
      <c r="C551" t="inlineStr">
        <is>
          <t>ONLINE</t>
        </is>
      </c>
      <c r="G551" s="34">
        <f>VLOOKUP(Table4[[#This Row],[AGEN ID]],Reseller!A:E,5,0)</f>
        <v/>
      </c>
    </row>
    <row r="552">
      <c r="A552" t="inlineStr">
        <is>
          <t>OP05650</t>
        </is>
      </c>
      <c r="B552">
        <f>VLOOKUP(A552,Reseller!G:H,2,0)</f>
        <v/>
      </c>
      <c r="C552" t="inlineStr">
        <is>
          <t>ONLINE</t>
        </is>
      </c>
      <c r="G552" s="34">
        <f>VLOOKUP(Table4[[#This Row],[AGEN ID]],Reseller!A:E,5,0)</f>
        <v/>
      </c>
    </row>
    <row r="553">
      <c r="A553" t="inlineStr">
        <is>
          <t>OP05652</t>
        </is>
      </c>
      <c r="B553">
        <f>VLOOKUP(A553,Reseller!G:H,2,0)</f>
        <v/>
      </c>
      <c r="C553" t="inlineStr">
        <is>
          <t>ONLINE</t>
        </is>
      </c>
      <c r="G553" s="34">
        <f>VLOOKUP(Table4[[#This Row],[AGEN ID]],Reseller!A:E,5,0)</f>
        <v/>
      </c>
    </row>
    <row r="554">
      <c r="A554" t="inlineStr">
        <is>
          <t>OP05683</t>
        </is>
      </c>
      <c r="B554">
        <f>VLOOKUP(A554,Reseller!G:H,2,0)</f>
        <v/>
      </c>
      <c r="C554" t="inlineStr">
        <is>
          <t>ONLINE</t>
        </is>
      </c>
      <c r="G554" s="34">
        <f>VLOOKUP(Table4[[#This Row],[AGEN ID]],Reseller!A:E,5,0)</f>
        <v/>
      </c>
    </row>
    <row r="555">
      <c r="A555" t="inlineStr">
        <is>
          <t>OP05693</t>
        </is>
      </c>
      <c r="B555">
        <f>VLOOKUP(A555,Reseller!G:H,2,0)</f>
        <v/>
      </c>
      <c r="C555" t="inlineStr">
        <is>
          <t>ONLINE</t>
        </is>
      </c>
      <c r="G555" s="34">
        <f>VLOOKUP(Table4[[#This Row],[AGEN ID]],Reseller!A:E,5,0)</f>
        <v/>
      </c>
    </row>
    <row r="556">
      <c r="A556" t="inlineStr">
        <is>
          <t>OP05695</t>
        </is>
      </c>
      <c r="B556">
        <f>VLOOKUP(A556,Reseller!G:H,2,0)</f>
        <v/>
      </c>
      <c r="C556" t="inlineStr">
        <is>
          <t>ONLINE</t>
        </is>
      </c>
      <c r="G556" s="34">
        <f>VLOOKUP(Table4[[#This Row],[AGEN ID]],Reseller!A:E,5,0)</f>
        <v/>
      </c>
    </row>
    <row r="557">
      <c r="A557" t="inlineStr">
        <is>
          <t>OP05703</t>
        </is>
      </c>
      <c r="B557">
        <f>VLOOKUP(A557,Reseller!G:H,2,0)</f>
        <v/>
      </c>
      <c r="C557" t="inlineStr">
        <is>
          <t>ONLINE</t>
        </is>
      </c>
      <c r="G557" s="34">
        <f>VLOOKUP(Table4[[#This Row],[AGEN ID]],Reseller!A:E,5,0)</f>
        <v/>
      </c>
    </row>
    <row r="558">
      <c r="A558" t="inlineStr">
        <is>
          <t>OP05704</t>
        </is>
      </c>
      <c r="B558">
        <f>VLOOKUP(A558,Reseller!G:H,2,0)</f>
        <v/>
      </c>
      <c r="C558" t="inlineStr">
        <is>
          <t>ONLINE</t>
        </is>
      </c>
      <c r="G558" s="34">
        <f>VLOOKUP(Table4[[#This Row],[AGEN ID]],Reseller!A:E,5,0)</f>
        <v/>
      </c>
    </row>
    <row r="559">
      <c r="A559" t="inlineStr">
        <is>
          <t>OP05706</t>
        </is>
      </c>
      <c r="B559">
        <f>VLOOKUP(A559,Reseller!G:H,2,0)</f>
        <v/>
      </c>
      <c r="C559" t="inlineStr">
        <is>
          <t>ONLINE</t>
        </is>
      </c>
      <c r="G559" s="34">
        <f>VLOOKUP(Table4[[#This Row],[AGEN ID]],Reseller!A:E,5,0)</f>
        <v/>
      </c>
    </row>
    <row r="560">
      <c r="A560" t="inlineStr">
        <is>
          <t>OP05713</t>
        </is>
      </c>
      <c r="B560">
        <f>VLOOKUP(A560,Reseller!G:H,2,0)</f>
        <v/>
      </c>
      <c r="C560" t="inlineStr">
        <is>
          <t>ONLINE</t>
        </is>
      </c>
      <c r="G560" s="34">
        <f>VLOOKUP(Table4[[#This Row],[AGEN ID]],Reseller!A:E,5,0)</f>
        <v/>
      </c>
    </row>
    <row r="561">
      <c r="A561" t="inlineStr">
        <is>
          <t>OP05739</t>
        </is>
      </c>
      <c r="B561">
        <f>VLOOKUP(A561,Reseller!G:H,2,0)</f>
        <v/>
      </c>
      <c r="C561" t="inlineStr">
        <is>
          <t>ONLINE</t>
        </is>
      </c>
      <c r="G561" s="34">
        <f>VLOOKUP(Table4[[#This Row],[AGEN ID]],Reseller!A:E,5,0)</f>
        <v/>
      </c>
    </row>
    <row r="562">
      <c r="A562" t="inlineStr">
        <is>
          <t>OP05761</t>
        </is>
      </c>
      <c r="B562">
        <f>VLOOKUP(A562,Reseller!G:H,2,0)</f>
        <v/>
      </c>
      <c r="C562" t="inlineStr">
        <is>
          <t>ONLINE</t>
        </is>
      </c>
      <c r="G562" s="34">
        <f>VLOOKUP(Table4[[#This Row],[AGEN ID]],Reseller!A:E,5,0)</f>
        <v/>
      </c>
    </row>
    <row r="563">
      <c r="A563" t="inlineStr">
        <is>
          <t>OP05764</t>
        </is>
      </c>
      <c r="B563">
        <f>VLOOKUP(A563,Reseller!G:H,2,0)</f>
        <v/>
      </c>
      <c r="C563" t="inlineStr">
        <is>
          <t>ONLINE</t>
        </is>
      </c>
      <c r="G563" s="34">
        <f>VLOOKUP(Table4[[#This Row],[AGEN ID]],Reseller!A:E,5,0)</f>
        <v/>
      </c>
    </row>
    <row r="564">
      <c r="A564" t="inlineStr">
        <is>
          <t>OP05766</t>
        </is>
      </c>
      <c r="B564">
        <f>VLOOKUP(A564,Reseller!G:H,2,0)</f>
        <v/>
      </c>
      <c r="C564" t="inlineStr">
        <is>
          <t>ONLINE</t>
        </is>
      </c>
      <c r="G564" s="34">
        <f>VLOOKUP(Table4[[#This Row],[AGEN ID]],Reseller!A:E,5,0)</f>
        <v/>
      </c>
    </row>
    <row r="565">
      <c r="A565" t="inlineStr">
        <is>
          <t>OP05769</t>
        </is>
      </c>
      <c r="B565">
        <f>VLOOKUP(A565,Reseller!G:H,2,0)</f>
        <v/>
      </c>
      <c r="C565" t="inlineStr">
        <is>
          <t>ONLINE</t>
        </is>
      </c>
      <c r="G565" s="34">
        <f>VLOOKUP(Table4[[#This Row],[AGEN ID]],Reseller!A:E,5,0)</f>
        <v/>
      </c>
    </row>
    <row r="566">
      <c r="A566" t="inlineStr">
        <is>
          <t>OP05781</t>
        </is>
      </c>
      <c r="B566">
        <f>VLOOKUP(A566,Reseller!G:H,2,0)</f>
        <v/>
      </c>
      <c r="C566" t="inlineStr">
        <is>
          <t>ONLINE</t>
        </is>
      </c>
      <c r="G566" s="34">
        <f>VLOOKUP(Table4[[#This Row],[AGEN ID]],Reseller!A:E,5,0)</f>
        <v/>
      </c>
    </row>
    <row r="567">
      <c r="A567" t="inlineStr">
        <is>
          <t>OP05783</t>
        </is>
      </c>
      <c r="B567">
        <f>VLOOKUP(A567,Reseller!G:H,2,0)</f>
        <v/>
      </c>
      <c r="C567" t="inlineStr">
        <is>
          <t>ONLINE</t>
        </is>
      </c>
      <c r="G567" s="34">
        <f>VLOOKUP(Table4[[#This Row],[AGEN ID]],Reseller!A:E,5,0)</f>
        <v/>
      </c>
    </row>
    <row r="568">
      <c r="A568" t="inlineStr">
        <is>
          <t>OP05790</t>
        </is>
      </c>
      <c r="B568">
        <f>VLOOKUP(A568,Reseller!G:H,2,0)</f>
        <v/>
      </c>
      <c r="C568" t="inlineStr">
        <is>
          <t>ONLINE</t>
        </is>
      </c>
      <c r="G568" s="34">
        <f>VLOOKUP(Table4[[#This Row],[AGEN ID]],Reseller!A:E,5,0)</f>
        <v/>
      </c>
    </row>
    <row r="569">
      <c r="A569" t="inlineStr">
        <is>
          <t>OP05816</t>
        </is>
      </c>
      <c r="B569">
        <f>VLOOKUP(A569,Reseller!G:H,2,0)</f>
        <v/>
      </c>
      <c r="C569" t="inlineStr">
        <is>
          <t>ONLINE</t>
        </is>
      </c>
      <c r="G569" s="34">
        <f>VLOOKUP(Table4[[#This Row],[AGEN ID]],Reseller!A:E,5,0)</f>
        <v/>
      </c>
    </row>
    <row r="570">
      <c r="A570" t="inlineStr">
        <is>
          <t>OP05862</t>
        </is>
      </c>
      <c r="B570">
        <f>VLOOKUP(A570,Reseller!G:H,2,0)</f>
        <v/>
      </c>
      <c r="C570" t="inlineStr">
        <is>
          <t>ONLINE</t>
        </is>
      </c>
      <c r="G570" s="34">
        <f>VLOOKUP(Table4[[#This Row],[AGEN ID]],Reseller!A:E,5,0)</f>
        <v/>
      </c>
    </row>
    <row r="571">
      <c r="A571" t="inlineStr">
        <is>
          <t>OP05885</t>
        </is>
      </c>
      <c r="B571">
        <f>VLOOKUP(A571,Reseller!G:H,2,0)</f>
        <v/>
      </c>
      <c r="C571" t="inlineStr">
        <is>
          <t>ONLINE</t>
        </is>
      </c>
      <c r="G571" s="34">
        <f>VLOOKUP(Table4[[#This Row],[AGEN ID]],Reseller!A:E,5,0)</f>
        <v/>
      </c>
    </row>
    <row r="572">
      <c r="A572" t="inlineStr">
        <is>
          <t>OP05892</t>
        </is>
      </c>
      <c r="B572">
        <f>VLOOKUP(A572,Reseller!G:H,2,0)</f>
        <v/>
      </c>
      <c r="C572" t="inlineStr">
        <is>
          <t>ONLINE</t>
        </is>
      </c>
      <c r="G572" s="34">
        <f>VLOOKUP(Table4[[#This Row],[AGEN ID]],Reseller!A:E,5,0)</f>
        <v/>
      </c>
    </row>
    <row r="573">
      <c r="A573" t="inlineStr">
        <is>
          <t>OP05903</t>
        </is>
      </c>
      <c r="B573">
        <f>VLOOKUP(A573,Reseller!G:H,2,0)</f>
        <v/>
      </c>
      <c r="C573" t="inlineStr">
        <is>
          <t>ONLINE</t>
        </is>
      </c>
      <c r="G573" s="34">
        <f>VLOOKUP(Table4[[#This Row],[AGEN ID]],Reseller!A:E,5,0)</f>
        <v/>
      </c>
    </row>
    <row r="574">
      <c r="A574" t="inlineStr">
        <is>
          <t>OP05904</t>
        </is>
      </c>
      <c r="B574">
        <f>VLOOKUP(A574,Reseller!G:H,2,0)</f>
        <v/>
      </c>
      <c r="C574" t="inlineStr">
        <is>
          <t>ONLINE</t>
        </is>
      </c>
      <c r="G574" s="34">
        <f>VLOOKUP(Table4[[#This Row],[AGEN ID]],Reseller!A:E,5,0)</f>
        <v/>
      </c>
    </row>
    <row r="575">
      <c r="A575" t="inlineStr">
        <is>
          <t>OP05905</t>
        </is>
      </c>
      <c r="B575">
        <f>VLOOKUP(A575,Reseller!G:H,2,0)</f>
        <v/>
      </c>
      <c r="C575" t="inlineStr">
        <is>
          <t>ONLINE</t>
        </is>
      </c>
      <c r="G575" s="34">
        <f>VLOOKUP(Table4[[#This Row],[AGEN ID]],Reseller!A:E,5,0)</f>
        <v/>
      </c>
    </row>
    <row r="576">
      <c r="A576" t="inlineStr">
        <is>
          <t>OP05927</t>
        </is>
      </c>
      <c r="B576">
        <f>VLOOKUP(A576,Reseller!G:H,2,0)</f>
        <v/>
      </c>
      <c r="C576" t="inlineStr">
        <is>
          <t>ONLINE</t>
        </is>
      </c>
      <c r="G576" s="34">
        <f>VLOOKUP(Table4[[#This Row],[AGEN ID]],Reseller!A:E,5,0)</f>
        <v/>
      </c>
    </row>
    <row r="577">
      <c r="A577" t="inlineStr">
        <is>
          <t>OP05948</t>
        </is>
      </c>
      <c r="B577">
        <f>VLOOKUP(A577,Reseller!G:H,2,0)</f>
        <v/>
      </c>
      <c r="C577" t="inlineStr">
        <is>
          <t>ONLINE</t>
        </is>
      </c>
      <c r="G577" s="34">
        <f>VLOOKUP(Table4[[#This Row],[AGEN ID]],Reseller!A:E,5,0)</f>
        <v/>
      </c>
    </row>
    <row r="578">
      <c r="A578" t="inlineStr">
        <is>
          <t>OP05953</t>
        </is>
      </c>
      <c r="B578">
        <f>VLOOKUP(A578,Reseller!G:H,2,0)</f>
        <v/>
      </c>
      <c r="C578" t="inlineStr">
        <is>
          <t>ONLINE</t>
        </is>
      </c>
      <c r="G578" s="34">
        <f>VLOOKUP(Table4[[#This Row],[AGEN ID]],Reseller!A:E,5,0)</f>
        <v/>
      </c>
    </row>
    <row r="579">
      <c r="A579" t="inlineStr">
        <is>
          <t>OP05962</t>
        </is>
      </c>
      <c r="B579">
        <f>VLOOKUP(A579,Reseller!G:H,2,0)</f>
        <v/>
      </c>
      <c r="C579" t="inlineStr">
        <is>
          <t>ONLINE</t>
        </is>
      </c>
      <c r="G579" s="34">
        <f>VLOOKUP(Table4[[#This Row],[AGEN ID]],Reseller!A:E,5,0)</f>
        <v/>
      </c>
    </row>
    <row r="580">
      <c r="A580" t="inlineStr">
        <is>
          <t>OP05971</t>
        </is>
      </c>
      <c r="B580">
        <f>VLOOKUP(A580,Reseller!G:H,2,0)</f>
        <v/>
      </c>
      <c r="C580" t="inlineStr">
        <is>
          <t>ONLINE</t>
        </is>
      </c>
      <c r="G580" s="34">
        <f>VLOOKUP(Table4[[#This Row],[AGEN ID]],Reseller!A:E,5,0)</f>
        <v/>
      </c>
    </row>
    <row r="581">
      <c r="A581" t="inlineStr">
        <is>
          <t>OP05974</t>
        </is>
      </c>
      <c r="B581">
        <f>VLOOKUP(A581,Reseller!G:H,2,0)</f>
        <v/>
      </c>
      <c r="C581" t="inlineStr">
        <is>
          <t>ONLINE</t>
        </is>
      </c>
      <c r="G581" s="34">
        <f>VLOOKUP(Table4[[#This Row],[AGEN ID]],Reseller!A:E,5,0)</f>
        <v/>
      </c>
    </row>
    <row r="582">
      <c r="A582" t="inlineStr">
        <is>
          <t>OP05984</t>
        </is>
      </c>
      <c r="B582">
        <f>VLOOKUP(A582,Reseller!G:H,2,0)</f>
        <v/>
      </c>
      <c r="C582" t="inlineStr">
        <is>
          <t>ONLINE</t>
        </is>
      </c>
      <c r="G582" s="34">
        <f>VLOOKUP(Table4[[#This Row],[AGEN ID]],Reseller!A:E,5,0)</f>
        <v/>
      </c>
    </row>
    <row r="583">
      <c r="A583" t="inlineStr">
        <is>
          <t>OP06007</t>
        </is>
      </c>
      <c r="B583">
        <f>VLOOKUP(A583,Reseller!G:H,2,0)</f>
        <v/>
      </c>
      <c r="C583" t="inlineStr">
        <is>
          <t>ONLINE</t>
        </is>
      </c>
      <c r="G583" s="34">
        <f>VLOOKUP(Table4[[#This Row],[AGEN ID]],Reseller!A:E,5,0)</f>
        <v/>
      </c>
    </row>
    <row r="584">
      <c r="A584" t="inlineStr">
        <is>
          <t>OP06042</t>
        </is>
      </c>
      <c r="B584">
        <f>VLOOKUP(A584,Reseller!G:H,2,0)</f>
        <v/>
      </c>
      <c r="C584" t="inlineStr">
        <is>
          <t>ONLINE</t>
        </is>
      </c>
      <c r="G584" s="34">
        <f>VLOOKUP(Table4[[#This Row],[AGEN ID]],Reseller!A:E,5,0)</f>
        <v/>
      </c>
    </row>
    <row r="585">
      <c r="A585" t="inlineStr">
        <is>
          <t>OP06049</t>
        </is>
      </c>
      <c r="B585">
        <f>VLOOKUP(A585,Reseller!G:H,2,0)</f>
        <v/>
      </c>
      <c r="C585" t="inlineStr">
        <is>
          <t>ONLINE</t>
        </is>
      </c>
      <c r="G585" s="34">
        <f>VLOOKUP(Table4[[#This Row],[AGEN ID]],Reseller!A:E,5,0)</f>
        <v/>
      </c>
    </row>
    <row r="586">
      <c r="A586" t="inlineStr">
        <is>
          <t>OP06055</t>
        </is>
      </c>
      <c r="B586">
        <f>VLOOKUP(A586,Reseller!G:H,2,0)</f>
        <v/>
      </c>
      <c r="C586" t="inlineStr">
        <is>
          <t>ONLINE</t>
        </is>
      </c>
      <c r="G586" s="34">
        <f>VLOOKUP(Table4[[#This Row],[AGEN ID]],Reseller!A:E,5,0)</f>
        <v/>
      </c>
    </row>
    <row r="587">
      <c r="A587" t="inlineStr">
        <is>
          <t>OP06061</t>
        </is>
      </c>
      <c r="B587">
        <f>VLOOKUP(A587,Reseller!G:H,2,0)</f>
        <v/>
      </c>
      <c r="C587" t="inlineStr">
        <is>
          <t>ONLINE</t>
        </is>
      </c>
      <c r="G587" s="34">
        <f>VLOOKUP(Table4[[#This Row],[AGEN ID]],Reseller!A:E,5,0)</f>
        <v/>
      </c>
    </row>
    <row r="588">
      <c r="A588" t="inlineStr">
        <is>
          <t>OP06064</t>
        </is>
      </c>
      <c r="B588">
        <f>VLOOKUP(A588,Reseller!G:H,2,0)</f>
        <v/>
      </c>
      <c r="C588" t="inlineStr">
        <is>
          <t>ONLINE</t>
        </is>
      </c>
      <c r="G588" s="34">
        <f>VLOOKUP(Table4[[#This Row],[AGEN ID]],Reseller!A:E,5,0)</f>
        <v/>
      </c>
    </row>
    <row r="589">
      <c r="A589" t="inlineStr">
        <is>
          <t>OP06088</t>
        </is>
      </c>
      <c r="B589">
        <f>VLOOKUP(A589,Reseller!G:H,2,0)</f>
        <v/>
      </c>
      <c r="C589" t="inlineStr">
        <is>
          <t>ONLINE</t>
        </is>
      </c>
      <c r="G589" s="34">
        <f>VLOOKUP(Table4[[#This Row],[AGEN ID]],Reseller!A:E,5,0)</f>
        <v/>
      </c>
    </row>
    <row r="590">
      <c r="A590" t="inlineStr">
        <is>
          <t>OP06092</t>
        </is>
      </c>
      <c r="B590">
        <f>VLOOKUP(A590,Reseller!G:H,2,0)</f>
        <v/>
      </c>
      <c r="C590" t="inlineStr">
        <is>
          <t>ONLINE</t>
        </is>
      </c>
      <c r="G590" s="34">
        <f>VLOOKUP(Table4[[#This Row],[AGEN ID]],Reseller!A:E,5,0)</f>
        <v/>
      </c>
    </row>
    <row r="591">
      <c r="A591" t="inlineStr">
        <is>
          <t>OP06114</t>
        </is>
      </c>
      <c r="B591">
        <f>VLOOKUP(A591,Reseller!G:H,2,0)</f>
        <v/>
      </c>
      <c r="C591" t="inlineStr">
        <is>
          <t>ONLINE</t>
        </is>
      </c>
      <c r="G591" s="34">
        <f>VLOOKUP(Table4[[#This Row],[AGEN ID]],Reseller!A:E,5,0)</f>
        <v/>
      </c>
    </row>
    <row r="592">
      <c r="A592" t="inlineStr">
        <is>
          <t>OP06138</t>
        </is>
      </c>
      <c r="B592">
        <f>VLOOKUP(A592,Reseller!G:H,2,0)</f>
        <v/>
      </c>
      <c r="C592" t="inlineStr">
        <is>
          <t>ONLINE</t>
        </is>
      </c>
      <c r="G592" s="34">
        <f>VLOOKUP(Table4[[#This Row],[AGEN ID]],Reseller!A:E,5,0)</f>
        <v/>
      </c>
    </row>
    <row r="593">
      <c r="A593" t="inlineStr">
        <is>
          <t>OP06162</t>
        </is>
      </c>
      <c r="B593">
        <f>VLOOKUP(A593,Reseller!G:H,2,0)</f>
        <v/>
      </c>
      <c r="C593" t="inlineStr">
        <is>
          <t>ONLINE</t>
        </is>
      </c>
      <c r="G593" s="34">
        <f>VLOOKUP(Table4[[#This Row],[AGEN ID]],Reseller!A:E,5,0)</f>
        <v/>
      </c>
    </row>
    <row r="594">
      <c r="A594" t="inlineStr">
        <is>
          <t>OP06174</t>
        </is>
      </c>
      <c r="B594">
        <f>VLOOKUP(A594,Reseller!G:H,2,0)</f>
        <v/>
      </c>
      <c r="C594" t="inlineStr">
        <is>
          <t>ONLINE</t>
        </is>
      </c>
      <c r="G594" s="34">
        <f>VLOOKUP(Table4[[#This Row],[AGEN ID]],Reseller!A:E,5,0)</f>
        <v/>
      </c>
    </row>
    <row r="595">
      <c r="A595" t="inlineStr">
        <is>
          <t>OP06207</t>
        </is>
      </c>
      <c r="B595">
        <f>VLOOKUP(A595,Reseller!G:H,2,0)</f>
        <v/>
      </c>
      <c r="C595" t="inlineStr">
        <is>
          <t>ONLINE</t>
        </is>
      </c>
      <c r="G595" s="34">
        <f>VLOOKUP(Table4[[#This Row],[AGEN ID]],Reseller!A:E,5,0)</f>
        <v/>
      </c>
    </row>
    <row r="596">
      <c r="A596" t="inlineStr">
        <is>
          <t>OP06224</t>
        </is>
      </c>
      <c r="B596">
        <f>VLOOKUP(A596,Reseller!G:H,2,0)</f>
        <v/>
      </c>
      <c r="C596" t="inlineStr">
        <is>
          <t>ONLINE</t>
        </is>
      </c>
      <c r="G596" s="34">
        <f>VLOOKUP(Table4[[#This Row],[AGEN ID]],Reseller!A:E,5,0)</f>
        <v/>
      </c>
    </row>
    <row r="597">
      <c r="A597" t="inlineStr">
        <is>
          <t>OP06226</t>
        </is>
      </c>
      <c r="B597">
        <f>VLOOKUP(A597,Reseller!G:H,2,0)</f>
        <v/>
      </c>
      <c r="C597" t="inlineStr">
        <is>
          <t>ONLINE</t>
        </is>
      </c>
      <c r="G597" s="34">
        <f>VLOOKUP(Table4[[#This Row],[AGEN ID]],Reseller!A:E,5,0)</f>
        <v/>
      </c>
    </row>
    <row r="598">
      <c r="A598" t="inlineStr">
        <is>
          <t>OP06234</t>
        </is>
      </c>
      <c r="B598">
        <f>VLOOKUP(A598,Reseller!G:H,2,0)</f>
        <v/>
      </c>
      <c r="C598" t="inlineStr">
        <is>
          <t>ONLINE</t>
        </is>
      </c>
      <c r="G598" s="34">
        <f>VLOOKUP(Table4[[#This Row],[AGEN ID]],Reseller!A:E,5,0)</f>
        <v/>
      </c>
    </row>
    <row r="599">
      <c r="A599" t="inlineStr">
        <is>
          <t>OP06240</t>
        </is>
      </c>
      <c r="B599">
        <f>VLOOKUP(A599,Reseller!G:H,2,0)</f>
        <v/>
      </c>
      <c r="C599" t="inlineStr">
        <is>
          <t>ONLINE</t>
        </is>
      </c>
      <c r="G599" s="34">
        <f>VLOOKUP(Table4[[#This Row],[AGEN ID]],Reseller!A:E,5,0)</f>
        <v/>
      </c>
    </row>
    <row r="600">
      <c r="A600" t="inlineStr">
        <is>
          <t>OP06248</t>
        </is>
      </c>
      <c r="B600">
        <f>VLOOKUP(A600,Reseller!G:H,2,0)</f>
        <v/>
      </c>
      <c r="C600" t="inlineStr">
        <is>
          <t>ONLINE</t>
        </is>
      </c>
      <c r="G600" s="34">
        <f>VLOOKUP(Table4[[#This Row],[AGEN ID]],Reseller!A:E,5,0)</f>
        <v/>
      </c>
    </row>
    <row r="601">
      <c r="A601" t="inlineStr">
        <is>
          <t>OP06263</t>
        </is>
      </c>
      <c r="B601">
        <f>VLOOKUP(A601,Reseller!G:H,2,0)</f>
        <v/>
      </c>
      <c r="C601" t="inlineStr">
        <is>
          <t>ONLINE</t>
        </is>
      </c>
      <c r="G601" s="34">
        <f>VLOOKUP(Table4[[#This Row],[AGEN ID]],Reseller!A:E,5,0)</f>
        <v/>
      </c>
    </row>
    <row r="602">
      <c r="A602" t="inlineStr">
        <is>
          <t>OP06275</t>
        </is>
      </c>
      <c r="B602">
        <f>VLOOKUP(A602,Reseller!G:H,2,0)</f>
        <v/>
      </c>
      <c r="C602" t="inlineStr">
        <is>
          <t>ONLINE</t>
        </is>
      </c>
      <c r="G602" s="34">
        <f>VLOOKUP(Table4[[#This Row],[AGEN ID]],Reseller!A:E,5,0)</f>
        <v/>
      </c>
    </row>
    <row r="603">
      <c r="A603" t="inlineStr">
        <is>
          <t>OP06287</t>
        </is>
      </c>
      <c r="B603">
        <f>VLOOKUP(A603,Reseller!G:H,2,0)</f>
        <v/>
      </c>
      <c r="C603" t="inlineStr">
        <is>
          <t>ONLINE</t>
        </is>
      </c>
      <c r="G603" s="34">
        <f>VLOOKUP(Table4[[#This Row],[AGEN ID]],Reseller!A:E,5,0)</f>
        <v/>
      </c>
    </row>
    <row r="604">
      <c r="A604" t="inlineStr">
        <is>
          <t>OP06303</t>
        </is>
      </c>
      <c r="B604">
        <f>VLOOKUP(A604,Reseller!G:H,2,0)</f>
        <v/>
      </c>
      <c r="C604" t="inlineStr">
        <is>
          <t>ONLINE</t>
        </is>
      </c>
      <c r="G604" s="34">
        <f>VLOOKUP(Table4[[#This Row],[AGEN ID]],Reseller!A:E,5,0)</f>
        <v/>
      </c>
    </row>
    <row r="605">
      <c r="A605" t="inlineStr">
        <is>
          <t>OP06310</t>
        </is>
      </c>
      <c r="B605">
        <f>VLOOKUP(A605,Reseller!G:H,2,0)</f>
        <v/>
      </c>
      <c r="C605" t="inlineStr">
        <is>
          <t>ONLINE</t>
        </is>
      </c>
      <c r="G605" s="34">
        <f>VLOOKUP(Table4[[#This Row],[AGEN ID]],Reseller!A:E,5,0)</f>
        <v/>
      </c>
    </row>
    <row r="606">
      <c r="A606" t="inlineStr">
        <is>
          <t>OP06328</t>
        </is>
      </c>
      <c r="B606">
        <f>VLOOKUP(A606,Reseller!G:H,2,0)</f>
        <v/>
      </c>
      <c r="C606" t="inlineStr">
        <is>
          <t>ONLINE</t>
        </is>
      </c>
      <c r="G606" s="34">
        <f>VLOOKUP(Table4[[#This Row],[AGEN ID]],Reseller!A:E,5,0)</f>
        <v/>
      </c>
    </row>
    <row r="607">
      <c r="A607" t="inlineStr">
        <is>
          <t>OP06354</t>
        </is>
      </c>
      <c r="B607">
        <f>VLOOKUP(A607,Reseller!G:H,2,0)</f>
        <v/>
      </c>
      <c r="C607" t="inlineStr">
        <is>
          <t>ONLINE</t>
        </is>
      </c>
      <c r="G607" s="34">
        <f>VLOOKUP(Table4[[#This Row],[AGEN ID]],Reseller!A:E,5,0)</f>
        <v/>
      </c>
    </row>
    <row r="608">
      <c r="A608" t="inlineStr">
        <is>
          <t>OP06390</t>
        </is>
      </c>
      <c r="B608">
        <f>VLOOKUP(A608,Reseller!G:H,2,0)</f>
        <v/>
      </c>
      <c r="C608" t="inlineStr">
        <is>
          <t>ONLINE</t>
        </is>
      </c>
      <c r="G608" s="34">
        <f>VLOOKUP(Table4[[#This Row],[AGEN ID]],Reseller!A:E,5,0)</f>
        <v/>
      </c>
    </row>
    <row r="609">
      <c r="A609" t="inlineStr">
        <is>
          <t>OP06396</t>
        </is>
      </c>
      <c r="B609">
        <f>VLOOKUP(A609,Reseller!G:H,2,0)</f>
        <v/>
      </c>
      <c r="C609" t="inlineStr">
        <is>
          <t>ONLINE</t>
        </is>
      </c>
      <c r="G609" s="34">
        <f>VLOOKUP(Table4[[#This Row],[AGEN ID]],Reseller!A:E,5,0)</f>
        <v/>
      </c>
    </row>
    <row r="610">
      <c r="A610" t="inlineStr">
        <is>
          <t>OP06397</t>
        </is>
      </c>
      <c r="B610">
        <f>VLOOKUP(A610,Reseller!G:H,2,0)</f>
        <v/>
      </c>
      <c r="C610" t="inlineStr">
        <is>
          <t>ONLINE</t>
        </is>
      </c>
      <c r="G610" s="34">
        <f>VLOOKUP(Table4[[#This Row],[AGEN ID]],Reseller!A:E,5,0)</f>
        <v/>
      </c>
    </row>
    <row r="611">
      <c r="A611" t="inlineStr">
        <is>
          <t>OP06409</t>
        </is>
      </c>
      <c r="B611">
        <f>VLOOKUP(A611,Reseller!G:H,2,0)</f>
        <v/>
      </c>
      <c r="C611" t="inlineStr">
        <is>
          <t>ONLINE</t>
        </is>
      </c>
      <c r="G611" s="34">
        <f>VLOOKUP(Table4[[#This Row],[AGEN ID]],Reseller!A:E,5,0)</f>
        <v/>
      </c>
    </row>
    <row r="612">
      <c r="A612" t="inlineStr">
        <is>
          <t>OP06411</t>
        </is>
      </c>
      <c r="B612">
        <f>VLOOKUP(A612,Reseller!G:H,2,0)</f>
        <v/>
      </c>
      <c r="C612" t="inlineStr">
        <is>
          <t>ONLINE</t>
        </is>
      </c>
      <c r="G612" s="34">
        <f>VLOOKUP(Table4[[#This Row],[AGEN ID]],Reseller!A:E,5,0)</f>
        <v/>
      </c>
    </row>
    <row r="613">
      <c r="A613" t="inlineStr">
        <is>
          <t>OP06421</t>
        </is>
      </c>
      <c r="B613">
        <f>VLOOKUP(A613,Reseller!G:H,2,0)</f>
        <v/>
      </c>
      <c r="C613" t="inlineStr">
        <is>
          <t>ONLINE</t>
        </is>
      </c>
      <c r="G613" s="34">
        <f>VLOOKUP(Table4[[#This Row],[AGEN ID]],Reseller!A:E,5,0)</f>
        <v/>
      </c>
    </row>
    <row r="614">
      <c r="A614" t="inlineStr">
        <is>
          <t>OP06451</t>
        </is>
      </c>
      <c r="B614">
        <f>VLOOKUP(A614,Reseller!G:H,2,0)</f>
        <v/>
      </c>
      <c r="C614" t="inlineStr">
        <is>
          <t>ONLINE</t>
        </is>
      </c>
      <c r="G614" s="34">
        <f>VLOOKUP(Table4[[#This Row],[AGEN ID]],Reseller!A:E,5,0)</f>
        <v/>
      </c>
    </row>
    <row r="615">
      <c r="A615" t="inlineStr">
        <is>
          <t>OP06455</t>
        </is>
      </c>
      <c r="B615">
        <f>VLOOKUP(A615,Reseller!G:H,2,0)</f>
        <v/>
      </c>
      <c r="C615" t="inlineStr">
        <is>
          <t>ONLINE</t>
        </is>
      </c>
      <c r="G615" s="34">
        <f>VLOOKUP(Table4[[#This Row],[AGEN ID]],Reseller!A:E,5,0)</f>
        <v/>
      </c>
    </row>
    <row r="616">
      <c r="A616" t="inlineStr">
        <is>
          <t>OP06466</t>
        </is>
      </c>
      <c r="B616">
        <f>VLOOKUP(A616,Reseller!G:H,2,0)</f>
        <v/>
      </c>
      <c r="C616" t="inlineStr">
        <is>
          <t>ONLINE</t>
        </is>
      </c>
      <c r="G616" s="34">
        <f>VLOOKUP(Table4[[#This Row],[AGEN ID]],Reseller!A:E,5,0)</f>
        <v/>
      </c>
    </row>
    <row r="617">
      <c r="A617" t="inlineStr">
        <is>
          <t>OP06478</t>
        </is>
      </c>
      <c r="B617">
        <f>VLOOKUP(A617,Reseller!G:H,2,0)</f>
        <v/>
      </c>
      <c r="C617" t="inlineStr">
        <is>
          <t>ONLINE</t>
        </is>
      </c>
      <c r="G617" s="34">
        <f>VLOOKUP(Table4[[#This Row],[AGEN ID]],Reseller!A:E,5,0)</f>
        <v/>
      </c>
    </row>
    <row r="618">
      <c r="A618" t="inlineStr">
        <is>
          <t>OP06490</t>
        </is>
      </c>
      <c r="B618">
        <f>VLOOKUP(A618,Reseller!G:H,2,0)</f>
        <v/>
      </c>
      <c r="C618" t="inlineStr">
        <is>
          <t>ONLINE</t>
        </is>
      </c>
      <c r="G618" s="34">
        <f>VLOOKUP(Table4[[#This Row],[AGEN ID]],Reseller!A:E,5,0)</f>
        <v/>
      </c>
    </row>
    <row r="619">
      <c r="A619" t="inlineStr">
        <is>
          <t>OP06517</t>
        </is>
      </c>
      <c r="B619">
        <f>VLOOKUP(A619,Reseller!G:H,2,0)</f>
        <v/>
      </c>
      <c r="C619" t="inlineStr">
        <is>
          <t>ONLINE</t>
        </is>
      </c>
      <c r="G619" s="34">
        <f>VLOOKUP(Table4[[#This Row],[AGEN ID]],Reseller!A:E,5,0)</f>
        <v/>
      </c>
    </row>
    <row r="620">
      <c r="A620" t="inlineStr">
        <is>
          <t>OP06519</t>
        </is>
      </c>
      <c r="B620">
        <f>VLOOKUP(A620,Reseller!G:H,2,0)</f>
        <v/>
      </c>
      <c r="C620" t="inlineStr">
        <is>
          <t>ONLINE</t>
        </is>
      </c>
      <c r="G620" s="34">
        <f>VLOOKUP(Table4[[#This Row],[AGEN ID]],Reseller!A:E,5,0)</f>
        <v/>
      </c>
    </row>
    <row r="621">
      <c r="A621" t="inlineStr">
        <is>
          <t>OP06529</t>
        </is>
      </c>
      <c r="B621">
        <f>VLOOKUP(A621,Reseller!G:H,2,0)</f>
        <v/>
      </c>
      <c r="C621" t="inlineStr">
        <is>
          <t>ONLINE</t>
        </is>
      </c>
      <c r="G621" s="34">
        <f>VLOOKUP(Table4[[#This Row],[AGEN ID]],Reseller!A:E,5,0)</f>
        <v/>
      </c>
    </row>
    <row r="622">
      <c r="A622" t="inlineStr">
        <is>
          <t>OP06557</t>
        </is>
      </c>
      <c r="B622">
        <f>VLOOKUP(A622,Reseller!G:H,2,0)</f>
        <v/>
      </c>
      <c r="C622" t="inlineStr">
        <is>
          <t>ONLINE</t>
        </is>
      </c>
      <c r="G622" s="34">
        <f>VLOOKUP(Table4[[#This Row],[AGEN ID]],Reseller!A:E,5,0)</f>
        <v/>
      </c>
    </row>
    <row r="623">
      <c r="A623" t="inlineStr">
        <is>
          <t>OP06566</t>
        </is>
      </c>
      <c r="B623">
        <f>VLOOKUP(A623,Reseller!G:H,2,0)</f>
        <v/>
      </c>
      <c r="C623" t="inlineStr">
        <is>
          <t>ONLINE</t>
        </is>
      </c>
      <c r="G623" s="34">
        <f>VLOOKUP(Table4[[#This Row],[AGEN ID]],Reseller!A:E,5,0)</f>
        <v/>
      </c>
    </row>
    <row r="624">
      <c r="A624" t="inlineStr">
        <is>
          <t>OP06573</t>
        </is>
      </c>
      <c r="B624">
        <f>VLOOKUP(A624,Reseller!G:H,2,0)</f>
        <v/>
      </c>
      <c r="C624" t="inlineStr">
        <is>
          <t>ONLINE</t>
        </is>
      </c>
      <c r="G624" s="34">
        <f>VLOOKUP(Table4[[#This Row],[AGEN ID]],Reseller!A:E,5,0)</f>
        <v/>
      </c>
    </row>
    <row r="625">
      <c r="A625" t="inlineStr">
        <is>
          <t>OP06583</t>
        </is>
      </c>
      <c r="B625">
        <f>VLOOKUP(A625,Reseller!G:H,2,0)</f>
        <v/>
      </c>
      <c r="C625" t="inlineStr">
        <is>
          <t>ONLINE</t>
        </is>
      </c>
      <c r="G625" s="34">
        <f>VLOOKUP(Table4[[#This Row],[AGEN ID]],Reseller!A:E,5,0)</f>
        <v/>
      </c>
    </row>
    <row r="626">
      <c r="A626" t="inlineStr">
        <is>
          <t>OP06594</t>
        </is>
      </c>
      <c r="B626">
        <f>VLOOKUP(A626,Reseller!G:H,2,0)</f>
        <v/>
      </c>
      <c r="C626" t="inlineStr">
        <is>
          <t>ONLINE</t>
        </is>
      </c>
      <c r="G626" s="34">
        <f>VLOOKUP(Table4[[#This Row],[AGEN ID]],Reseller!A:E,5,0)</f>
        <v/>
      </c>
    </row>
    <row r="627">
      <c r="A627" t="inlineStr">
        <is>
          <t>OP06628</t>
        </is>
      </c>
      <c r="B627">
        <f>VLOOKUP(A627,Reseller!G:H,2,0)</f>
        <v/>
      </c>
      <c r="C627" t="inlineStr">
        <is>
          <t>ONLINE</t>
        </is>
      </c>
      <c r="G627" s="34">
        <f>VLOOKUP(Table4[[#This Row],[AGEN ID]],Reseller!A:E,5,0)</f>
        <v/>
      </c>
    </row>
    <row r="628">
      <c r="A628" t="inlineStr">
        <is>
          <t>OP06631</t>
        </is>
      </c>
      <c r="B628">
        <f>VLOOKUP(A628,Reseller!G:H,2,0)</f>
        <v/>
      </c>
      <c r="C628" t="inlineStr">
        <is>
          <t>ONLINE</t>
        </is>
      </c>
      <c r="G628" s="34">
        <f>VLOOKUP(Table4[[#This Row],[AGEN ID]],Reseller!A:E,5,0)</f>
        <v/>
      </c>
    </row>
    <row r="629">
      <c r="A629" t="inlineStr">
        <is>
          <t>OP06641</t>
        </is>
      </c>
      <c r="B629">
        <f>VLOOKUP(A629,Reseller!G:H,2,0)</f>
        <v/>
      </c>
      <c r="C629" t="inlineStr">
        <is>
          <t>ONLINE</t>
        </is>
      </c>
      <c r="G629" s="34">
        <f>VLOOKUP(Table4[[#This Row],[AGEN ID]],Reseller!A:E,5,0)</f>
        <v/>
      </c>
    </row>
    <row r="630">
      <c r="A630" t="inlineStr">
        <is>
          <t>OP06664</t>
        </is>
      </c>
      <c r="B630">
        <f>VLOOKUP(A630,Reseller!G:H,2,0)</f>
        <v/>
      </c>
      <c r="C630" t="inlineStr">
        <is>
          <t>ONLINE</t>
        </is>
      </c>
      <c r="G630" s="34">
        <f>VLOOKUP(Table4[[#This Row],[AGEN ID]],Reseller!A:E,5,0)</f>
        <v/>
      </c>
    </row>
    <row r="631">
      <c r="A631" t="inlineStr">
        <is>
          <t>OP06667</t>
        </is>
      </c>
      <c r="B631">
        <f>VLOOKUP(A631,Reseller!G:H,2,0)</f>
        <v/>
      </c>
      <c r="C631" t="inlineStr">
        <is>
          <t>ONLINE</t>
        </is>
      </c>
      <c r="G631" s="34">
        <f>VLOOKUP(Table4[[#This Row],[AGEN ID]],Reseller!A:E,5,0)</f>
        <v/>
      </c>
    </row>
    <row r="632">
      <c r="A632" t="inlineStr">
        <is>
          <t>OP06669</t>
        </is>
      </c>
      <c r="B632">
        <f>VLOOKUP(A632,Reseller!G:H,2,0)</f>
        <v/>
      </c>
      <c r="C632" t="inlineStr">
        <is>
          <t>ONLINE</t>
        </is>
      </c>
      <c r="G632" s="34">
        <f>VLOOKUP(Table4[[#This Row],[AGEN ID]],Reseller!A:E,5,0)</f>
        <v/>
      </c>
    </row>
    <row r="633">
      <c r="A633" t="inlineStr">
        <is>
          <t>OP06692</t>
        </is>
      </c>
      <c r="B633">
        <f>VLOOKUP(A633,Reseller!G:H,2,0)</f>
        <v/>
      </c>
      <c r="C633" t="inlineStr">
        <is>
          <t>ONLINE</t>
        </is>
      </c>
      <c r="G633" s="34">
        <f>VLOOKUP(Table4[[#This Row],[AGEN ID]],Reseller!A:E,5,0)</f>
        <v/>
      </c>
    </row>
    <row r="634">
      <c r="A634" t="inlineStr">
        <is>
          <t>OP06748</t>
        </is>
      </c>
      <c r="B634">
        <f>VLOOKUP(A634,Reseller!G:H,2,0)</f>
        <v/>
      </c>
      <c r="C634" t="inlineStr">
        <is>
          <t>ONLINE</t>
        </is>
      </c>
      <c r="G634" s="34">
        <f>VLOOKUP(Table4[[#This Row],[AGEN ID]],Reseller!A:E,5,0)</f>
        <v/>
      </c>
    </row>
    <row r="635">
      <c r="A635" t="inlineStr">
        <is>
          <t>OP06749</t>
        </is>
      </c>
      <c r="B635">
        <f>VLOOKUP(A635,Reseller!G:H,2,0)</f>
        <v/>
      </c>
      <c r="C635" t="inlineStr">
        <is>
          <t>ONLINE</t>
        </is>
      </c>
      <c r="G635" s="34">
        <f>VLOOKUP(Table4[[#This Row],[AGEN ID]],Reseller!A:E,5,0)</f>
        <v/>
      </c>
    </row>
    <row r="636">
      <c r="A636" t="inlineStr">
        <is>
          <t>OP06753</t>
        </is>
      </c>
      <c r="B636">
        <f>VLOOKUP(A636,Reseller!G:H,2,0)</f>
        <v/>
      </c>
      <c r="C636" t="inlineStr">
        <is>
          <t>ONLINE</t>
        </is>
      </c>
      <c r="G636" s="34">
        <f>VLOOKUP(Table4[[#This Row],[AGEN ID]],Reseller!A:E,5,0)</f>
        <v/>
      </c>
    </row>
    <row r="637">
      <c r="A637" t="inlineStr">
        <is>
          <t>OP06759</t>
        </is>
      </c>
      <c r="B637">
        <f>VLOOKUP(A637,Reseller!G:H,2,0)</f>
        <v/>
      </c>
      <c r="C637" t="inlineStr">
        <is>
          <t>ONLINE</t>
        </is>
      </c>
      <c r="G637" s="34">
        <f>VLOOKUP(Table4[[#This Row],[AGEN ID]],Reseller!A:E,5,0)</f>
        <v/>
      </c>
    </row>
    <row r="638">
      <c r="A638" t="inlineStr">
        <is>
          <t>OP06767</t>
        </is>
      </c>
      <c r="B638">
        <f>VLOOKUP(A638,Reseller!G:H,2,0)</f>
        <v/>
      </c>
      <c r="C638" t="inlineStr">
        <is>
          <t>ONLINE</t>
        </is>
      </c>
      <c r="G638" s="34">
        <f>VLOOKUP(Table4[[#This Row],[AGEN ID]],Reseller!A:E,5,0)</f>
        <v/>
      </c>
    </row>
    <row r="639">
      <c r="A639" t="inlineStr">
        <is>
          <t>OP06773</t>
        </is>
      </c>
      <c r="B639">
        <f>VLOOKUP(A639,Reseller!G:H,2,0)</f>
        <v/>
      </c>
      <c r="C639" t="inlineStr">
        <is>
          <t>ONLINE</t>
        </is>
      </c>
      <c r="G639" s="34">
        <f>VLOOKUP(Table4[[#This Row],[AGEN ID]],Reseller!A:E,5,0)</f>
        <v/>
      </c>
    </row>
    <row r="640">
      <c r="A640" t="inlineStr">
        <is>
          <t>OP06781</t>
        </is>
      </c>
      <c r="B640">
        <f>VLOOKUP(A640,Reseller!G:H,2,0)</f>
        <v/>
      </c>
      <c r="C640" t="inlineStr">
        <is>
          <t>ONLINE</t>
        </is>
      </c>
      <c r="G640" s="34">
        <f>VLOOKUP(Table4[[#This Row],[AGEN ID]],Reseller!A:E,5,0)</f>
        <v/>
      </c>
    </row>
    <row r="641">
      <c r="A641" t="inlineStr">
        <is>
          <t>OP06785</t>
        </is>
      </c>
      <c r="B641">
        <f>VLOOKUP(A641,Reseller!G:H,2,0)</f>
        <v/>
      </c>
      <c r="C641" t="inlineStr">
        <is>
          <t>ONLINE</t>
        </is>
      </c>
      <c r="G641" s="34">
        <f>VLOOKUP(Table4[[#This Row],[AGEN ID]],Reseller!A:E,5,0)</f>
        <v/>
      </c>
    </row>
    <row r="642">
      <c r="A642" t="inlineStr">
        <is>
          <t>OP06815</t>
        </is>
      </c>
      <c r="B642">
        <f>VLOOKUP(A642,Reseller!G:H,2,0)</f>
        <v/>
      </c>
      <c r="C642" t="inlineStr">
        <is>
          <t>ONLINE</t>
        </is>
      </c>
      <c r="G642" s="34">
        <f>VLOOKUP(Table4[[#This Row],[AGEN ID]],Reseller!A:E,5,0)</f>
        <v/>
      </c>
    </row>
    <row r="643">
      <c r="A643" t="inlineStr">
        <is>
          <t>OP06823</t>
        </is>
      </c>
      <c r="B643">
        <f>VLOOKUP(A643,Reseller!G:H,2,0)</f>
        <v/>
      </c>
      <c r="C643" t="inlineStr">
        <is>
          <t>ONLINE</t>
        </is>
      </c>
      <c r="G643" s="34">
        <f>VLOOKUP(Table4[[#This Row],[AGEN ID]],Reseller!A:E,5,0)</f>
        <v/>
      </c>
    </row>
    <row r="644">
      <c r="A644" t="inlineStr">
        <is>
          <t>OP06832</t>
        </is>
      </c>
      <c r="B644">
        <f>VLOOKUP(A644,Reseller!G:H,2,0)</f>
        <v/>
      </c>
      <c r="C644" t="inlineStr">
        <is>
          <t>ONLINE</t>
        </is>
      </c>
      <c r="G644" s="34">
        <f>VLOOKUP(Table4[[#This Row],[AGEN ID]],Reseller!A:E,5,0)</f>
        <v/>
      </c>
    </row>
    <row r="645">
      <c r="A645" t="inlineStr">
        <is>
          <t>OP06854</t>
        </is>
      </c>
      <c r="B645">
        <f>VLOOKUP(A645,Reseller!G:H,2,0)</f>
        <v/>
      </c>
      <c r="C645" t="inlineStr">
        <is>
          <t>ONLINE</t>
        </is>
      </c>
      <c r="G645" s="34">
        <f>VLOOKUP(Table4[[#This Row],[AGEN ID]],Reseller!A:E,5,0)</f>
        <v/>
      </c>
    </row>
    <row r="646">
      <c r="A646" t="inlineStr">
        <is>
          <t>OP06858</t>
        </is>
      </c>
      <c r="B646">
        <f>VLOOKUP(A646,Reseller!G:H,2,0)</f>
        <v/>
      </c>
      <c r="C646" t="inlineStr">
        <is>
          <t>ONLINE</t>
        </is>
      </c>
      <c r="G646" s="34">
        <f>VLOOKUP(Table4[[#This Row],[AGEN ID]],Reseller!A:E,5,0)</f>
        <v/>
      </c>
    </row>
    <row r="647">
      <c r="A647" t="inlineStr">
        <is>
          <t>OP06860</t>
        </is>
      </c>
      <c r="B647">
        <f>VLOOKUP(A647,Reseller!G:H,2,0)</f>
        <v/>
      </c>
      <c r="C647" t="inlineStr">
        <is>
          <t>ONLINE</t>
        </is>
      </c>
      <c r="G647" s="34">
        <f>VLOOKUP(Table4[[#This Row],[AGEN ID]],Reseller!A:E,5,0)</f>
        <v/>
      </c>
    </row>
    <row r="648">
      <c r="A648" t="inlineStr">
        <is>
          <t>OP06862</t>
        </is>
      </c>
      <c r="B648">
        <f>VLOOKUP(A648,Reseller!G:H,2,0)</f>
        <v/>
      </c>
      <c r="C648" t="inlineStr">
        <is>
          <t>ONLINE</t>
        </is>
      </c>
      <c r="G648" s="34">
        <f>VLOOKUP(Table4[[#This Row],[AGEN ID]],Reseller!A:E,5,0)</f>
        <v/>
      </c>
    </row>
    <row r="649">
      <c r="A649" t="inlineStr">
        <is>
          <t>OP06864</t>
        </is>
      </c>
      <c r="B649">
        <f>VLOOKUP(A649,Reseller!G:H,2,0)</f>
        <v/>
      </c>
      <c r="C649" t="inlineStr">
        <is>
          <t>ONLINE</t>
        </is>
      </c>
      <c r="G649" s="34">
        <f>VLOOKUP(Table4[[#This Row],[AGEN ID]],Reseller!A:E,5,0)</f>
        <v/>
      </c>
    </row>
    <row r="650">
      <c r="A650" t="inlineStr">
        <is>
          <t>OP06874</t>
        </is>
      </c>
      <c r="B650">
        <f>VLOOKUP(A650,Reseller!G:H,2,0)</f>
        <v/>
      </c>
      <c r="C650" t="inlineStr">
        <is>
          <t>ONLINE</t>
        </is>
      </c>
      <c r="G650" s="34">
        <f>VLOOKUP(Table4[[#This Row],[AGEN ID]],Reseller!A:E,5,0)</f>
        <v/>
      </c>
    </row>
    <row r="651">
      <c r="A651" t="inlineStr">
        <is>
          <t>OP06892</t>
        </is>
      </c>
      <c r="B651">
        <f>VLOOKUP(A651,Reseller!G:H,2,0)</f>
        <v/>
      </c>
      <c r="C651" t="inlineStr">
        <is>
          <t>ONLINE</t>
        </is>
      </c>
      <c r="G651" s="34">
        <f>VLOOKUP(Table4[[#This Row],[AGEN ID]],Reseller!A:E,5,0)</f>
        <v/>
      </c>
    </row>
    <row r="652">
      <c r="A652" t="inlineStr">
        <is>
          <t>OP06915</t>
        </is>
      </c>
      <c r="B652">
        <f>VLOOKUP(A652,Reseller!G:H,2,0)</f>
        <v/>
      </c>
      <c r="C652" t="inlineStr">
        <is>
          <t>ONLINE</t>
        </is>
      </c>
      <c r="G652" s="34">
        <f>VLOOKUP(Table4[[#This Row],[AGEN ID]],Reseller!A:E,5,0)</f>
        <v/>
      </c>
    </row>
    <row r="653">
      <c r="A653" t="inlineStr">
        <is>
          <t>OP06931</t>
        </is>
      </c>
      <c r="B653">
        <f>VLOOKUP(A653,Reseller!G:H,2,0)</f>
        <v/>
      </c>
      <c r="C653" t="inlineStr">
        <is>
          <t>ONLINE</t>
        </is>
      </c>
      <c r="G653" s="34">
        <f>VLOOKUP(Table4[[#This Row],[AGEN ID]],Reseller!A:E,5,0)</f>
        <v/>
      </c>
    </row>
    <row r="654">
      <c r="A654" t="inlineStr">
        <is>
          <t>OP06957</t>
        </is>
      </c>
      <c r="B654">
        <f>VLOOKUP(A654,Reseller!G:H,2,0)</f>
        <v/>
      </c>
      <c r="C654" t="inlineStr">
        <is>
          <t>ONLINE</t>
        </is>
      </c>
      <c r="G654" s="34">
        <f>VLOOKUP(Table4[[#This Row],[AGEN ID]],Reseller!A:E,5,0)</f>
        <v/>
      </c>
    </row>
    <row r="655">
      <c r="A655" t="inlineStr">
        <is>
          <t>OP06958</t>
        </is>
      </c>
      <c r="B655">
        <f>VLOOKUP(A655,Reseller!G:H,2,0)</f>
        <v/>
      </c>
      <c r="C655" t="inlineStr">
        <is>
          <t>ONLINE</t>
        </is>
      </c>
      <c r="G655" s="34">
        <f>VLOOKUP(Table4[[#This Row],[AGEN ID]],Reseller!A:E,5,0)</f>
        <v/>
      </c>
    </row>
    <row r="656">
      <c r="A656" t="inlineStr">
        <is>
          <t>OP06972</t>
        </is>
      </c>
      <c r="B656">
        <f>VLOOKUP(A656,Reseller!G:H,2,0)</f>
        <v/>
      </c>
      <c r="C656" t="inlineStr">
        <is>
          <t>ONLINE</t>
        </is>
      </c>
      <c r="G656" s="34">
        <f>VLOOKUP(Table4[[#This Row],[AGEN ID]],Reseller!A:E,5,0)</f>
        <v/>
      </c>
    </row>
    <row r="657">
      <c r="A657" t="inlineStr">
        <is>
          <t>OP06973</t>
        </is>
      </c>
      <c r="B657">
        <f>VLOOKUP(A657,Reseller!G:H,2,0)</f>
        <v/>
      </c>
      <c r="C657" t="inlineStr">
        <is>
          <t>ONLINE</t>
        </is>
      </c>
      <c r="G657" s="34">
        <f>VLOOKUP(Table4[[#This Row],[AGEN ID]],Reseller!A:E,5,0)</f>
        <v/>
      </c>
    </row>
    <row r="658">
      <c r="A658" t="inlineStr">
        <is>
          <t>OP06984</t>
        </is>
      </c>
      <c r="B658">
        <f>VLOOKUP(A658,Reseller!G:H,2,0)</f>
        <v/>
      </c>
      <c r="C658" t="inlineStr">
        <is>
          <t>ONLINE</t>
        </is>
      </c>
      <c r="G658" s="34">
        <f>VLOOKUP(Table4[[#This Row],[AGEN ID]],Reseller!A:E,5,0)</f>
        <v/>
      </c>
    </row>
    <row r="659">
      <c r="A659" t="inlineStr">
        <is>
          <t>OP06991</t>
        </is>
      </c>
      <c r="B659">
        <f>VLOOKUP(A659,Reseller!G:H,2,0)</f>
        <v/>
      </c>
      <c r="C659" t="inlineStr">
        <is>
          <t>ONLINE</t>
        </is>
      </c>
      <c r="G659" s="34">
        <f>VLOOKUP(Table4[[#This Row],[AGEN ID]],Reseller!A:E,5,0)</f>
        <v/>
      </c>
    </row>
    <row r="660">
      <c r="A660" t="inlineStr">
        <is>
          <t>OP07001</t>
        </is>
      </c>
      <c r="B660">
        <f>VLOOKUP(A660,Reseller!G:H,2,0)</f>
        <v/>
      </c>
      <c r="C660" t="inlineStr">
        <is>
          <t>ONLINE</t>
        </is>
      </c>
      <c r="G660" s="34">
        <f>VLOOKUP(Table4[[#This Row],[AGEN ID]],Reseller!A:E,5,0)</f>
        <v/>
      </c>
    </row>
    <row r="661">
      <c r="A661" t="inlineStr">
        <is>
          <t>OP07011</t>
        </is>
      </c>
      <c r="B661">
        <f>VLOOKUP(A661,Reseller!G:H,2,0)</f>
        <v/>
      </c>
      <c r="C661" t="inlineStr">
        <is>
          <t>ONLINE</t>
        </is>
      </c>
      <c r="G661" s="34">
        <f>VLOOKUP(Table4[[#This Row],[AGEN ID]],Reseller!A:E,5,0)</f>
        <v/>
      </c>
    </row>
    <row r="662">
      <c r="A662" t="inlineStr">
        <is>
          <t>OP07012</t>
        </is>
      </c>
      <c r="B662">
        <f>VLOOKUP(A662,Reseller!G:H,2,0)</f>
        <v/>
      </c>
      <c r="C662" t="inlineStr">
        <is>
          <t>ONLINE</t>
        </is>
      </c>
      <c r="G662" s="34">
        <f>VLOOKUP(Table4[[#This Row],[AGEN ID]],Reseller!A:E,5,0)</f>
        <v/>
      </c>
    </row>
    <row r="663">
      <c r="A663" t="inlineStr">
        <is>
          <t>OP07015</t>
        </is>
      </c>
      <c r="B663">
        <f>VLOOKUP(A663,Reseller!G:H,2,0)</f>
        <v/>
      </c>
      <c r="C663" t="inlineStr">
        <is>
          <t>ONLINE</t>
        </is>
      </c>
      <c r="G663" s="34">
        <f>VLOOKUP(Table4[[#This Row],[AGEN ID]],Reseller!A:E,5,0)</f>
        <v/>
      </c>
    </row>
    <row r="664">
      <c r="A664" t="inlineStr">
        <is>
          <t>OP07026</t>
        </is>
      </c>
      <c r="B664">
        <f>VLOOKUP(A664,Reseller!G:H,2,0)</f>
        <v/>
      </c>
      <c r="C664" t="inlineStr">
        <is>
          <t>ONLINE</t>
        </is>
      </c>
      <c r="G664" s="34">
        <f>VLOOKUP(Table4[[#This Row],[AGEN ID]],Reseller!A:E,5,0)</f>
        <v/>
      </c>
    </row>
    <row r="665">
      <c r="A665" t="inlineStr">
        <is>
          <t>OP07028</t>
        </is>
      </c>
      <c r="B665">
        <f>VLOOKUP(A665,Reseller!G:H,2,0)</f>
        <v/>
      </c>
      <c r="C665" t="inlineStr">
        <is>
          <t>ONLINE</t>
        </is>
      </c>
      <c r="G665" s="34">
        <f>VLOOKUP(Table4[[#This Row],[AGEN ID]],Reseller!A:E,5,0)</f>
        <v/>
      </c>
    </row>
    <row r="666">
      <c r="A666" t="inlineStr">
        <is>
          <t>OP07037</t>
        </is>
      </c>
      <c r="B666">
        <f>VLOOKUP(A666,Reseller!G:H,2,0)</f>
        <v/>
      </c>
      <c r="C666" t="inlineStr">
        <is>
          <t>ONLINE</t>
        </is>
      </c>
      <c r="G666" s="34">
        <f>VLOOKUP(Table4[[#This Row],[AGEN ID]],Reseller!A:E,5,0)</f>
        <v/>
      </c>
    </row>
    <row r="667">
      <c r="A667" t="inlineStr">
        <is>
          <t>OP07058</t>
        </is>
      </c>
      <c r="B667">
        <f>VLOOKUP(A667,Reseller!G:H,2,0)</f>
        <v/>
      </c>
      <c r="C667" t="inlineStr">
        <is>
          <t>ONLINE</t>
        </is>
      </c>
      <c r="G667" s="34">
        <f>VLOOKUP(Table4[[#This Row],[AGEN ID]],Reseller!A:E,5,0)</f>
        <v/>
      </c>
    </row>
    <row r="668">
      <c r="A668" t="inlineStr">
        <is>
          <t>OP07070</t>
        </is>
      </c>
      <c r="B668">
        <f>VLOOKUP(A668,Reseller!G:H,2,0)</f>
        <v/>
      </c>
      <c r="C668" t="inlineStr">
        <is>
          <t>ONLINE</t>
        </is>
      </c>
      <c r="G668" s="34">
        <f>VLOOKUP(Table4[[#This Row],[AGEN ID]],Reseller!A:E,5,0)</f>
        <v/>
      </c>
    </row>
    <row r="669">
      <c r="A669" t="inlineStr">
        <is>
          <t>OP07075</t>
        </is>
      </c>
      <c r="B669">
        <f>VLOOKUP(A669,Reseller!G:H,2,0)</f>
        <v/>
      </c>
      <c r="C669" t="inlineStr">
        <is>
          <t>ONLINE</t>
        </is>
      </c>
      <c r="G669" s="34">
        <f>VLOOKUP(Table4[[#This Row],[AGEN ID]],Reseller!A:E,5,0)</f>
        <v/>
      </c>
    </row>
    <row r="670">
      <c r="A670" t="inlineStr">
        <is>
          <t>OP07079</t>
        </is>
      </c>
      <c r="B670">
        <f>VLOOKUP(A670,Reseller!G:H,2,0)</f>
        <v/>
      </c>
      <c r="C670" t="inlineStr">
        <is>
          <t>ONLINE</t>
        </is>
      </c>
      <c r="G670" s="34">
        <f>VLOOKUP(Table4[[#This Row],[AGEN ID]],Reseller!A:E,5,0)</f>
        <v/>
      </c>
    </row>
    <row r="671">
      <c r="A671" t="inlineStr">
        <is>
          <t>OP07120</t>
        </is>
      </c>
      <c r="B671">
        <f>VLOOKUP(A671,Reseller!G:H,2,0)</f>
        <v/>
      </c>
      <c r="C671" t="inlineStr">
        <is>
          <t>ONLINE</t>
        </is>
      </c>
      <c r="G671" s="34">
        <f>VLOOKUP(Table4[[#This Row],[AGEN ID]],Reseller!A:E,5,0)</f>
        <v/>
      </c>
    </row>
    <row r="672">
      <c r="A672" t="inlineStr">
        <is>
          <t>OP07121</t>
        </is>
      </c>
      <c r="B672">
        <f>VLOOKUP(A672,Reseller!G:H,2,0)</f>
        <v/>
      </c>
      <c r="C672" t="inlineStr">
        <is>
          <t>ONLINE</t>
        </is>
      </c>
      <c r="G672" s="34">
        <f>VLOOKUP(Table4[[#This Row],[AGEN ID]],Reseller!A:E,5,0)</f>
        <v/>
      </c>
    </row>
    <row r="673">
      <c r="A673" t="inlineStr">
        <is>
          <t>OP07130</t>
        </is>
      </c>
      <c r="B673">
        <f>VLOOKUP(A673,Reseller!G:H,2,0)</f>
        <v/>
      </c>
      <c r="C673" t="inlineStr">
        <is>
          <t>ONLINE</t>
        </is>
      </c>
      <c r="G673" s="34">
        <f>VLOOKUP(Table4[[#This Row],[AGEN ID]],Reseller!A:E,5,0)</f>
        <v/>
      </c>
    </row>
    <row r="674">
      <c r="A674" t="inlineStr">
        <is>
          <t>OP07132</t>
        </is>
      </c>
      <c r="B674">
        <f>VLOOKUP(A674,Reseller!G:H,2,0)</f>
        <v/>
      </c>
      <c r="C674" t="inlineStr">
        <is>
          <t>ONLINE</t>
        </is>
      </c>
      <c r="G674" s="34">
        <f>VLOOKUP(Table4[[#This Row],[AGEN ID]],Reseller!A:E,5,0)</f>
        <v/>
      </c>
    </row>
    <row r="675">
      <c r="A675" t="inlineStr">
        <is>
          <t>OP07134</t>
        </is>
      </c>
      <c r="B675">
        <f>VLOOKUP(A675,Reseller!G:H,2,0)</f>
        <v/>
      </c>
      <c r="C675" t="inlineStr">
        <is>
          <t>ONLINE</t>
        </is>
      </c>
      <c r="G675" s="34">
        <f>VLOOKUP(Table4[[#This Row],[AGEN ID]],Reseller!A:E,5,0)</f>
        <v/>
      </c>
    </row>
    <row r="676">
      <c r="A676" t="inlineStr">
        <is>
          <t>OP07143</t>
        </is>
      </c>
      <c r="B676">
        <f>VLOOKUP(A676,Reseller!G:H,2,0)</f>
        <v/>
      </c>
      <c r="C676" t="inlineStr">
        <is>
          <t>ONLINE</t>
        </is>
      </c>
      <c r="G676" s="34">
        <f>VLOOKUP(Table4[[#This Row],[AGEN ID]],Reseller!A:E,5,0)</f>
        <v/>
      </c>
    </row>
    <row r="677">
      <c r="A677" t="inlineStr">
        <is>
          <t>OP07159</t>
        </is>
      </c>
      <c r="B677">
        <f>VLOOKUP(A677,Reseller!G:H,2,0)</f>
        <v/>
      </c>
      <c r="C677" t="inlineStr">
        <is>
          <t>ONLINE</t>
        </is>
      </c>
      <c r="G677" s="34">
        <f>VLOOKUP(Table4[[#This Row],[AGEN ID]],Reseller!A:E,5,0)</f>
        <v/>
      </c>
    </row>
    <row r="678">
      <c r="A678" t="inlineStr">
        <is>
          <t>OP07174</t>
        </is>
      </c>
      <c r="B678">
        <f>VLOOKUP(A678,Reseller!G:H,2,0)</f>
        <v/>
      </c>
      <c r="C678" t="inlineStr">
        <is>
          <t>ONLINE</t>
        </is>
      </c>
      <c r="G678" s="34">
        <f>VLOOKUP(Table4[[#This Row],[AGEN ID]],Reseller!A:E,5,0)</f>
        <v/>
      </c>
    </row>
    <row r="679">
      <c r="A679" t="inlineStr">
        <is>
          <t>OP07179</t>
        </is>
      </c>
      <c r="B679">
        <f>VLOOKUP(A679,Reseller!G:H,2,0)</f>
        <v/>
      </c>
      <c r="C679" t="inlineStr">
        <is>
          <t>ONLINE</t>
        </is>
      </c>
      <c r="G679" s="34">
        <f>VLOOKUP(Table4[[#This Row],[AGEN ID]],Reseller!A:E,5,0)</f>
        <v/>
      </c>
    </row>
    <row r="680">
      <c r="A680" t="inlineStr">
        <is>
          <t>OP07180</t>
        </is>
      </c>
      <c r="B680">
        <f>VLOOKUP(A680,Reseller!G:H,2,0)</f>
        <v/>
      </c>
      <c r="C680" t="inlineStr">
        <is>
          <t>ONLINE</t>
        </is>
      </c>
      <c r="G680" s="34">
        <f>VLOOKUP(Table4[[#This Row],[AGEN ID]],Reseller!A:E,5,0)</f>
        <v/>
      </c>
    </row>
    <row r="681">
      <c r="A681" t="inlineStr">
        <is>
          <t>OP07194</t>
        </is>
      </c>
      <c r="B681">
        <f>VLOOKUP(A681,Reseller!G:H,2,0)</f>
        <v/>
      </c>
      <c r="C681" t="inlineStr">
        <is>
          <t>ONLINE</t>
        </is>
      </c>
      <c r="G681" s="34">
        <f>VLOOKUP(Table4[[#This Row],[AGEN ID]],Reseller!A:E,5,0)</f>
        <v/>
      </c>
    </row>
    <row r="682">
      <c r="A682" t="inlineStr">
        <is>
          <t>OP07198</t>
        </is>
      </c>
      <c r="B682">
        <f>VLOOKUP(A682,Reseller!G:H,2,0)</f>
        <v/>
      </c>
      <c r="C682" t="inlineStr">
        <is>
          <t>ONLINE</t>
        </is>
      </c>
      <c r="G682" s="34">
        <f>VLOOKUP(Table4[[#This Row],[AGEN ID]],Reseller!A:E,5,0)</f>
        <v/>
      </c>
    </row>
    <row r="683">
      <c r="A683" t="inlineStr">
        <is>
          <t>OP07201</t>
        </is>
      </c>
      <c r="B683">
        <f>VLOOKUP(A683,Reseller!G:H,2,0)</f>
        <v/>
      </c>
      <c r="C683" t="inlineStr">
        <is>
          <t>ONLINE</t>
        </is>
      </c>
      <c r="G683" s="34">
        <f>VLOOKUP(Table4[[#This Row],[AGEN ID]],Reseller!A:E,5,0)</f>
        <v/>
      </c>
    </row>
    <row r="684">
      <c r="A684" t="inlineStr">
        <is>
          <t>OP07202</t>
        </is>
      </c>
      <c r="B684">
        <f>VLOOKUP(A684,Reseller!G:H,2,0)</f>
        <v/>
      </c>
      <c r="C684" t="inlineStr">
        <is>
          <t>ONLINE</t>
        </is>
      </c>
      <c r="G684" s="34">
        <f>VLOOKUP(Table4[[#This Row],[AGEN ID]],Reseller!A:E,5,0)</f>
        <v/>
      </c>
    </row>
    <row r="685">
      <c r="A685" t="inlineStr">
        <is>
          <t>OP07204</t>
        </is>
      </c>
      <c r="B685">
        <f>VLOOKUP(A685,Reseller!G:H,2,0)</f>
        <v/>
      </c>
      <c r="C685" t="inlineStr">
        <is>
          <t>ONLINE</t>
        </is>
      </c>
      <c r="G685" s="34">
        <f>VLOOKUP(Table4[[#This Row],[AGEN ID]],Reseller!A:E,5,0)</f>
        <v/>
      </c>
    </row>
    <row r="686">
      <c r="A686" t="inlineStr">
        <is>
          <t>OP07217</t>
        </is>
      </c>
      <c r="B686">
        <f>VLOOKUP(A686,Reseller!G:H,2,0)</f>
        <v/>
      </c>
      <c r="C686" t="inlineStr">
        <is>
          <t>ONLINE</t>
        </is>
      </c>
      <c r="G686" s="34">
        <f>VLOOKUP(Table4[[#This Row],[AGEN ID]],Reseller!A:E,5,0)</f>
        <v/>
      </c>
    </row>
    <row r="687">
      <c r="A687" t="inlineStr">
        <is>
          <t>OP07236</t>
        </is>
      </c>
      <c r="B687">
        <f>VLOOKUP(A687,Reseller!G:H,2,0)</f>
        <v/>
      </c>
      <c r="C687" t="inlineStr">
        <is>
          <t>ONLINE</t>
        </is>
      </c>
      <c r="G687" s="34">
        <f>VLOOKUP(Table4[[#This Row],[AGEN ID]],Reseller!A:E,5,0)</f>
        <v/>
      </c>
    </row>
    <row r="688">
      <c r="A688" t="inlineStr">
        <is>
          <t>OP07263</t>
        </is>
      </c>
      <c r="B688">
        <f>VLOOKUP(A688,Reseller!G:H,2,0)</f>
        <v/>
      </c>
      <c r="C688" t="inlineStr">
        <is>
          <t>ONLINE</t>
        </is>
      </c>
      <c r="G688" s="34">
        <f>VLOOKUP(Table4[[#This Row],[AGEN ID]],Reseller!A:E,5,0)</f>
        <v/>
      </c>
    </row>
    <row r="689">
      <c r="A689" t="inlineStr">
        <is>
          <t>OP07266</t>
        </is>
      </c>
      <c r="B689">
        <f>VLOOKUP(A689,Reseller!G:H,2,0)</f>
        <v/>
      </c>
      <c r="C689" t="inlineStr">
        <is>
          <t>ONLINE</t>
        </is>
      </c>
      <c r="G689" s="34">
        <f>VLOOKUP(Table4[[#This Row],[AGEN ID]],Reseller!A:E,5,0)</f>
        <v/>
      </c>
    </row>
    <row r="690">
      <c r="A690" t="inlineStr">
        <is>
          <t>OP07267</t>
        </is>
      </c>
      <c r="B690">
        <f>VLOOKUP(A690,Reseller!G:H,2,0)</f>
        <v/>
      </c>
      <c r="C690" t="inlineStr">
        <is>
          <t>ONLINE</t>
        </is>
      </c>
      <c r="G690" s="34">
        <f>VLOOKUP(Table4[[#This Row],[AGEN ID]],Reseller!A:E,5,0)</f>
        <v/>
      </c>
    </row>
    <row r="691">
      <c r="A691" t="inlineStr">
        <is>
          <t>OP07280</t>
        </is>
      </c>
      <c r="B691">
        <f>VLOOKUP(A691,Reseller!G:H,2,0)</f>
        <v/>
      </c>
      <c r="C691" t="inlineStr">
        <is>
          <t>ONLINE</t>
        </is>
      </c>
      <c r="G691" s="34">
        <f>VLOOKUP(Table4[[#This Row],[AGEN ID]],Reseller!A:E,5,0)</f>
        <v/>
      </c>
    </row>
    <row r="692">
      <c r="A692" t="inlineStr">
        <is>
          <t>OP07282</t>
        </is>
      </c>
      <c r="B692">
        <f>VLOOKUP(A692,Reseller!G:H,2,0)</f>
        <v/>
      </c>
      <c r="C692" t="inlineStr">
        <is>
          <t>ONLINE</t>
        </is>
      </c>
      <c r="G692" s="34">
        <f>VLOOKUP(Table4[[#This Row],[AGEN ID]],Reseller!A:E,5,0)</f>
        <v/>
      </c>
    </row>
    <row r="693">
      <c r="A693" t="inlineStr">
        <is>
          <t>OP07285</t>
        </is>
      </c>
      <c r="B693">
        <f>VLOOKUP(A693,Reseller!G:H,2,0)</f>
        <v/>
      </c>
      <c r="C693" t="inlineStr">
        <is>
          <t>ONLINE</t>
        </is>
      </c>
      <c r="G693" s="34">
        <f>VLOOKUP(Table4[[#This Row],[AGEN ID]],Reseller!A:E,5,0)</f>
        <v/>
      </c>
    </row>
    <row r="694">
      <c r="A694" t="inlineStr">
        <is>
          <t>OP07292</t>
        </is>
      </c>
      <c r="B694">
        <f>VLOOKUP(A694,Reseller!G:H,2,0)</f>
        <v/>
      </c>
      <c r="C694" t="inlineStr">
        <is>
          <t>ONLINE</t>
        </is>
      </c>
      <c r="G694" s="34">
        <f>VLOOKUP(Table4[[#This Row],[AGEN ID]],Reseller!A:E,5,0)</f>
        <v/>
      </c>
    </row>
    <row r="695">
      <c r="A695" t="inlineStr">
        <is>
          <t>OP07298</t>
        </is>
      </c>
      <c r="B695">
        <f>VLOOKUP(A695,Reseller!G:H,2,0)</f>
        <v/>
      </c>
      <c r="C695" t="inlineStr">
        <is>
          <t>ONLINE</t>
        </is>
      </c>
      <c r="G695" s="34">
        <f>VLOOKUP(Table4[[#This Row],[AGEN ID]],Reseller!A:E,5,0)</f>
        <v/>
      </c>
    </row>
    <row r="696">
      <c r="A696" t="inlineStr">
        <is>
          <t>OP07312</t>
        </is>
      </c>
      <c r="B696">
        <f>VLOOKUP(A696,Reseller!G:H,2,0)</f>
        <v/>
      </c>
      <c r="C696" t="inlineStr">
        <is>
          <t>ONLINE</t>
        </is>
      </c>
      <c r="G696" s="34">
        <f>VLOOKUP(Table4[[#This Row],[AGEN ID]],Reseller!A:E,5,0)</f>
        <v/>
      </c>
    </row>
    <row r="697">
      <c r="A697" t="inlineStr">
        <is>
          <t>OP07339</t>
        </is>
      </c>
      <c r="B697">
        <f>VLOOKUP(A697,Reseller!G:H,2,0)</f>
        <v/>
      </c>
      <c r="C697" t="inlineStr">
        <is>
          <t>ONLINE</t>
        </is>
      </c>
      <c r="G697" s="34">
        <f>VLOOKUP(Table4[[#This Row],[AGEN ID]],Reseller!A:E,5,0)</f>
        <v/>
      </c>
    </row>
    <row r="698">
      <c r="A698" t="inlineStr">
        <is>
          <t>OP07347</t>
        </is>
      </c>
      <c r="B698">
        <f>VLOOKUP(A698,Reseller!G:H,2,0)</f>
        <v/>
      </c>
      <c r="C698" t="inlineStr">
        <is>
          <t>ONLINE</t>
        </is>
      </c>
      <c r="G698" s="34">
        <f>VLOOKUP(Table4[[#This Row],[AGEN ID]],Reseller!A:E,5,0)</f>
        <v/>
      </c>
    </row>
    <row r="699">
      <c r="A699" t="inlineStr">
        <is>
          <t>OP07348</t>
        </is>
      </c>
      <c r="B699">
        <f>VLOOKUP(A699,Reseller!G:H,2,0)</f>
        <v/>
      </c>
      <c r="C699" t="inlineStr">
        <is>
          <t>ONLINE</t>
        </is>
      </c>
      <c r="G699" s="34">
        <f>VLOOKUP(Table4[[#This Row],[AGEN ID]],Reseller!A:E,5,0)</f>
        <v/>
      </c>
    </row>
    <row r="700">
      <c r="A700" t="inlineStr">
        <is>
          <t>OP07351</t>
        </is>
      </c>
      <c r="B700">
        <f>VLOOKUP(A700,Reseller!G:H,2,0)</f>
        <v/>
      </c>
      <c r="C700" t="inlineStr">
        <is>
          <t>ONLINE</t>
        </is>
      </c>
      <c r="G700" s="34">
        <f>VLOOKUP(Table4[[#This Row],[AGEN ID]],Reseller!A:E,5,0)</f>
        <v/>
      </c>
    </row>
    <row r="701">
      <c r="A701" t="inlineStr">
        <is>
          <t>OP07352</t>
        </is>
      </c>
      <c r="B701">
        <f>VLOOKUP(A701,Reseller!G:H,2,0)</f>
        <v/>
      </c>
      <c r="C701" t="inlineStr">
        <is>
          <t>ONLINE</t>
        </is>
      </c>
      <c r="G701" s="34">
        <f>VLOOKUP(Table4[[#This Row],[AGEN ID]],Reseller!A:E,5,0)</f>
        <v/>
      </c>
    </row>
    <row r="702">
      <c r="A702" t="inlineStr">
        <is>
          <t>OP07355</t>
        </is>
      </c>
      <c r="B702">
        <f>VLOOKUP(A702,Reseller!G:H,2,0)</f>
        <v/>
      </c>
      <c r="C702" t="inlineStr">
        <is>
          <t>ONLINE</t>
        </is>
      </c>
      <c r="G702" s="34">
        <f>VLOOKUP(Table4[[#This Row],[AGEN ID]],Reseller!A:E,5,0)</f>
        <v/>
      </c>
    </row>
    <row r="703">
      <c r="A703" t="inlineStr">
        <is>
          <t>OP07357</t>
        </is>
      </c>
      <c r="B703">
        <f>VLOOKUP(A703,Reseller!G:H,2,0)</f>
        <v/>
      </c>
      <c r="C703" t="inlineStr">
        <is>
          <t>ONLINE</t>
        </is>
      </c>
      <c r="G703" s="34">
        <f>VLOOKUP(Table4[[#This Row],[AGEN ID]],Reseller!A:E,5,0)</f>
        <v/>
      </c>
    </row>
    <row r="704">
      <c r="A704" t="inlineStr">
        <is>
          <t>OP07359</t>
        </is>
      </c>
      <c r="B704">
        <f>VLOOKUP(A704,Reseller!G:H,2,0)</f>
        <v/>
      </c>
      <c r="C704" t="inlineStr">
        <is>
          <t>ONLINE</t>
        </is>
      </c>
      <c r="G704" s="34">
        <f>VLOOKUP(Table4[[#This Row],[AGEN ID]],Reseller!A:E,5,0)</f>
        <v/>
      </c>
    </row>
    <row r="705">
      <c r="A705" s="32" t="inlineStr">
        <is>
          <t>OP07360</t>
        </is>
      </c>
      <c r="B705">
        <f>VLOOKUP(A705,Reseller!G:H,2,0)</f>
        <v/>
      </c>
      <c r="C705" t="inlineStr">
        <is>
          <t>ONLINE</t>
        </is>
      </c>
      <c r="G705" s="34">
        <f>VLOOKUP(Table4[[#This Row],[AGEN ID]],Reseller!A:E,5,0)</f>
        <v/>
      </c>
    </row>
    <row r="706">
      <c r="A706" t="inlineStr">
        <is>
          <t>OP07366</t>
        </is>
      </c>
      <c r="B706">
        <f>VLOOKUP(A706,Reseller!G:H,2,0)</f>
        <v/>
      </c>
      <c r="C706" t="inlineStr">
        <is>
          <t>ONLINE</t>
        </is>
      </c>
      <c r="G706" s="34">
        <f>VLOOKUP(Table4[[#This Row],[AGEN ID]],Reseller!A:E,5,0)</f>
        <v/>
      </c>
    </row>
    <row r="707">
      <c r="A707" t="inlineStr">
        <is>
          <t>OP07367</t>
        </is>
      </c>
      <c r="B707">
        <f>VLOOKUP(A707,Reseller!G:H,2,0)</f>
        <v/>
      </c>
      <c r="C707" t="inlineStr">
        <is>
          <t>ONLINE</t>
        </is>
      </c>
      <c r="G707" s="34">
        <f>VLOOKUP(Table4[[#This Row],[AGEN ID]],Reseller!A:E,5,0)</f>
        <v/>
      </c>
    </row>
    <row r="708">
      <c r="A708" t="inlineStr">
        <is>
          <t>OP07369</t>
        </is>
      </c>
      <c r="B708">
        <f>VLOOKUP(A708,Reseller!G:H,2,0)</f>
        <v/>
      </c>
      <c r="C708" t="inlineStr">
        <is>
          <t>ONLINE</t>
        </is>
      </c>
      <c r="G708" s="34">
        <f>VLOOKUP(Table4[[#This Row],[AGEN ID]],Reseller!A:E,5,0)</f>
        <v/>
      </c>
    </row>
    <row r="709">
      <c r="A709" t="inlineStr">
        <is>
          <t>OP07374</t>
        </is>
      </c>
      <c r="B709">
        <f>VLOOKUP(A709,Reseller!G:H,2,0)</f>
        <v/>
      </c>
      <c r="C709" t="inlineStr">
        <is>
          <t>ONLINE</t>
        </is>
      </c>
      <c r="G709" s="34">
        <f>VLOOKUP(Table4[[#This Row],[AGEN ID]],Reseller!A:E,5,0)</f>
        <v/>
      </c>
    </row>
    <row r="710">
      <c r="A710" t="inlineStr">
        <is>
          <t>OP07380</t>
        </is>
      </c>
      <c r="B710">
        <f>VLOOKUP(A710,Reseller!G:H,2,0)</f>
        <v/>
      </c>
      <c r="C710" t="inlineStr">
        <is>
          <t>ONLINE</t>
        </is>
      </c>
      <c r="G710" s="34">
        <f>VLOOKUP(Table4[[#This Row],[AGEN ID]],Reseller!A:E,5,0)</f>
        <v/>
      </c>
    </row>
    <row r="711">
      <c r="A711" t="inlineStr">
        <is>
          <t>OP07385</t>
        </is>
      </c>
      <c r="B711">
        <f>VLOOKUP(A711,Reseller!G:H,2,0)</f>
        <v/>
      </c>
      <c r="C711" t="inlineStr">
        <is>
          <t>ONLINE</t>
        </is>
      </c>
      <c r="G711" s="34">
        <f>VLOOKUP(Table4[[#This Row],[AGEN ID]],Reseller!A:E,5,0)</f>
        <v/>
      </c>
    </row>
    <row r="712">
      <c r="A712" t="inlineStr">
        <is>
          <t>OP07393</t>
        </is>
      </c>
      <c r="B712">
        <f>VLOOKUP(A712,Reseller!G:H,2,0)</f>
        <v/>
      </c>
      <c r="C712" t="inlineStr">
        <is>
          <t>ONLINE</t>
        </is>
      </c>
      <c r="G712" s="34">
        <f>VLOOKUP(Table4[[#This Row],[AGEN ID]],Reseller!A:E,5,0)</f>
        <v/>
      </c>
    </row>
    <row r="713">
      <c r="A713" t="inlineStr">
        <is>
          <t>OP07397</t>
        </is>
      </c>
      <c r="B713">
        <f>VLOOKUP(A713,Reseller!G:H,2,0)</f>
        <v/>
      </c>
      <c r="C713" t="inlineStr">
        <is>
          <t>ONLINE</t>
        </is>
      </c>
      <c r="G713" s="34">
        <f>VLOOKUP(Table4[[#This Row],[AGEN ID]],Reseller!A:E,5,0)</f>
        <v/>
      </c>
    </row>
    <row r="714">
      <c r="A714" t="inlineStr">
        <is>
          <t>OP07413</t>
        </is>
      </c>
      <c r="B714">
        <f>VLOOKUP(A714,Reseller!G:H,2,0)</f>
        <v/>
      </c>
      <c r="C714" t="inlineStr">
        <is>
          <t>ONLINE</t>
        </is>
      </c>
      <c r="G714" s="34">
        <f>VLOOKUP(Table4[[#This Row],[AGEN ID]],Reseller!A:E,5,0)</f>
        <v/>
      </c>
    </row>
    <row r="715">
      <c r="A715" t="inlineStr">
        <is>
          <t>OP07417</t>
        </is>
      </c>
      <c r="B715">
        <f>VLOOKUP(A715,Reseller!G:H,2,0)</f>
        <v/>
      </c>
      <c r="C715" t="inlineStr">
        <is>
          <t>ONLINE</t>
        </is>
      </c>
      <c r="G715" s="34">
        <f>VLOOKUP(Table4[[#This Row],[AGEN ID]],Reseller!A:E,5,0)</f>
        <v/>
      </c>
    </row>
    <row r="716">
      <c r="A716" t="inlineStr">
        <is>
          <t>OP07418</t>
        </is>
      </c>
      <c r="B716">
        <f>VLOOKUP(A716,Reseller!G:H,2,0)</f>
        <v/>
      </c>
      <c r="C716" t="inlineStr">
        <is>
          <t>ONLINE</t>
        </is>
      </c>
      <c r="G716" s="34">
        <f>VLOOKUP(Table4[[#This Row],[AGEN ID]],Reseller!A:E,5,0)</f>
        <v/>
      </c>
    </row>
    <row r="717">
      <c r="A717" t="inlineStr">
        <is>
          <t>OP07421</t>
        </is>
      </c>
      <c r="B717">
        <f>VLOOKUP(A717,Reseller!G:H,2,0)</f>
        <v/>
      </c>
      <c r="C717" t="inlineStr">
        <is>
          <t>ONLINE</t>
        </is>
      </c>
      <c r="G717" s="34">
        <f>VLOOKUP(Table4[[#This Row],[AGEN ID]],Reseller!A:E,5,0)</f>
        <v/>
      </c>
    </row>
    <row r="718">
      <c r="A718" t="inlineStr">
        <is>
          <t>OP07424</t>
        </is>
      </c>
      <c r="B718">
        <f>VLOOKUP(A718,Reseller!G:H,2,0)</f>
        <v/>
      </c>
      <c r="C718" t="inlineStr">
        <is>
          <t>ONLINE</t>
        </is>
      </c>
      <c r="G718" s="34">
        <f>VLOOKUP(Table4[[#This Row],[AGEN ID]],Reseller!A:E,5,0)</f>
        <v/>
      </c>
    </row>
    <row r="719">
      <c r="A719" t="inlineStr">
        <is>
          <t>OP07425</t>
        </is>
      </c>
      <c r="B719">
        <f>VLOOKUP(A719,Reseller!G:H,2,0)</f>
        <v/>
      </c>
      <c r="C719" t="inlineStr">
        <is>
          <t>ONLINE</t>
        </is>
      </c>
      <c r="G719" s="34">
        <f>VLOOKUP(Table4[[#This Row],[AGEN ID]],Reseller!A:E,5,0)</f>
        <v/>
      </c>
    </row>
    <row r="720">
      <c r="A720" t="inlineStr">
        <is>
          <t>OP07446</t>
        </is>
      </c>
      <c r="B720">
        <f>VLOOKUP(A720,Reseller!G:H,2,0)</f>
        <v/>
      </c>
      <c r="C720" t="inlineStr">
        <is>
          <t>ONLINE</t>
        </is>
      </c>
      <c r="G720" s="34">
        <f>VLOOKUP(Table4[[#This Row],[AGEN ID]],Reseller!A:E,5,0)</f>
        <v/>
      </c>
    </row>
    <row r="721">
      <c r="A721" t="inlineStr">
        <is>
          <t>OP07447</t>
        </is>
      </c>
      <c r="B721">
        <f>VLOOKUP(A721,Reseller!G:H,2,0)</f>
        <v/>
      </c>
      <c r="C721" t="inlineStr">
        <is>
          <t>ONLINE</t>
        </is>
      </c>
      <c r="G721" s="34">
        <f>VLOOKUP(Table4[[#This Row],[AGEN ID]],Reseller!A:E,5,0)</f>
        <v/>
      </c>
    </row>
    <row r="722">
      <c r="A722" t="inlineStr">
        <is>
          <t>OP07450</t>
        </is>
      </c>
      <c r="B722">
        <f>VLOOKUP(A722,Reseller!G:H,2,0)</f>
        <v/>
      </c>
      <c r="C722" t="inlineStr">
        <is>
          <t>ONLINE</t>
        </is>
      </c>
      <c r="G722" s="34">
        <f>VLOOKUP(Table4[[#This Row],[AGEN ID]],Reseller!A:E,5,0)</f>
        <v/>
      </c>
    </row>
    <row r="723">
      <c r="A723" t="inlineStr">
        <is>
          <t>OP07454</t>
        </is>
      </c>
      <c r="B723">
        <f>VLOOKUP(A723,Reseller!G:H,2,0)</f>
        <v/>
      </c>
      <c r="C723" t="inlineStr">
        <is>
          <t>ONLINE</t>
        </is>
      </c>
      <c r="G723" s="34">
        <f>VLOOKUP(Table4[[#This Row],[AGEN ID]],Reseller!A:E,5,0)</f>
        <v/>
      </c>
    </row>
    <row r="724">
      <c r="A724" t="inlineStr">
        <is>
          <t>OP07456</t>
        </is>
      </c>
      <c r="B724">
        <f>VLOOKUP(A724,Reseller!G:H,2,0)</f>
        <v/>
      </c>
      <c r="C724" t="inlineStr">
        <is>
          <t>ONLINE</t>
        </is>
      </c>
      <c r="G724" s="34">
        <f>VLOOKUP(Table4[[#This Row],[AGEN ID]],Reseller!A:E,5,0)</f>
        <v/>
      </c>
    </row>
    <row r="725">
      <c r="A725" t="inlineStr">
        <is>
          <t>OP07459</t>
        </is>
      </c>
      <c r="B725">
        <f>VLOOKUP(A725,Reseller!G:H,2,0)</f>
        <v/>
      </c>
      <c r="C725" t="inlineStr">
        <is>
          <t>ONLINE</t>
        </is>
      </c>
      <c r="G725" s="34">
        <f>VLOOKUP(Table4[[#This Row],[AGEN ID]],Reseller!A:E,5,0)</f>
        <v/>
      </c>
    </row>
    <row r="726">
      <c r="A726" t="inlineStr">
        <is>
          <t>OP07466</t>
        </is>
      </c>
      <c r="B726">
        <f>VLOOKUP(A726,Reseller!G:H,2,0)</f>
        <v/>
      </c>
      <c r="C726" t="inlineStr">
        <is>
          <t>ONLINE</t>
        </is>
      </c>
      <c r="G726" s="34">
        <f>VLOOKUP(Table4[[#This Row],[AGEN ID]],Reseller!A:E,5,0)</f>
        <v/>
      </c>
    </row>
    <row r="727">
      <c r="A727" t="inlineStr">
        <is>
          <t>OP07470</t>
        </is>
      </c>
      <c r="B727">
        <f>VLOOKUP(A727,Reseller!G:H,2,0)</f>
        <v/>
      </c>
      <c r="C727" t="inlineStr">
        <is>
          <t>ONLINE</t>
        </is>
      </c>
      <c r="G727" s="34">
        <f>VLOOKUP(Table4[[#This Row],[AGEN ID]],Reseller!A:E,5,0)</f>
        <v/>
      </c>
    </row>
    <row r="728">
      <c r="A728" t="inlineStr">
        <is>
          <t>OP07471</t>
        </is>
      </c>
      <c r="B728">
        <f>VLOOKUP(A728,Reseller!G:H,2,0)</f>
        <v/>
      </c>
      <c r="C728" t="inlineStr">
        <is>
          <t>ONLINE</t>
        </is>
      </c>
      <c r="G728" s="34">
        <f>VLOOKUP(Table4[[#This Row],[AGEN ID]],Reseller!A:E,5,0)</f>
        <v/>
      </c>
    </row>
    <row r="729">
      <c r="A729" t="inlineStr">
        <is>
          <t>OP07489</t>
        </is>
      </c>
      <c r="B729">
        <f>VLOOKUP(A729,Reseller!G:H,2,0)</f>
        <v/>
      </c>
      <c r="C729" t="inlineStr">
        <is>
          <t>ONLINE</t>
        </is>
      </c>
      <c r="G729" s="34">
        <f>VLOOKUP(Table4[[#This Row],[AGEN ID]],Reseller!A:E,5,0)</f>
        <v/>
      </c>
    </row>
    <row r="730">
      <c r="A730" t="inlineStr">
        <is>
          <t>OP07500</t>
        </is>
      </c>
      <c r="B730">
        <f>VLOOKUP(A730,Reseller!G:H,2,0)</f>
        <v/>
      </c>
      <c r="C730" t="inlineStr">
        <is>
          <t>ONLINE</t>
        </is>
      </c>
      <c r="G730" s="34">
        <f>VLOOKUP(Table4[[#This Row],[AGEN ID]],Reseller!A:E,5,0)</f>
        <v/>
      </c>
    </row>
    <row r="731">
      <c r="A731" t="inlineStr">
        <is>
          <t>OP07507</t>
        </is>
      </c>
      <c r="B731">
        <f>VLOOKUP(A731,Reseller!G:H,2,0)</f>
        <v/>
      </c>
      <c r="C731" t="inlineStr">
        <is>
          <t>ONLINE</t>
        </is>
      </c>
      <c r="G731" s="34">
        <f>VLOOKUP(Table4[[#This Row],[AGEN ID]],Reseller!A:E,5,0)</f>
        <v/>
      </c>
    </row>
    <row r="732">
      <c r="A732" t="inlineStr">
        <is>
          <t>OP07514</t>
        </is>
      </c>
      <c r="B732">
        <f>VLOOKUP(A732,Reseller!G:H,2,0)</f>
        <v/>
      </c>
      <c r="C732" t="inlineStr">
        <is>
          <t>ONLINE</t>
        </is>
      </c>
      <c r="G732" s="34">
        <f>VLOOKUP(Table4[[#This Row],[AGEN ID]],Reseller!A:E,5,0)</f>
        <v/>
      </c>
    </row>
    <row r="733">
      <c r="A733" t="inlineStr">
        <is>
          <t>OP07517</t>
        </is>
      </c>
      <c r="B733">
        <f>VLOOKUP(A733,Reseller!G:H,2,0)</f>
        <v/>
      </c>
      <c r="C733" t="inlineStr">
        <is>
          <t>ONLINE</t>
        </is>
      </c>
      <c r="G733" s="34">
        <f>VLOOKUP(Table4[[#This Row],[AGEN ID]],Reseller!A:E,5,0)</f>
        <v/>
      </c>
    </row>
    <row r="734">
      <c r="A734" t="inlineStr">
        <is>
          <t>OP07519</t>
        </is>
      </c>
      <c r="B734">
        <f>VLOOKUP(A734,Reseller!G:H,2,0)</f>
        <v/>
      </c>
      <c r="C734" t="inlineStr">
        <is>
          <t>ONLINE</t>
        </is>
      </c>
      <c r="G734" s="34">
        <f>VLOOKUP(Table4[[#This Row],[AGEN ID]],Reseller!A:E,5,0)</f>
        <v/>
      </c>
    </row>
    <row r="735">
      <c r="A735" t="inlineStr">
        <is>
          <t>OP07520</t>
        </is>
      </c>
      <c r="B735">
        <f>VLOOKUP(A735,Reseller!G:H,2,0)</f>
        <v/>
      </c>
      <c r="C735" t="inlineStr">
        <is>
          <t>ONLINE</t>
        </is>
      </c>
      <c r="G735" s="34">
        <f>VLOOKUP(Table4[[#This Row],[AGEN ID]],Reseller!A:E,5,0)</f>
        <v/>
      </c>
    </row>
    <row r="736">
      <c r="A736" t="inlineStr">
        <is>
          <t>OP07521</t>
        </is>
      </c>
      <c r="B736">
        <f>VLOOKUP(A736,Reseller!G:H,2,0)</f>
        <v/>
      </c>
      <c r="C736" t="inlineStr">
        <is>
          <t>ONLINE</t>
        </is>
      </c>
      <c r="G736" s="34">
        <f>VLOOKUP(Table4[[#This Row],[AGEN ID]],Reseller!A:E,5,0)</f>
        <v/>
      </c>
    </row>
    <row r="737">
      <c r="A737" t="inlineStr">
        <is>
          <t>OP07523</t>
        </is>
      </c>
      <c r="B737">
        <f>VLOOKUP(A737,Reseller!G:H,2,0)</f>
        <v/>
      </c>
      <c r="C737" t="inlineStr">
        <is>
          <t>ONLINE</t>
        </is>
      </c>
      <c r="G737" s="34">
        <f>VLOOKUP(Table4[[#This Row],[AGEN ID]],Reseller!A:E,5,0)</f>
        <v/>
      </c>
    </row>
    <row r="738">
      <c r="A738" t="inlineStr">
        <is>
          <t>OP07524</t>
        </is>
      </c>
      <c r="B738">
        <f>VLOOKUP(A738,Reseller!G:H,2,0)</f>
        <v/>
      </c>
      <c r="C738" t="inlineStr">
        <is>
          <t>ONLINE</t>
        </is>
      </c>
      <c r="G738" s="34">
        <f>VLOOKUP(Table4[[#This Row],[AGEN ID]],Reseller!A:E,5,0)</f>
        <v/>
      </c>
    </row>
    <row r="739">
      <c r="A739" t="inlineStr">
        <is>
          <t>OP07528</t>
        </is>
      </c>
      <c r="B739">
        <f>VLOOKUP(A739,Reseller!G:H,2,0)</f>
        <v/>
      </c>
      <c r="C739" t="inlineStr">
        <is>
          <t>ONLINE</t>
        </is>
      </c>
      <c r="G739" s="34">
        <f>VLOOKUP(Table4[[#This Row],[AGEN ID]],Reseller!A:E,5,0)</f>
        <v/>
      </c>
    </row>
    <row r="740">
      <c r="A740" t="inlineStr">
        <is>
          <t>OP07536</t>
        </is>
      </c>
      <c r="B740">
        <f>VLOOKUP(A740,Reseller!G:H,2,0)</f>
        <v/>
      </c>
      <c r="C740" t="inlineStr">
        <is>
          <t>ONLINE</t>
        </is>
      </c>
      <c r="G740" s="34">
        <f>VLOOKUP(Table4[[#This Row],[AGEN ID]],Reseller!A:E,5,0)</f>
        <v/>
      </c>
    </row>
    <row r="741">
      <c r="A741" t="inlineStr">
        <is>
          <t>OP07539</t>
        </is>
      </c>
      <c r="B741">
        <f>VLOOKUP(A741,Reseller!G:H,2,0)</f>
        <v/>
      </c>
      <c r="C741" t="inlineStr">
        <is>
          <t>ONLINE</t>
        </is>
      </c>
      <c r="G741" s="34">
        <f>VLOOKUP(Table4[[#This Row],[AGEN ID]],Reseller!A:E,5,0)</f>
        <v/>
      </c>
    </row>
    <row r="742">
      <c r="A742" t="inlineStr">
        <is>
          <t>OP07540</t>
        </is>
      </c>
      <c r="B742">
        <f>VLOOKUP(A742,Reseller!G:H,2,0)</f>
        <v/>
      </c>
      <c r="C742" t="inlineStr">
        <is>
          <t>ONLINE</t>
        </is>
      </c>
      <c r="G742" s="34">
        <f>VLOOKUP(Table4[[#This Row],[AGEN ID]],Reseller!A:E,5,0)</f>
        <v/>
      </c>
    </row>
    <row r="743">
      <c r="A743" t="inlineStr">
        <is>
          <t>OP07542</t>
        </is>
      </c>
      <c r="B743">
        <f>VLOOKUP(A743,Reseller!G:H,2,0)</f>
        <v/>
      </c>
      <c r="C743" t="inlineStr">
        <is>
          <t>ONLINE</t>
        </is>
      </c>
      <c r="G743" s="34">
        <f>VLOOKUP(Table4[[#This Row],[AGEN ID]],Reseller!A:E,5,0)</f>
        <v/>
      </c>
    </row>
    <row r="744">
      <c r="A744" t="inlineStr">
        <is>
          <t>OP07545</t>
        </is>
      </c>
      <c r="B744">
        <f>VLOOKUP(A744,Reseller!G:H,2,0)</f>
        <v/>
      </c>
      <c r="C744" t="inlineStr">
        <is>
          <t>ONLINE</t>
        </is>
      </c>
      <c r="G744" s="34">
        <f>VLOOKUP(Table4[[#This Row],[AGEN ID]],Reseller!A:E,5,0)</f>
        <v/>
      </c>
    </row>
    <row r="745">
      <c r="A745" t="inlineStr">
        <is>
          <t>OP07547</t>
        </is>
      </c>
      <c r="B745">
        <f>VLOOKUP(A745,Reseller!G:H,2,0)</f>
        <v/>
      </c>
      <c r="C745" t="inlineStr">
        <is>
          <t>ONLINE</t>
        </is>
      </c>
      <c r="G745" s="34">
        <f>VLOOKUP(Table4[[#This Row],[AGEN ID]],Reseller!A:E,5,0)</f>
        <v/>
      </c>
    </row>
    <row r="746">
      <c r="A746" t="inlineStr">
        <is>
          <t>OP07552</t>
        </is>
      </c>
      <c r="B746">
        <f>VLOOKUP(A746,Reseller!G:H,2,0)</f>
        <v/>
      </c>
      <c r="C746" t="inlineStr">
        <is>
          <t>ONLINE</t>
        </is>
      </c>
      <c r="G746" s="34">
        <f>VLOOKUP(Table4[[#This Row],[AGEN ID]],Reseller!A:E,5,0)</f>
        <v/>
      </c>
    </row>
    <row r="747">
      <c r="A747" t="inlineStr">
        <is>
          <t>OP07553</t>
        </is>
      </c>
      <c r="B747">
        <f>VLOOKUP(A747,Reseller!G:H,2,0)</f>
        <v/>
      </c>
      <c r="C747" t="inlineStr">
        <is>
          <t>ONLINE</t>
        </is>
      </c>
      <c r="G747" s="34">
        <f>VLOOKUP(Table4[[#This Row],[AGEN ID]],Reseller!A:E,5,0)</f>
        <v/>
      </c>
    </row>
    <row r="748">
      <c r="A748" t="inlineStr">
        <is>
          <t>OP07571</t>
        </is>
      </c>
      <c r="B748">
        <f>VLOOKUP(A748,Reseller!G:H,2,0)</f>
        <v/>
      </c>
      <c r="C748" t="inlineStr">
        <is>
          <t>ONLINE</t>
        </is>
      </c>
      <c r="G748" s="34">
        <f>VLOOKUP(Table4[[#This Row],[AGEN ID]],Reseller!A:E,5,0)</f>
        <v/>
      </c>
    </row>
    <row r="749">
      <c r="A749" t="inlineStr">
        <is>
          <t>OP07572</t>
        </is>
      </c>
      <c r="B749">
        <f>VLOOKUP(A749,Reseller!G:H,2,0)</f>
        <v/>
      </c>
      <c r="C749" t="inlineStr">
        <is>
          <t>ONLINE</t>
        </is>
      </c>
      <c r="G749" s="34">
        <f>VLOOKUP(Table4[[#This Row],[AGEN ID]],Reseller!A:E,5,0)</f>
        <v/>
      </c>
    </row>
    <row r="750">
      <c r="A750" t="inlineStr">
        <is>
          <t>OP07575</t>
        </is>
      </c>
      <c r="B750">
        <f>VLOOKUP(A750,Reseller!G:H,2,0)</f>
        <v/>
      </c>
      <c r="C750" t="inlineStr">
        <is>
          <t>ONLINE</t>
        </is>
      </c>
      <c r="G750" s="34">
        <f>VLOOKUP(Table4[[#This Row],[AGEN ID]],Reseller!A:E,5,0)</f>
        <v/>
      </c>
    </row>
    <row r="751">
      <c r="A751" t="inlineStr">
        <is>
          <t>OP07577</t>
        </is>
      </c>
      <c r="B751">
        <f>VLOOKUP(A751,Reseller!G:H,2,0)</f>
        <v/>
      </c>
      <c r="C751" t="inlineStr">
        <is>
          <t>ONLINE</t>
        </is>
      </c>
      <c r="G751" s="34">
        <f>VLOOKUP(Table4[[#This Row],[AGEN ID]],Reseller!A:E,5,0)</f>
        <v/>
      </c>
    </row>
    <row r="752">
      <c r="A752" t="inlineStr">
        <is>
          <t>OP07584</t>
        </is>
      </c>
      <c r="B752">
        <f>VLOOKUP(A752,Reseller!G:H,2,0)</f>
        <v/>
      </c>
      <c r="C752" t="inlineStr">
        <is>
          <t>ONLINE</t>
        </is>
      </c>
      <c r="G752" s="34">
        <f>VLOOKUP(Table4[[#This Row],[AGEN ID]],Reseller!A:E,5,0)</f>
        <v/>
      </c>
    </row>
    <row r="753">
      <c r="A753" t="inlineStr">
        <is>
          <t>OP07588</t>
        </is>
      </c>
      <c r="B753">
        <f>VLOOKUP(A753,Reseller!G:H,2,0)</f>
        <v/>
      </c>
      <c r="C753" t="inlineStr">
        <is>
          <t>ONLINE</t>
        </is>
      </c>
      <c r="G753" s="34">
        <f>VLOOKUP(Table4[[#This Row],[AGEN ID]],Reseller!A:E,5,0)</f>
        <v/>
      </c>
    </row>
    <row r="754">
      <c r="A754" t="inlineStr">
        <is>
          <t>OP07589</t>
        </is>
      </c>
      <c r="B754">
        <f>VLOOKUP(A754,Reseller!G:H,2,0)</f>
        <v/>
      </c>
      <c r="C754" t="inlineStr">
        <is>
          <t>ONLINE</t>
        </is>
      </c>
      <c r="G754" s="34">
        <f>VLOOKUP(Table4[[#This Row],[AGEN ID]],Reseller!A:E,5,0)</f>
        <v/>
      </c>
    </row>
    <row r="755">
      <c r="A755" t="inlineStr">
        <is>
          <t>OP07596</t>
        </is>
      </c>
      <c r="B755">
        <f>VLOOKUP(A755,Reseller!G:H,2,0)</f>
        <v/>
      </c>
      <c r="C755" t="inlineStr">
        <is>
          <t>ONLINE</t>
        </is>
      </c>
      <c r="G755" s="34">
        <f>VLOOKUP(Table4[[#This Row],[AGEN ID]],Reseller!A:E,5,0)</f>
        <v/>
      </c>
    </row>
    <row r="756">
      <c r="A756" t="inlineStr">
        <is>
          <t>OP07599</t>
        </is>
      </c>
      <c r="B756">
        <f>VLOOKUP(A756,Reseller!G:H,2,0)</f>
        <v/>
      </c>
      <c r="C756" t="inlineStr">
        <is>
          <t>ONLINE</t>
        </is>
      </c>
      <c r="G756" s="34">
        <f>VLOOKUP(Table4[[#This Row],[AGEN ID]],Reseller!A:E,5,0)</f>
        <v/>
      </c>
    </row>
    <row r="757">
      <c r="A757" t="inlineStr">
        <is>
          <t>OP07613</t>
        </is>
      </c>
      <c r="B757">
        <f>VLOOKUP(A757,Reseller!G:H,2,0)</f>
        <v/>
      </c>
      <c r="C757" t="inlineStr">
        <is>
          <t>ONLINE</t>
        </is>
      </c>
      <c r="G757" s="34">
        <f>VLOOKUP(Table4[[#This Row],[AGEN ID]],Reseller!A:E,5,0)</f>
        <v/>
      </c>
    </row>
    <row r="758">
      <c r="A758" t="inlineStr">
        <is>
          <t>OP07620</t>
        </is>
      </c>
      <c r="B758">
        <f>VLOOKUP(A758,Reseller!G:H,2,0)</f>
        <v/>
      </c>
      <c r="C758" t="inlineStr">
        <is>
          <t>ONLINE</t>
        </is>
      </c>
      <c r="G758" s="34">
        <f>VLOOKUP(Table4[[#This Row],[AGEN ID]],Reseller!A:E,5,0)</f>
        <v/>
      </c>
    </row>
    <row r="759">
      <c r="A759" t="inlineStr">
        <is>
          <t>OP07626</t>
        </is>
      </c>
      <c r="B759">
        <f>VLOOKUP(A759,Reseller!G:H,2,0)</f>
        <v/>
      </c>
      <c r="C759" t="inlineStr">
        <is>
          <t>ONLINE</t>
        </is>
      </c>
      <c r="G759" s="34">
        <f>VLOOKUP(Table4[[#This Row],[AGEN ID]],Reseller!A:E,5,0)</f>
        <v/>
      </c>
    </row>
    <row r="760">
      <c r="A760" t="inlineStr">
        <is>
          <t>OP07628</t>
        </is>
      </c>
      <c r="B760">
        <f>VLOOKUP(A760,Reseller!G:H,2,0)</f>
        <v/>
      </c>
      <c r="C760" t="inlineStr">
        <is>
          <t>ONLINE</t>
        </is>
      </c>
      <c r="G760" s="34">
        <f>VLOOKUP(Table4[[#This Row],[AGEN ID]],Reseller!A:E,5,0)</f>
        <v/>
      </c>
    </row>
    <row r="761">
      <c r="A761" t="inlineStr">
        <is>
          <t>OP07637</t>
        </is>
      </c>
      <c r="B761">
        <f>VLOOKUP(A761,Reseller!G:H,2,0)</f>
        <v/>
      </c>
      <c r="C761" t="inlineStr">
        <is>
          <t>ONLINE</t>
        </is>
      </c>
      <c r="G761" s="34">
        <f>VLOOKUP(Table4[[#This Row],[AGEN ID]],Reseller!A:E,5,0)</f>
        <v/>
      </c>
    </row>
    <row r="762">
      <c r="A762" t="inlineStr">
        <is>
          <t>OP07660</t>
        </is>
      </c>
      <c r="B762">
        <f>VLOOKUP(A762,Reseller!G:H,2,0)</f>
        <v/>
      </c>
      <c r="C762" t="inlineStr">
        <is>
          <t>ONLINE</t>
        </is>
      </c>
      <c r="G762" s="34">
        <f>VLOOKUP(Table4[[#This Row],[AGEN ID]],Reseller!A:E,5,0)</f>
        <v/>
      </c>
    </row>
    <row r="763">
      <c r="A763" t="inlineStr">
        <is>
          <t>OP07678</t>
        </is>
      </c>
      <c r="B763">
        <f>VLOOKUP(A763,Reseller!G:H,2,0)</f>
        <v/>
      </c>
      <c r="C763" t="inlineStr">
        <is>
          <t>ONLINE</t>
        </is>
      </c>
      <c r="G763" s="34">
        <f>VLOOKUP(Table4[[#This Row],[AGEN ID]],Reseller!A:E,5,0)</f>
        <v/>
      </c>
    </row>
    <row r="764">
      <c r="A764" t="inlineStr">
        <is>
          <t>OP07683</t>
        </is>
      </c>
      <c r="B764">
        <f>VLOOKUP(A764,Reseller!G:H,2,0)</f>
        <v/>
      </c>
      <c r="C764" t="inlineStr">
        <is>
          <t>ONLINE</t>
        </is>
      </c>
      <c r="G764" s="34">
        <f>VLOOKUP(Table4[[#This Row],[AGEN ID]],Reseller!A:E,5,0)</f>
        <v/>
      </c>
    </row>
    <row r="765">
      <c r="A765" t="inlineStr">
        <is>
          <t>OP07684</t>
        </is>
      </c>
      <c r="B765">
        <f>VLOOKUP(A765,Reseller!G:H,2,0)</f>
        <v/>
      </c>
      <c r="C765" t="inlineStr">
        <is>
          <t>ONLINE</t>
        </is>
      </c>
      <c r="G765" s="34">
        <f>VLOOKUP(Table4[[#This Row],[AGEN ID]],Reseller!A:E,5,0)</f>
        <v/>
      </c>
    </row>
    <row r="766">
      <c r="A766" t="inlineStr">
        <is>
          <t>OP07685</t>
        </is>
      </c>
      <c r="B766">
        <f>VLOOKUP(A766,Reseller!G:H,2,0)</f>
        <v/>
      </c>
      <c r="C766" t="inlineStr">
        <is>
          <t>ONLINE</t>
        </is>
      </c>
      <c r="G766" s="34">
        <f>VLOOKUP(Table4[[#This Row],[AGEN ID]],Reseller!A:E,5,0)</f>
        <v/>
      </c>
    </row>
    <row r="767">
      <c r="A767" t="inlineStr">
        <is>
          <t>OP07686</t>
        </is>
      </c>
      <c r="B767">
        <f>VLOOKUP(A767,Reseller!G:H,2,0)</f>
        <v/>
      </c>
      <c r="C767" t="inlineStr">
        <is>
          <t>ONLINE</t>
        </is>
      </c>
      <c r="G767" s="34">
        <f>VLOOKUP(Table4[[#This Row],[AGEN ID]],Reseller!A:E,5,0)</f>
        <v/>
      </c>
    </row>
    <row r="768">
      <c r="A768" t="inlineStr">
        <is>
          <t>OP07687</t>
        </is>
      </c>
      <c r="B768">
        <f>VLOOKUP(A768,Reseller!G:H,2,0)</f>
        <v/>
      </c>
      <c r="C768" t="inlineStr">
        <is>
          <t>ONLINE</t>
        </is>
      </c>
      <c r="G768" s="34">
        <f>VLOOKUP(Table4[[#This Row],[AGEN ID]],Reseller!A:E,5,0)</f>
        <v/>
      </c>
    </row>
    <row r="769">
      <c r="A769" t="inlineStr">
        <is>
          <t>OP07690</t>
        </is>
      </c>
      <c r="B769">
        <f>VLOOKUP(A769,Reseller!G:H,2,0)</f>
        <v/>
      </c>
      <c r="C769" t="inlineStr">
        <is>
          <t>ONLINE</t>
        </is>
      </c>
      <c r="G769" s="34">
        <f>VLOOKUP(Table4[[#This Row],[AGEN ID]],Reseller!A:E,5,0)</f>
        <v/>
      </c>
    </row>
    <row r="770">
      <c r="A770" t="inlineStr">
        <is>
          <t>OP07693</t>
        </is>
      </c>
      <c r="B770">
        <f>VLOOKUP(A770,Reseller!G:H,2,0)</f>
        <v/>
      </c>
      <c r="C770" t="inlineStr">
        <is>
          <t>ONLINE</t>
        </is>
      </c>
      <c r="G770" s="34">
        <f>VLOOKUP(Table4[[#This Row],[AGEN ID]],Reseller!A:E,5,0)</f>
        <v/>
      </c>
    </row>
    <row r="771">
      <c r="A771" t="inlineStr">
        <is>
          <t>OP07697</t>
        </is>
      </c>
      <c r="B771">
        <f>VLOOKUP(A771,Reseller!G:H,2,0)</f>
        <v/>
      </c>
      <c r="C771" t="inlineStr">
        <is>
          <t>ONLINE</t>
        </is>
      </c>
      <c r="G771" s="34">
        <f>VLOOKUP(Table4[[#This Row],[AGEN ID]],Reseller!A:E,5,0)</f>
        <v/>
      </c>
    </row>
    <row r="772">
      <c r="A772" t="inlineStr">
        <is>
          <t>OP07699</t>
        </is>
      </c>
      <c r="B772">
        <f>VLOOKUP(A772,Reseller!G:H,2,0)</f>
        <v/>
      </c>
      <c r="C772" t="inlineStr">
        <is>
          <t>ONLINE</t>
        </is>
      </c>
      <c r="G772" s="34">
        <f>VLOOKUP(Table4[[#This Row],[AGEN ID]],Reseller!A:E,5,0)</f>
        <v/>
      </c>
    </row>
    <row r="773">
      <c r="A773" t="inlineStr">
        <is>
          <t>OP07702</t>
        </is>
      </c>
      <c r="B773">
        <f>VLOOKUP(A773,Reseller!G:H,2,0)</f>
        <v/>
      </c>
      <c r="C773" t="inlineStr">
        <is>
          <t>ONLINE</t>
        </is>
      </c>
      <c r="G773" s="34">
        <f>VLOOKUP(Table4[[#This Row],[AGEN ID]],Reseller!A:E,5,0)</f>
        <v/>
      </c>
    </row>
    <row r="774">
      <c r="A774" t="inlineStr">
        <is>
          <t>OP07717</t>
        </is>
      </c>
      <c r="B774">
        <f>VLOOKUP(A774,Reseller!G:H,2,0)</f>
        <v/>
      </c>
      <c r="C774" t="inlineStr">
        <is>
          <t>ONLINE</t>
        </is>
      </c>
      <c r="G774" s="34">
        <f>VLOOKUP(Table4[[#This Row],[AGEN ID]],Reseller!A:E,5,0)</f>
        <v/>
      </c>
    </row>
    <row r="775">
      <c r="A775" t="inlineStr">
        <is>
          <t>OP07725</t>
        </is>
      </c>
      <c r="B775">
        <f>VLOOKUP(A775,Reseller!G:H,2,0)</f>
        <v/>
      </c>
      <c r="C775" t="inlineStr">
        <is>
          <t>ONLINE</t>
        </is>
      </c>
      <c r="G775" s="34">
        <f>VLOOKUP(Table4[[#This Row],[AGEN ID]],Reseller!A:E,5,0)</f>
        <v/>
      </c>
    </row>
    <row r="776">
      <c r="A776" t="inlineStr">
        <is>
          <t>OP07727</t>
        </is>
      </c>
      <c r="B776">
        <f>VLOOKUP(A776,Reseller!G:H,2,0)</f>
        <v/>
      </c>
      <c r="C776" t="inlineStr">
        <is>
          <t>ONLINE</t>
        </is>
      </c>
      <c r="G776" s="34">
        <f>VLOOKUP(Table4[[#This Row],[AGEN ID]],Reseller!A:E,5,0)</f>
        <v/>
      </c>
    </row>
    <row r="777">
      <c r="A777" t="inlineStr">
        <is>
          <t>OP07737</t>
        </is>
      </c>
      <c r="B777">
        <f>VLOOKUP(A777,Reseller!G:H,2,0)</f>
        <v/>
      </c>
      <c r="C777" t="inlineStr">
        <is>
          <t>ONLINE</t>
        </is>
      </c>
      <c r="G777" s="34">
        <f>VLOOKUP(Table4[[#This Row],[AGEN ID]],Reseller!A:E,5,0)</f>
        <v/>
      </c>
    </row>
    <row r="778">
      <c r="A778" t="inlineStr">
        <is>
          <t>OP07738</t>
        </is>
      </c>
      <c r="B778">
        <f>VLOOKUP(A778,Reseller!G:H,2,0)</f>
        <v/>
      </c>
      <c r="C778" t="inlineStr">
        <is>
          <t>ONLINE</t>
        </is>
      </c>
      <c r="G778" s="34">
        <f>VLOOKUP(Table4[[#This Row],[AGEN ID]],Reseller!A:E,5,0)</f>
        <v/>
      </c>
    </row>
    <row r="779">
      <c r="A779" t="inlineStr">
        <is>
          <t>OP07787</t>
        </is>
      </c>
      <c r="B779">
        <f>VLOOKUP(A779,Reseller!G:H,2,0)</f>
        <v/>
      </c>
      <c r="C779" t="inlineStr">
        <is>
          <t>ONLINE</t>
        </is>
      </c>
      <c r="G779" s="34">
        <f>VLOOKUP(Table4[[#This Row],[AGEN ID]],Reseller!A:E,5,0)</f>
        <v/>
      </c>
    </row>
    <row r="780">
      <c r="A780" t="inlineStr">
        <is>
          <t>OP07802</t>
        </is>
      </c>
      <c r="B780">
        <f>VLOOKUP(A780,Reseller!G:H,2,0)</f>
        <v/>
      </c>
      <c r="C780" t="inlineStr">
        <is>
          <t>ONLINE</t>
        </is>
      </c>
      <c r="G780" s="34">
        <f>VLOOKUP(Table4[[#This Row],[AGEN ID]],Reseller!A:E,5,0)</f>
        <v/>
      </c>
    </row>
    <row r="781">
      <c r="A781" t="inlineStr">
        <is>
          <t>OP07816</t>
        </is>
      </c>
      <c r="B781">
        <f>VLOOKUP(A781,Reseller!G:H,2,0)</f>
        <v/>
      </c>
      <c r="C781" t="inlineStr">
        <is>
          <t>ONLINE</t>
        </is>
      </c>
      <c r="G781" s="34">
        <f>VLOOKUP(Table4[[#This Row],[AGEN ID]],Reseller!A:E,5,0)</f>
        <v/>
      </c>
    </row>
    <row r="782">
      <c r="A782" t="inlineStr">
        <is>
          <t>OP07874</t>
        </is>
      </c>
      <c r="B782">
        <f>VLOOKUP(A782,Reseller!G:H,2,0)</f>
        <v/>
      </c>
      <c r="C782" t="inlineStr">
        <is>
          <t>ONLINE</t>
        </is>
      </c>
      <c r="G782" s="34">
        <f>VLOOKUP(Table4[[#This Row],[AGEN ID]],Reseller!A:E,5,0)</f>
        <v/>
      </c>
    </row>
    <row r="783">
      <c r="A783" t="inlineStr">
        <is>
          <t>OP07892</t>
        </is>
      </c>
      <c r="B783">
        <f>VLOOKUP(A783,Reseller!G:H,2,0)</f>
        <v/>
      </c>
      <c r="C783" t="inlineStr">
        <is>
          <t>ONLINE</t>
        </is>
      </c>
      <c r="G783" s="34">
        <f>VLOOKUP(Table4[[#This Row],[AGEN ID]],Reseller!A:E,5,0)</f>
        <v/>
      </c>
    </row>
    <row r="784">
      <c r="A784" t="inlineStr">
        <is>
          <t>OP07915</t>
        </is>
      </c>
      <c r="B784">
        <f>VLOOKUP(A784,Reseller!G:H,2,0)</f>
        <v/>
      </c>
      <c r="C784" t="inlineStr">
        <is>
          <t>ONLINE</t>
        </is>
      </c>
      <c r="G784" s="34">
        <f>VLOOKUP(Table4[[#This Row],[AGEN ID]],Reseller!A:E,5,0)</f>
        <v/>
      </c>
    </row>
    <row r="785">
      <c r="A785" t="inlineStr">
        <is>
          <t>OP07920</t>
        </is>
      </c>
      <c r="B785">
        <f>VLOOKUP(A785,Reseller!G:H,2,0)</f>
        <v/>
      </c>
      <c r="C785" t="inlineStr">
        <is>
          <t>ONLINE</t>
        </is>
      </c>
      <c r="G785" s="34">
        <f>VLOOKUP(Table4[[#This Row],[AGEN ID]],Reseller!A:E,5,0)</f>
        <v/>
      </c>
    </row>
    <row r="786">
      <c r="A786" t="inlineStr">
        <is>
          <t>OP07928</t>
        </is>
      </c>
      <c r="B786">
        <f>VLOOKUP(A786,Reseller!G:H,2,0)</f>
        <v/>
      </c>
      <c r="C786" t="inlineStr">
        <is>
          <t>ONLINE</t>
        </is>
      </c>
      <c r="G786" s="34">
        <f>VLOOKUP(Table4[[#This Row],[AGEN ID]],Reseller!A:E,5,0)</f>
        <v/>
      </c>
    </row>
    <row r="787">
      <c r="A787" t="inlineStr">
        <is>
          <t>OP07938</t>
        </is>
      </c>
      <c r="B787">
        <f>VLOOKUP(A787,Reseller!G:H,2,0)</f>
        <v/>
      </c>
      <c r="C787" t="inlineStr">
        <is>
          <t>ONLINE</t>
        </is>
      </c>
      <c r="G787" s="34">
        <f>VLOOKUP(Table4[[#This Row],[AGEN ID]],Reseller!A:E,5,0)</f>
        <v/>
      </c>
    </row>
    <row r="788">
      <c r="A788" t="inlineStr">
        <is>
          <t>OP07939</t>
        </is>
      </c>
      <c r="B788">
        <f>VLOOKUP(A788,Reseller!G:H,2,0)</f>
        <v/>
      </c>
      <c r="C788" t="inlineStr">
        <is>
          <t>ONLINE</t>
        </is>
      </c>
      <c r="G788" s="34">
        <f>VLOOKUP(Table4[[#This Row],[AGEN ID]],Reseller!A:E,5,0)</f>
        <v/>
      </c>
    </row>
    <row r="789">
      <c r="A789" t="inlineStr">
        <is>
          <t>OP07941</t>
        </is>
      </c>
      <c r="B789">
        <f>VLOOKUP(A789,Reseller!G:H,2,0)</f>
        <v/>
      </c>
      <c r="C789" t="inlineStr">
        <is>
          <t>ONLINE</t>
        </is>
      </c>
      <c r="G789" s="34">
        <f>VLOOKUP(Table4[[#This Row],[AGEN ID]],Reseller!A:E,5,0)</f>
        <v/>
      </c>
    </row>
    <row r="790">
      <c r="A790" t="inlineStr">
        <is>
          <t>OP07943</t>
        </is>
      </c>
      <c r="B790">
        <f>VLOOKUP(A790,Reseller!G:H,2,0)</f>
        <v/>
      </c>
      <c r="C790" t="inlineStr">
        <is>
          <t>ONLINE</t>
        </is>
      </c>
      <c r="G790" s="34">
        <f>VLOOKUP(Table4[[#This Row],[AGEN ID]],Reseller!A:E,5,0)</f>
        <v/>
      </c>
    </row>
    <row r="791">
      <c r="A791" t="inlineStr">
        <is>
          <t>OP07955</t>
        </is>
      </c>
      <c r="B791">
        <f>VLOOKUP(A791,Reseller!G:H,2,0)</f>
        <v/>
      </c>
      <c r="C791" t="inlineStr">
        <is>
          <t>ONLINE</t>
        </is>
      </c>
      <c r="G791" s="34">
        <f>VLOOKUP(Table4[[#This Row],[AGEN ID]],Reseller!A:E,5,0)</f>
        <v/>
      </c>
    </row>
    <row r="792">
      <c r="A792" t="inlineStr">
        <is>
          <t>OP07968</t>
        </is>
      </c>
      <c r="B792">
        <f>VLOOKUP(A792,Reseller!G:H,2,0)</f>
        <v/>
      </c>
      <c r="C792" t="inlineStr">
        <is>
          <t>ONLINE</t>
        </is>
      </c>
      <c r="G792" s="34">
        <f>VLOOKUP(Table4[[#This Row],[AGEN ID]],Reseller!A:E,5,0)</f>
        <v/>
      </c>
    </row>
    <row r="793">
      <c r="A793" t="inlineStr">
        <is>
          <t>OP07969</t>
        </is>
      </c>
      <c r="B793">
        <f>VLOOKUP(A793,Reseller!G:H,2,0)</f>
        <v/>
      </c>
      <c r="C793" t="inlineStr">
        <is>
          <t>ONLINE</t>
        </is>
      </c>
      <c r="G793" s="34">
        <f>VLOOKUP(Table4[[#This Row],[AGEN ID]],Reseller!A:E,5,0)</f>
        <v/>
      </c>
    </row>
    <row r="794">
      <c r="A794" t="inlineStr">
        <is>
          <t>OP07970</t>
        </is>
      </c>
      <c r="B794">
        <f>VLOOKUP(A794,Reseller!G:H,2,0)</f>
        <v/>
      </c>
      <c r="C794" t="inlineStr">
        <is>
          <t>ONLINE</t>
        </is>
      </c>
      <c r="G794" s="34">
        <f>VLOOKUP(Table4[[#This Row],[AGEN ID]],Reseller!A:E,5,0)</f>
        <v/>
      </c>
    </row>
    <row r="795">
      <c r="A795" t="inlineStr">
        <is>
          <t>OP07982</t>
        </is>
      </c>
      <c r="B795">
        <f>VLOOKUP(A795,Reseller!G:H,2,0)</f>
        <v/>
      </c>
      <c r="C795" t="inlineStr">
        <is>
          <t>ONLINE</t>
        </is>
      </c>
      <c r="G795" s="34">
        <f>VLOOKUP(Table4[[#This Row],[AGEN ID]],Reseller!A:E,5,0)</f>
        <v/>
      </c>
    </row>
    <row r="796">
      <c r="A796" t="inlineStr">
        <is>
          <t>OP07993</t>
        </is>
      </c>
      <c r="B796">
        <f>VLOOKUP(A796,Reseller!G:H,2,0)</f>
        <v/>
      </c>
      <c r="C796" t="inlineStr">
        <is>
          <t>ONLINE</t>
        </is>
      </c>
      <c r="G796" s="34">
        <f>VLOOKUP(Table4[[#This Row],[AGEN ID]],Reseller!A:E,5,0)</f>
        <v/>
      </c>
    </row>
    <row r="797">
      <c r="A797" t="inlineStr">
        <is>
          <t>OP07996</t>
        </is>
      </c>
      <c r="B797">
        <f>VLOOKUP(A797,Reseller!G:H,2,0)</f>
        <v/>
      </c>
      <c r="C797" t="inlineStr">
        <is>
          <t>ONLINE</t>
        </is>
      </c>
      <c r="G797" s="34">
        <f>VLOOKUP(Table4[[#This Row],[AGEN ID]],Reseller!A:E,5,0)</f>
        <v/>
      </c>
    </row>
    <row r="798">
      <c r="A798" t="inlineStr">
        <is>
          <t>OP07997</t>
        </is>
      </c>
      <c r="B798">
        <f>VLOOKUP(A798,Reseller!G:H,2,0)</f>
        <v/>
      </c>
      <c r="C798" t="inlineStr">
        <is>
          <t>ONLINE</t>
        </is>
      </c>
      <c r="G798" s="34">
        <f>VLOOKUP(Table4[[#This Row],[AGEN ID]],Reseller!A:E,5,0)</f>
        <v/>
      </c>
    </row>
    <row r="799">
      <c r="A799" t="inlineStr">
        <is>
          <t>OP08002</t>
        </is>
      </c>
      <c r="B799">
        <f>VLOOKUP(A799,Reseller!G:H,2,0)</f>
        <v/>
      </c>
      <c r="C799" t="inlineStr">
        <is>
          <t>ONLINE</t>
        </is>
      </c>
      <c r="G799" s="34">
        <f>VLOOKUP(Table4[[#This Row],[AGEN ID]],Reseller!A:E,5,0)</f>
        <v/>
      </c>
    </row>
    <row r="800">
      <c r="A800" t="inlineStr">
        <is>
          <t>OP08010</t>
        </is>
      </c>
      <c r="B800">
        <f>VLOOKUP(A800,Reseller!G:H,2,0)</f>
        <v/>
      </c>
      <c r="C800" t="inlineStr">
        <is>
          <t>ONLINE</t>
        </is>
      </c>
      <c r="G800" s="34">
        <f>VLOOKUP(Table4[[#This Row],[AGEN ID]],Reseller!A:E,5,0)</f>
        <v/>
      </c>
    </row>
    <row r="801">
      <c r="A801" t="inlineStr">
        <is>
          <t>OP08016</t>
        </is>
      </c>
      <c r="B801">
        <f>VLOOKUP(A801,Reseller!G:H,2,0)</f>
        <v/>
      </c>
      <c r="C801" t="inlineStr">
        <is>
          <t>ONLINE</t>
        </is>
      </c>
      <c r="G801" s="34">
        <f>VLOOKUP(Table4[[#This Row],[AGEN ID]],Reseller!A:E,5,0)</f>
        <v/>
      </c>
    </row>
    <row r="802">
      <c r="A802" t="inlineStr">
        <is>
          <t>OP08022</t>
        </is>
      </c>
      <c r="B802">
        <f>VLOOKUP(A802,Reseller!G:H,2,0)</f>
        <v/>
      </c>
      <c r="C802" t="inlineStr">
        <is>
          <t>ONLINE</t>
        </is>
      </c>
      <c r="G802" s="34">
        <f>VLOOKUP(Table4[[#This Row],[AGEN ID]],Reseller!A:E,5,0)</f>
        <v/>
      </c>
    </row>
    <row r="803">
      <c r="A803" t="inlineStr">
        <is>
          <t>OP08032</t>
        </is>
      </c>
      <c r="B803">
        <f>VLOOKUP(A803,Reseller!G:H,2,0)</f>
        <v/>
      </c>
      <c r="C803" t="inlineStr">
        <is>
          <t>ONLINE</t>
        </is>
      </c>
      <c r="G803" s="34">
        <f>VLOOKUP(Table4[[#This Row],[AGEN ID]],Reseller!A:E,5,0)</f>
        <v/>
      </c>
    </row>
    <row r="804">
      <c r="A804" t="inlineStr">
        <is>
          <t>OP08040</t>
        </is>
      </c>
      <c r="B804">
        <f>VLOOKUP(A804,Reseller!G:H,2,0)</f>
        <v/>
      </c>
      <c r="C804" t="inlineStr">
        <is>
          <t>ONLINE</t>
        </is>
      </c>
      <c r="G804" s="34">
        <f>VLOOKUP(Table4[[#This Row],[AGEN ID]],Reseller!A:E,5,0)</f>
        <v/>
      </c>
    </row>
    <row r="805">
      <c r="A805" t="inlineStr">
        <is>
          <t>OP08048</t>
        </is>
      </c>
      <c r="B805">
        <f>VLOOKUP(A805,Reseller!G:H,2,0)</f>
        <v/>
      </c>
      <c r="C805" t="inlineStr">
        <is>
          <t>ONLINE</t>
        </is>
      </c>
      <c r="G805" s="34">
        <f>VLOOKUP(Table4[[#This Row],[AGEN ID]],Reseller!A:E,5,0)</f>
        <v/>
      </c>
    </row>
    <row r="806">
      <c r="A806" t="inlineStr">
        <is>
          <t>OP08056</t>
        </is>
      </c>
      <c r="B806">
        <f>VLOOKUP(A806,Reseller!G:H,2,0)</f>
        <v/>
      </c>
      <c r="C806" t="inlineStr">
        <is>
          <t>ONLINE</t>
        </is>
      </c>
      <c r="G806" s="34">
        <f>VLOOKUP(Table4[[#This Row],[AGEN ID]],Reseller!A:E,5,0)</f>
        <v/>
      </c>
    </row>
    <row r="807">
      <c r="A807" t="inlineStr">
        <is>
          <t>OP08058</t>
        </is>
      </c>
      <c r="B807">
        <f>VLOOKUP(A807,Reseller!G:H,2,0)</f>
        <v/>
      </c>
      <c r="C807" t="inlineStr">
        <is>
          <t>ONLINE</t>
        </is>
      </c>
      <c r="G807" s="34">
        <f>VLOOKUP(Table4[[#This Row],[AGEN ID]],Reseller!A:E,5,0)</f>
        <v/>
      </c>
    </row>
    <row r="808">
      <c r="A808" t="inlineStr">
        <is>
          <t>OP08059</t>
        </is>
      </c>
      <c r="B808">
        <f>VLOOKUP(A808,Reseller!G:H,2,0)</f>
        <v/>
      </c>
      <c r="C808" t="inlineStr">
        <is>
          <t>ONLINE</t>
        </is>
      </c>
      <c r="G808" s="34">
        <f>VLOOKUP(Table4[[#This Row],[AGEN ID]],Reseller!A:E,5,0)</f>
        <v/>
      </c>
    </row>
    <row r="809">
      <c r="A809" t="inlineStr">
        <is>
          <t>OP08070</t>
        </is>
      </c>
      <c r="B809">
        <f>VLOOKUP(A809,Reseller!G:H,2,0)</f>
        <v/>
      </c>
      <c r="C809" t="inlineStr">
        <is>
          <t>ONLINE</t>
        </is>
      </c>
      <c r="G809" s="34">
        <f>VLOOKUP(Table4[[#This Row],[AGEN ID]],Reseller!A:E,5,0)</f>
        <v/>
      </c>
    </row>
    <row r="810">
      <c r="A810" t="inlineStr">
        <is>
          <t>OP08075</t>
        </is>
      </c>
      <c r="B810">
        <f>VLOOKUP(A810,Reseller!G:H,2,0)</f>
        <v/>
      </c>
      <c r="C810" t="inlineStr">
        <is>
          <t>ONLINE</t>
        </is>
      </c>
      <c r="G810" s="34">
        <f>VLOOKUP(Table4[[#This Row],[AGEN ID]],Reseller!A:E,5,0)</f>
        <v/>
      </c>
    </row>
    <row r="811">
      <c r="A811" t="inlineStr">
        <is>
          <t>OP08076</t>
        </is>
      </c>
      <c r="B811">
        <f>VLOOKUP(A811,Reseller!G:H,2,0)</f>
        <v/>
      </c>
      <c r="C811" t="inlineStr">
        <is>
          <t>ONLINE</t>
        </is>
      </c>
      <c r="G811" s="34">
        <f>VLOOKUP(Table4[[#This Row],[AGEN ID]],Reseller!A:E,5,0)</f>
        <v/>
      </c>
    </row>
    <row r="812">
      <c r="A812" t="inlineStr">
        <is>
          <t>OP08080</t>
        </is>
      </c>
      <c r="B812">
        <f>VLOOKUP(A812,Reseller!G:H,2,0)</f>
        <v/>
      </c>
      <c r="C812" t="inlineStr">
        <is>
          <t>ONLINE</t>
        </is>
      </c>
      <c r="G812" s="34">
        <f>VLOOKUP(Table4[[#This Row],[AGEN ID]],Reseller!A:E,5,0)</f>
        <v/>
      </c>
    </row>
    <row r="813">
      <c r="A813" t="inlineStr">
        <is>
          <t>OP08086</t>
        </is>
      </c>
      <c r="B813">
        <f>VLOOKUP(A813,Reseller!G:H,2,0)</f>
        <v/>
      </c>
      <c r="C813" t="inlineStr">
        <is>
          <t>ONLINE</t>
        </is>
      </c>
      <c r="G813" s="34">
        <f>VLOOKUP(Table4[[#This Row],[AGEN ID]],Reseller!A:E,5,0)</f>
        <v/>
      </c>
    </row>
    <row r="814">
      <c r="A814" t="inlineStr">
        <is>
          <t>OP08088</t>
        </is>
      </c>
      <c r="B814">
        <f>VLOOKUP(A814,Reseller!G:H,2,0)</f>
        <v/>
      </c>
      <c r="C814" t="inlineStr">
        <is>
          <t>ONLINE</t>
        </is>
      </c>
      <c r="G814" s="34">
        <f>VLOOKUP(Table4[[#This Row],[AGEN ID]],Reseller!A:E,5,0)</f>
        <v/>
      </c>
    </row>
    <row r="815">
      <c r="A815" t="inlineStr">
        <is>
          <t>OP08090</t>
        </is>
      </c>
      <c r="B815">
        <f>VLOOKUP(A815,Reseller!G:H,2,0)</f>
        <v/>
      </c>
      <c r="C815" t="inlineStr">
        <is>
          <t>ONLINE</t>
        </is>
      </c>
      <c r="G815" s="34">
        <f>VLOOKUP(Table4[[#This Row],[AGEN ID]],Reseller!A:E,5,0)</f>
        <v/>
      </c>
    </row>
    <row r="816">
      <c r="A816" t="inlineStr">
        <is>
          <t>OP08097</t>
        </is>
      </c>
      <c r="B816">
        <f>VLOOKUP(A816,Reseller!G:H,2,0)</f>
        <v/>
      </c>
      <c r="C816" t="inlineStr">
        <is>
          <t>ONLINE</t>
        </is>
      </c>
      <c r="G816" s="34">
        <f>VLOOKUP(Table4[[#This Row],[AGEN ID]],Reseller!A:E,5,0)</f>
        <v/>
      </c>
    </row>
    <row r="817">
      <c r="A817" t="inlineStr">
        <is>
          <t>OP08106</t>
        </is>
      </c>
      <c r="B817">
        <f>VLOOKUP(A817,Reseller!G:H,2,0)</f>
        <v/>
      </c>
      <c r="C817" t="inlineStr">
        <is>
          <t>ONLINE</t>
        </is>
      </c>
      <c r="G817" s="34">
        <f>VLOOKUP(Table4[[#This Row],[AGEN ID]],Reseller!A:E,5,0)</f>
        <v/>
      </c>
    </row>
    <row r="818">
      <c r="A818" t="inlineStr">
        <is>
          <t>OP08107</t>
        </is>
      </c>
      <c r="B818">
        <f>VLOOKUP(A818,Reseller!G:H,2,0)</f>
        <v/>
      </c>
      <c r="C818" t="inlineStr">
        <is>
          <t>ONLINE</t>
        </is>
      </c>
      <c r="G818" s="34">
        <f>VLOOKUP(Table4[[#This Row],[AGEN ID]],Reseller!A:E,5,0)</f>
        <v/>
      </c>
    </row>
    <row r="819">
      <c r="A819" t="inlineStr">
        <is>
          <t>OP08109</t>
        </is>
      </c>
      <c r="B819">
        <f>VLOOKUP(A819,Reseller!G:H,2,0)</f>
        <v/>
      </c>
      <c r="C819" t="inlineStr">
        <is>
          <t>ONLINE</t>
        </is>
      </c>
      <c r="G819" s="34">
        <f>VLOOKUP(Table4[[#This Row],[AGEN ID]],Reseller!A:E,5,0)</f>
        <v/>
      </c>
    </row>
    <row r="820">
      <c r="A820" t="inlineStr">
        <is>
          <t>OP08111</t>
        </is>
      </c>
      <c r="B820">
        <f>VLOOKUP(A820,Reseller!G:H,2,0)</f>
        <v/>
      </c>
      <c r="C820" t="inlineStr">
        <is>
          <t>ONLINE</t>
        </is>
      </c>
      <c r="G820" s="34">
        <f>VLOOKUP(Table4[[#This Row],[AGEN ID]],Reseller!A:E,5,0)</f>
        <v/>
      </c>
    </row>
    <row r="821">
      <c r="A821" t="inlineStr">
        <is>
          <t>OP08114</t>
        </is>
      </c>
      <c r="B821">
        <f>VLOOKUP(A821,Reseller!G:H,2,0)</f>
        <v/>
      </c>
      <c r="C821" t="inlineStr">
        <is>
          <t>ONLINE</t>
        </is>
      </c>
      <c r="G821" s="34">
        <f>VLOOKUP(Table4[[#This Row],[AGEN ID]],Reseller!A:E,5,0)</f>
        <v/>
      </c>
    </row>
    <row r="822">
      <c r="A822" t="inlineStr">
        <is>
          <t>OP08123</t>
        </is>
      </c>
      <c r="B822">
        <f>VLOOKUP(A822,Reseller!G:H,2,0)</f>
        <v/>
      </c>
      <c r="C822" t="inlineStr">
        <is>
          <t>ONLINE</t>
        </is>
      </c>
      <c r="G822" s="34">
        <f>VLOOKUP(Table4[[#This Row],[AGEN ID]],Reseller!A:E,5,0)</f>
        <v/>
      </c>
    </row>
    <row r="823">
      <c r="A823" t="inlineStr">
        <is>
          <t>OP08131</t>
        </is>
      </c>
      <c r="B823">
        <f>VLOOKUP(A823,Reseller!G:H,2,0)</f>
        <v/>
      </c>
      <c r="C823" t="inlineStr">
        <is>
          <t>ONLINE</t>
        </is>
      </c>
      <c r="G823" s="34">
        <f>VLOOKUP(Table4[[#This Row],[AGEN ID]],Reseller!A:E,5,0)</f>
        <v/>
      </c>
    </row>
    <row r="824">
      <c r="A824" t="inlineStr">
        <is>
          <t>OP08163</t>
        </is>
      </c>
      <c r="B824">
        <f>VLOOKUP(A824,Reseller!G:H,2,0)</f>
        <v/>
      </c>
      <c r="C824" t="inlineStr">
        <is>
          <t>ONLINE</t>
        </is>
      </c>
      <c r="G824" s="34">
        <f>VLOOKUP(Table4[[#This Row],[AGEN ID]],Reseller!A:E,5,0)</f>
        <v/>
      </c>
    </row>
    <row r="825">
      <c r="A825" t="inlineStr">
        <is>
          <t>OP08189</t>
        </is>
      </c>
      <c r="B825">
        <f>VLOOKUP(A825,Reseller!G:H,2,0)</f>
        <v/>
      </c>
      <c r="C825" t="inlineStr">
        <is>
          <t>ONLINE</t>
        </is>
      </c>
      <c r="G825" s="34">
        <f>VLOOKUP(Table4[[#This Row],[AGEN ID]],Reseller!A:E,5,0)</f>
        <v/>
      </c>
    </row>
    <row r="826">
      <c r="A826" t="inlineStr">
        <is>
          <t>OP08190</t>
        </is>
      </c>
      <c r="B826">
        <f>VLOOKUP(A826,Reseller!G:H,2,0)</f>
        <v/>
      </c>
      <c r="C826" t="inlineStr">
        <is>
          <t>ONLINE</t>
        </is>
      </c>
      <c r="G826" s="34">
        <f>VLOOKUP(Table4[[#This Row],[AGEN ID]],Reseller!A:E,5,0)</f>
        <v/>
      </c>
    </row>
    <row r="827">
      <c r="A827" t="inlineStr">
        <is>
          <t>OP08191</t>
        </is>
      </c>
      <c r="B827">
        <f>VLOOKUP(A827,Reseller!G:H,2,0)</f>
        <v/>
      </c>
      <c r="C827" t="inlineStr">
        <is>
          <t>ONLINE</t>
        </is>
      </c>
      <c r="G827" s="34">
        <f>VLOOKUP(Table4[[#This Row],[AGEN ID]],Reseller!A:E,5,0)</f>
        <v/>
      </c>
    </row>
    <row r="828">
      <c r="A828" t="inlineStr">
        <is>
          <t>OP08192</t>
        </is>
      </c>
      <c r="B828">
        <f>VLOOKUP(A828,Reseller!G:H,2,0)</f>
        <v/>
      </c>
      <c r="C828" t="inlineStr">
        <is>
          <t>ONLINE</t>
        </is>
      </c>
      <c r="G828" s="34">
        <f>VLOOKUP(Table4[[#This Row],[AGEN ID]],Reseller!A:E,5,0)</f>
        <v/>
      </c>
    </row>
    <row r="829">
      <c r="A829" t="inlineStr">
        <is>
          <t>OP08200</t>
        </is>
      </c>
      <c r="B829">
        <f>VLOOKUP(A829,Reseller!G:H,2,0)</f>
        <v/>
      </c>
      <c r="C829" t="inlineStr">
        <is>
          <t>ONLINE</t>
        </is>
      </c>
      <c r="G829" s="34">
        <f>VLOOKUP(Table4[[#This Row],[AGEN ID]],Reseller!A:E,5,0)</f>
        <v/>
      </c>
    </row>
    <row r="830">
      <c r="A830" t="inlineStr">
        <is>
          <t>OP08206</t>
        </is>
      </c>
      <c r="B830">
        <f>VLOOKUP(A830,Reseller!G:H,2,0)</f>
        <v/>
      </c>
      <c r="C830" t="inlineStr">
        <is>
          <t>ONLINE</t>
        </is>
      </c>
      <c r="G830" s="34">
        <f>VLOOKUP(Table4[[#This Row],[AGEN ID]],Reseller!A:E,5,0)</f>
        <v/>
      </c>
    </row>
    <row r="831">
      <c r="A831" t="inlineStr">
        <is>
          <t>OP08207</t>
        </is>
      </c>
      <c r="B831">
        <f>VLOOKUP(A831,Reseller!G:H,2,0)</f>
        <v/>
      </c>
      <c r="C831" t="inlineStr">
        <is>
          <t>ONLINE</t>
        </is>
      </c>
      <c r="G831" s="34">
        <f>VLOOKUP(Table4[[#This Row],[AGEN ID]],Reseller!A:E,5,0)</f>
        <v/>
      </c>
    </row>
    <row r="832">
      <c r="A832" t="inlineStr">
        <is>
          <t>OP08210</t>
        </is>
      </c>
      <c r="B832">
        <f>VLOOKUP(A832,Reseller!G:H,2,0)</f>
        <v/>
      </c>
      <c r="C832" t="inlineStr">
        <is>
          <t>ONLINE</t>
        </is>
      </c>
      <c r="G832" s="34">
        <f>VLOOKUP(Table4[[#This Row],[AGEN ID]],Reseller!A:E,5,0)</f>
        <v/>
      </c>
    </row>
    <row r="833">
      <c r="A833" t="inlineStr">
        <is>
          <t>OP08214</t>
        </is>
      </c>
      <c r="B833">
        <f>VLOOKUP(A833,Reseller!G:H,2,0)</f>
        <v/>
      </c>
      <c r="C833" t="inlineStr">
        <is>
          <t>ONLINE</t>
        </is>
      </c>
      <c r="G833" s="34">
        <f>VLOOKUP(Table4[[#This Row],[AGEN ID]],Reseller!A:E,5,0)</f>
        <v/>
      </c>
    </row>
    <row r="834">
      <c r="A834" t="inlineStr">
        <is>
          <t>OP08218</t>
        </is>
      </c>
      <c r="B834">
        <f>VLOOKUP(A834,Reseller!G:H,2,0)</f>
        <v/>
      </c>
      <c r="C834" t="inlineStr">
        <is>
          <t>ONLINE</t>
        </is>
      </c>
      <c r="G834" s="34">
        <f>VLOOKUP(Table4[[#This Row],[AGEN ID]],Reseller!A:E,5,0)</f>
        <v/>
      </c>
    </row>
    <row r="835">
      <c r="A835" t="inlineStr">
        <is>
          <t>OP08228</t>
        </is>
      </c>
      <c r="B835">
        <f>VLOOKUP(A835,Reseller!G:H,2,0)</f>
        <v/>
      </c>
      <c r="C835" t="inlineStr">
        <is>
          <t>ONLINE</t>
        </is>
      </c>
      <c r="G835" s="34">
        <f>VLOOKUP(Table4[[#This Row],[AGEN ID]],Reseller!A:E,5,0)</f>
        <v/>
      </c>
    </row>
    <row r="836">
      <c r="A836" t="inlineStr">
        <is>
          <t>OP08233</t>
        </is>
      </c>
      <c r="B836">
        <f>VLOOKUP(A836,Reseller!G:H,2,0)</f>
        <v/>
      </c>
      <c r="C836" t="inlineStr">
        <is>
          <t>ONLINE</t>
        </is>
      </c>
      <c r="G836" s="34">
        <f>VLOOKUP(Table4[[#This Row],[AGEN ID]],Reseller!A:E,5,0)</f>
        <v/>
      </c>
    </row>
    <row r="837">
      <c r="A837" t="inlineStr">
        <is>
          <t>OP08242</t>
        </is>
      </c>
      <c r="B837">
        <f>VLOOKUP(A837,Reseller!G:H,2,0)</f>
        <v/>
      </c>
      <c r="C837" t="inlineStr">
        <is>
          <t>ONLINE</t>
        </is>
      </c>
      <c r="G837" s="34">
        <f>VLOOKUP(Table4[[#This Row],[AGEN ID]],Reseller!A:E,5,0)</f>
        <v/>
      </c>
    </row>
    <row r="838">
      <c r="A838" t="inlineStr">
        <is>
          <t>OP08244</t>
        </is>
      </c>
      <c r="B838">
        <f>VLOOKUP(A838,Reseller!G:H,2,0)</f>
        <v/>
      </c>
      <c r="C838" t="inlineStr">
        <is>
          <t>ONLINE</t>
        </is>
      </c>
      <c r="G838" s="34">
        <f>VLOOKUP(Table4[[#This Row],[AGEN ID]],Reseller!A:E,5,0)</f>
        <v/>
      </c>
    </row>
    <row r="839">
      <c r="A839" t="inlineStr">
        <is>
          <t>OP08250</t>
        </is>
      </c>
      <c r="B839">
        <f>VLOOKUP(A839,Reseller!G:H,2,0)</f>
        <v/>
      </c>
      <c r="C839" t="inlineStr">
        <is>
          <t>ONLINE</t>
        </is>
      </c>
      <c r="G839" s="34">
        <f>VLOOKUP(Table4[[#This Row],[AGEN ID]],Reseller!A:E,5,0)</f>
        <v/>
      </c>
    </row>
    <row r="840">
      <c r="A840" t="inlineStr">
        <is>
          <t>OP08266</t>
        </is>
      </c>
      <c r="B840">
        <f>VLOOKUP(A840,Reseller!G:H,2,0)</f>
        <v/>
      </c>
      <c r="C840" t="inlineStr">
        <is>
          <t>ONLINE</t>
        </is>
      </c>
      <c r="G840" s="34">
        <f>VLOOKUP(Table4[[#This Row],[AGEN ID]],Reseller!A:E,5,0)</f>
        <v/>
      </c>
    </row>
    <row r="841">
      <c r="A841" t="inlineStr">
        <is>
          <t>OP08270</t>
        </is>
      </c>
      <c r="B841">
        <f>VLOOKUP(A841,Reseller!G:H,2,0)</f>
        <v/>
      </c>
      <c r="C841" t="inlineStr">
        <is>
          <t>ONLINE</t>
        </is>
      </c>
      <c r="G841" s="34">
        <f>VLOOKUP(Table4[[#This Row],[AGEN ID]],Reseller!A:E,5,0)</f>
        <v/>
      </c>
    </row>
    <row r="842">
      <c r="A842" t="inlineStr">
        <is>
          <t>OP08272</t>
        </is>
      </c>
      <c r="B842">
        <f>VLOOKUP(A842,Reseller!G:H,2,0)</f>
        <v/>
      </c>
      <c r="C842" t="inlineStr">
        <is>
          <t>ONLINE</t>
        </is>
      </c>
      <c r="G842" s="34">
        <f>VLOOKUP(Table4[[#This Row],[AGEN ID]],Reseller!A:E,5,0)</f>
        <v/>
      </c>
    </row>
    <row r="843">
      <c r="A843" t="inlineStr">
        <is>
          <t>OP08273</t>
        </is>
      </c>
      <c r="B843">
        <f>VLOOKUP(A843,Reseller!G:H,2,0)</f>
        <v/>
      </c>
      <c r="C843" t="inlineStr">
        <is>
          <t>ONLINE</t>
        </is>
      </c>
      <c r="G843" s="34">
        <f>VLOOKUP(Table4[[#This Row],[AGEN ID]],Reseller!A:E,5,0)</f>
        <v/>
      </c>
    </row>
    <row r="844">
      <c r="A844" t="inlineStr">
        <is>
          <t>OP08277</t>
        </is>
      </c>
      <c r="B844">
        <f>VLOOKUP(A844,Reseller!G:H,2,0)</f>
        <v/>
      </c>
      <c r="C844" t="inlineStr">
        <is>
          <t>ONLINE</t>
        </is>
      </c>
      <c r="G844" s="34">
        <f>VLOOKUP(Table4[[#This Row],[AGEN ID]],Reseller!A:E,5,0)</f>
        <v/>
      </c>
    </row>
    <row r="845">
      <c r="A845" t="inlineStr">
        <is>
          <t>OP08278</t>
        </is>
      </c>
      <c r="B845">
        <f>VLOOKUP(A845,Reseller!G:H,2,0)</f>
        <v/>
      </c>
      <c r="C845" t="inlineStr">
        <is>
          <t>ONLINE</t>
        </is>
      </c>
      <c r="G845" s="34">
        <f>VLOOKUP(Table4[[#This Row],[AGEN ID]],Reseller!A:E,5,0)</f>
        <v/>
      </c>
    </row>
    <row r="846">
      <c r="A846" t="inlineStr">
        <is>
          <t>OP08284</t>
        </is>
      </c>
      <c r="B846">
        <f>VLOOKUP(A846,Reseller!G:H,2,0)</f>
        <v/>
      </c>
      <c r="C846" t="inlineStr">
        <is>
          <t>ONLINE</t>
        </is>
      </c>
      <c r="G846" s="34">
        <f>VLOOKUP(Table4[[#This Row],[AGEN ID]],Reseller!A:E,5,0)</f>
        <v/>
      </c>
    </row>
    <row r="847">
      <c r="A847" t="inlineStr">
        <is>
          <t>OP08289</t>
        </is>
      </c>
      <c r="B847">
        <f>VLOOKUP(A847,Reseller!G:H,2,0)</f>
        <v/>
      </c>
      <c r="C847" t="inlineStr">
        <is>
          <t>ONLINE</t>
        </is>
      </c>
      <c r="G847" s="34">
        <f>VLOOKUP(Table4[[#This Row],[AGEN ID]],Reseller!A:E,5,0)</f>
        <v/>
      </c>
    </row>
    <row r="848">
      <c r="A848" t="inlineStr">
        <is>
          <t>OP08305</t>
        </is>
      </c>
      <c r="B848">
        <f>VLOOKUP(A848,Reseller!G:H,2,0)</f>
        <v/>
      </c>
      <c r="C848" t="inlineStr">
        <is>
          <t>ONLINE</t>
        </is>
      </c>
      <c r="G848" s="34">
        <f>VLOOKUP(Table4[[#This Row],[AGEN ID]],Reseller!A:E,5,0)</f>
        <v/>
      </c>
    </row>
    <row r="849">
      <c r="A849" t="inlineStr">
        <is>
          <t>OP08308</t>
        </is>
      </c>
      <c r="B849">
        <f>VLOOKUP(A849,Reseller!G:H,2,0)</f>
        <v/>
      </c>
      <c r="C849" t="inlineStr">
        <is>
          <t>ONLINE</t>
        </is>
      </c>
      <c r="G849" s="34">
        <f>VLOOKUP(Table4[[#This Row],[AGEN ID]],Reseller!A:E,5,0)</f>
        <v/>
      </c>
    </row>
    <row r="850">
      <c r="A850" t="inlineStr">
        <is>
          <t>OP08311</t>
        </is>
      </c>
      <c r="B850">
        <f>VLOOKUP(A850,Reseller!G:H,2,0)</f>
        <v/>
      </c>
      <c r="C850" t="inlineStr">
        <is>
          <t>ONLINE</t>
        </is>
      </c>
      <c r="G850" s="34">
        <f>VLOOKUP(Table4[[#This Row],[AGEN ID]],Reseller!A:E,5,0)</f>
        <v/>
      </c>
    </row>
    <row r="851">
      <c r="A851" t="inlineStr">
        <is>
          <t>OP08312</t>
        </is>
      </c>
      <c r="B851">
        <f>VLOOKUP(A851,Reseller!G:H,2,0)</f>
        <v/>
      </c>
      <c r="C851" t="inlineStr">
        <is>
          <t>ONLINE</t>
        </is>
      </c>
      <c r="G851" s="34">
        <f>VLOOKUP(Table4[[#This Row],[AGEN ID]],Reseller!A:E,5,0)</f>
        <v/>
      </c>
    </row>
    <row r="852">
      <c r="A852" t="inlineStr">
        <is>
          <t>OP08320</t>
        </is>
      </c>
      <c r="B852">
        <f>VLOOKUP(A852,Reseller!G:H,2,0)</f>
        <v/>
      </c>
      <c r="C852" t="inlineStr">
        <is>
          <t>ONLINE</t>
        </is>
      </c>
      <c r="G852" s="34">
        <f>VLOOKUP(Table4[[#This Row],[AGEN ID]],Reseller!A:E,5,0)</f>
        <v/>
      </c>
    </row>
    <row r="853">
      <c r="A853" t="inlineStr">
        <is>
          <t>OP08353</t>
        </is>
      </c>
      <c r="B853">
        <f>VLOOKUP(A853,Reseller!G:H,2,0)</f>
        <v/>
      </c>
      <c r="C853" t="inlineStr">
        <is>
          <t>ONLINE</t>
        </is>
      </c>
      <c r="G853" s="34">
        <f>VLOOKUP(Table4[[#This Row],[AGEN ID]],Reseller!A:E,5,0)</f>
        <v/>
      </c>
    </row>
    <row r="854">
      <c r="A854" t="inlineStr">
        <is>
          <t>OP08359</t>
        </is>
      </c>
      <c r="B854">
        <f>VLOOKUP(A854,Reseller!G:H,2,0)</f>
        <v/>
      </c>
      <c r="C854" t="inlineStr">
        <is>
          <t>ONLINE</t>
        </is>
      </c>
      <c r="G854" s="34">
        <f>VLOOKUP(Table4[[#This Row],[AGEN ID]],Reseller!A:E,5,0)</f>
        <v/>
      </c>
    </row>
    <row r="855">
      <c r="A855" t="inlineStr">
        <is>
          <t>OP08379</t>
        </is>
      </c>
      <c r="B855">
        <f>VLOOKUP(A855,Reseller!G:H,2,0)</f>
        <v/>
      </c>
      <c r="C855" t="inlineStr">
        <is>
          <t>ONLINE</t>
        </is>
      </c>
      <c r="G855" s="34">
        <f>VLOOKUP(Table4[[#This Row],[AGEN ID]],Reseller!A:E,5,0)</f>
        <v/>
      </c>
    </row>
    <row r="856">
      <c r="A856" t="inlineStr">
        <is>
          <t>OP08380</t>
        </is>
      </c>
      <c r="B856">
        <f>VLOOKUP(A856,Reseller!G:H,2,0)</f>
        <v/>
      </c>
      <c r="C856" t="inlineStr">
        <is>
          <t>ONLINE</t>
        </is>
      </c>
      <c r="G856" s="34">
        <f>VLOOKUP(Table4[[#This Row],[AGEN ID]],Reseller!A:E,5,0)</f>
        <v/>
      </c>
    </row>
    <row r="857">
      <c r="A857" t="inlineStr">
        <is>
          <t>OP08392</t>
        </is>
      </c>
      <c r="B857">
        <f>VLOOKUP(A857,Reseller!G:H,2,0)</f>
        <v/>
      </c>
      <c r="C857" t="inlineStr">
        <is>
          <t>ONLINE</t>
        </is>
      </c>
      <c r="G857" s="34">
        <f>VLOOKUP(Table4[[#This Row],[AGEN ID]],Reseller!A:E,5,0)</f>
        <v/>
      </c>
    </row>
    <row r="858">
      <c r="A858" t="inlineStr">
        <is>
          <t>OP08398</t>
        </is>
      </c>
      <c r="B858">
        <f>VLOOKUP(A858,Reseller!G:H,2,0)</f>
        <v/>
      </c>
      <c r="C858" t="inlineStr">
        <is>
          <t>ONLINE</t>
        </is>
      </c>
      <c r="G858" s="34">
        <f>VLOOKUP(Table4[[#This Row],[AGEN ID]],Reseller!A:E,5,0)</f>
        <v/>
      </c>
    </row>
    <row r="859">
      <c r="A859" t="inlineStr">
        <is>
          <t>OP08405</t>
        </is>
      </c>
      <c r="B859">
        <f>VLOOKUP(A859,Reseller!G:H,2,0)</f>
        <v/>
      </c>
      <c r="C859" t="inlineStr">
        <is>
          <t>ONLINE</t>
        </is>
      </c>
      <c r="G859" s="34">
        <f>VLOOKUP(Table4[[#This Row],[AGEN ID]],Reseller!A:E,5,0)</f>
        <v/>
      </c>
    </row>
    <row r="860">
      <c r="A860" t="inlineStr">
        <is>
          <t>OP08458</t>
        </is>
      </c>
      <c r="B860">
        <f>VLOOKUP(A860,Reseller!G:H,2,0)</f>
        <v/>
      </c>
      <c r="C860" t="inlineStr">
        <is>
          <t>ONLINE</t>
        </is>
      </c>
      <c r="G860" s="34">
        <f>VLOOKUP(Table4[[#This Row],[AGEN ID]],Reseller!A:E,5,0)</f>
        <v/>
      </c>
    </row>
    <row r="861">
      <c r="A861" t="inlineStr">
        <is>
          <t>OP08482</t>
        </is>
      </c>
      <c r="B861">
        <f>VLOOKUP(A861,Reseller!G:H,2,0)</f>
        <v/>
      </c>
      <c r="C861" t="inlineStr">
        <is>
          <t>ONLINE</t>
        </is>
      </c>
      <c r="G861" s="34">
        <f>VLOOKUP(Table4[[#This Row],[AGEN ID]],Reseller!A:E,5,0)</f>
        <v/>
      </c>
    </row>
    <row r="862">
      <c r="A862" t="inlineStr">
        <is>
          <t>OP08488</t>
        </is>
      </c>
      <c r="B862">
        <f>VLOOKUP(A862,Reseller!G:H,2,0)</f>
        <v/>
      </c>
      <c r="C862" t="inlineStr">
        <is>
          <t>ONLINE</t>
        </is>
      </c>
      <c r="G862" s="34">
        <f>VLOOKUP(Table4[[#This Row],[AGEN ID]],Reseller!A:E,5,0)</f>
        <v/>
      </c>
    </row>
    <row r="863">
      <c r="A863" t="inlineStr">
        <is>
          <t>OP08489</t>
        </is>
      </c>
      <c r="B863">
        <f>VLOOKUP(A863,Reseller!G:H,2,0)</f>
        <v/>
      </c>
      <c r="C863" t="inlineStr">
        <is>
          <t>ONLINE</t>
        </is>
      </c>
      <c r="G863" s="34">
        <f>VLOOKUP(Table4[[#This Row],[AGEN ID]],Reseller!A:E,5,0)</f>
        <v/>
      </c>
    </row>
    <row r="864">
      <c r="A864" t="inlineStr">
        <is>
          <t>OP08491</t>
        </is>
      </c>
      <c r="B864">
        <f>VLOOKUP(A864,Reseller!G:H,2,0)</f>
        <v/>
      </c>
      <c r="C864" t="inlineStr">
        <is>
          <t>ONLINE</t>
        </is>
      </c>
      <c r="G864" s="34">
        <f>VLOOKUP(Table4[[#This Row],[AGEN ID]],Reseller!A:E,5,0)</f>
        <v/>
      </c>
    </row>
    <row r="865">
      <c r="A865" t="inlineStr">
        <is>
          <t>OP08506</t>
        </is>
      </c>
      <c r="B865">
        <f>VLOOKUP(A865,Reseller!G:H,2,0)</f>
        <v/>
      </c>
      <c r="C865" t="inlineStr">
        <is>
          <t>ONLINE</t>
        </is>
      </c>
      <c r="G865" s="34">
        <f>VLOOKUP(Table4[[#This Row],[AGEN ID]],Reseller!A:E,5,0)</f>
        <v/>
      </c>
    </row>
    <row r="866">
      <c r="A866" t="inlineStr">
        <is>
          <t>OP08507</t>
        </is>
      </c>
      <c r="B866">
        <f>VLOOKUP(A866,Reseller!G:H,2,0)</f>
        <v/>
      </c>
      <c r="C866" t="inlineStr">
        <is>
          <t>ONLINE</t>
        </is>
      </c>
      <c r="G866" s="34">
        <f>VLOOKUP(Table4[[#This Row],[AGEN ID]],Reseller!A:E,5,0)</f>
        <v/>
      </c>
    </row>
    <row r="867">
      <c r="A867" t="inlineStr">
        <is>
          <t>OP08511</t>
        </is>
      </c>
      <c r="B867">
        <f>VLOOKUP(A867,Reseller!G:H,2,0)</f>
        <v/>
      </c>
      <c r="C867" t="inlineStr">
        <is>
          <t>ONLINE</t>
        </is>
      </c>
      <c r="G867" s="34">
        <f>VLOOKUP(Table4[[#This Row],[AGEN ID]],Reseller!A:E,5,0)</f>
        <v/>
      </c>
    </row>
    <row r="868">
      <c r="A868" t="inlineStr">
        <is>
          <t>OP08517</t>
        </is>
      </c>
      <c r="B868">
        <f>VLOOKUP(A868,Reseller!G:H,2,0)</f>
        <v/>
      </c>
      <c r="C868" t="inlineStr">
        <is>
          <t>ONLINE</t>
        </is>
      </c>
      <c r="G868" s="34">
        <f>VLOOKUP(Table4[[#This Row],[AGEN ID]],Reseller!A:E,5,0)</f>
        <v/>
      </c>
    </row>
    <row r="869">
      <c r="A869" t="inlineStr">
        <is>
          <t>OP08522</t>
        </is>
      </c>
      <c r="B869">
        <f>VLOOKUP(A869,Reseller!G:H,2,0)</f>
        <v/>
      </c>
      <c r="C869" t="inlineStr">
        <is>
          <t>ONLINE</t>
        </is>
      </c>
      <c r="G869" s="34">
        <f>VLOOKUP(Table4[[#This Row],[AGEN ID]],Reseller!A:E,5,0)</f>
        <v/>
      </c>
    </row>
    <row r="870">
      <c r="A870" t="inlineStr">
        <is>
          <t>OP08530</t>
        </is>
      </c>
      <c r="B870">
        <f>VLOOKUP(A870,Reseller!G:H,2,0)</f>
        <v/>
      </c>
      <c r="C870" t="inlineStr">
        <is>
          <t>ONLINE</t>
        </is>
      </c>
      <c r="G870" s="34">
        <f>VLOOKUP(Table4[[#This Row],[AGEN ID]],Reseller!A:E,5,0)</f>
        <v/>
      </c>
    </row>
    <row r="871">
      <c r="A871" t="inlineStr">
        <is>
          <t>OP08544</t>
        </is>
      </c>
      <c r="B871">
        <f>VLOOKUP(A871,Reseller!G:H,2,0)</f>
        <v/>
      </c>
      <c r="C871" t="inlineStr">
        <is>
          <t>ONLINE</t>
        </is>
      </c>
      <c r="G871" s="34">
        <f>VLOOKUP(Table4[[#This Row],[AGEN ID]],Reseller!A:E,5,0)</f>
        <v/>
      </c>
    </row>
    <row r="872">
      <c r="A872" t="inlineStr">
        <is>
          <t>OP08548</t>
        </is>
      </c>
      <c r="B872">
        <f>VLOOKUP(A872,Reseller!G:H,2,0)</f>
        <v/>
      </c>
      <c r="C872" t="inlineStr">
        <is>
          <t>ONLINE</t>
        </is>
      </c>
      <c r="G872" s="34">
        <f>VLOOKUP(Table4[[#This Row],[AGEN ID]],Reseller!A:E,5,0)</f>
        <v/>
      </c>
    </row>
    <row r="873">
      <c r="A873" t="inlineStr">
        <is>
          <t>OP08549</t>
        </is>
      </c>
      <c r="B873">
        <f>VLOOKUP(A873,Reseller!G:H,2,0)</f>
        <v/>
      </c>
      <c r="C873" t="inlineStr">
        <is>
          <t>ONLINE</t>
        </is>
      </c>
      <c r="G873" s="34">
        <f>VLOOKUP(Table4[[#This Row],[AGEN ID]],Reseller!A:E,5,0)</f>
        <v/>
      </c>
    </row>
    <row r="874">
      <c r="A874" t="inlineStr">
        <is>
          <t>OP08551</t>
        </is>
      </c>
      <c r="B874">
        <f>VLOOKUP(A874,Reseller!G:H,2,0)</f>
        <v/>
      </c>
      <c r="C874" t="inlineStr">
        <is>
          <t>ONLINE</t>
        </is>
      </c>
      <c r="G874" s="34">
        <f>VLOOKUP(Table4[[#This Row],[AGEN ID]],Reseller!A:E,5,0)</f>
        <v/>
      </c>
    </row>
    <row r="875">
      <c r="A875" t="inlineStr">
        <is>
          <t>OP08582</t>
        </is>
      </c>
      <c r="B875">
        <f>VLOOKUP(A875,Reseller!G:H,2,0)</f>
        <v/>
      </c>
      <c r="C875" t="inlineStr">
        <is>
          <t>ONLINE</t>
        </is>
      </c>
      <c r="G875" s="34">
        <f>VLOOKUP(Table4[[#This Row],[AGEN ID]],Reseller!A:E,5,0)</f>
        <v/>
      </c>
    </row>
    <row r="876">
      <c r="A876" t="inlineStr">
        <is>
          <t>OP08644</t>
        </is>
      </c>
      <c r="B876">
        <f>VLOOKUP(A876,Reseller!G:H,2,0)</f>
        <v/>
      </c>
      <c r="C876" t="inlineStr">
        <is>
          <t>ONLINE</t>
        </is>
      </c>
      <c r="G876" s="34">
        <f>VLOOKUP(Table4[[#This Row],[AGEN ID]],Reseller!A:E,5,0)</f>
        <v/>
      </c>
    </row>
    <row r="877">
      <c r="A877" t="inlineStr">
        <is>
          <t>OP08655</t>
        </is>
      </c>
      <c r="B877">
        <f>VLOOKUP(A877,Reseller!G:H,2,0)</f>
        <v/>
      </c>
      <c r="C877" t="inlineStr">
        <is>
          <t>ONLINE</t>
        </is>
      </c>
      <c r="G877" s="34">
        <f>VLOOKUP(Table4[[#This Row],[AGEN ID]],Reseller!A:E,5,0)</f>
        <v/>
      </c>
    </row>
    <row r="878">
      <c r="A878" t="inlineStr">
        <is>
          <t>OP08663</t>
        </is>
      </c>
      <c r="B878">
        <f>VLOOKUP(A878,Reseller!G:H,2,0)</f>
        <v/>
      </c>
      <c r="C878" t="inlineStr">
        <is>
          <t>ONLINE</t>
        </is>
      </c>
      <c r="G878" s="34">
        <f>VLOOKUP(Table4[[#This Row],[AGEN ID]],Reseller!A:E,5,0)</f>
        <v/>
      </c>
    </row>
    <row r="879">
      <c r="A879" t="inlineStr">
        <is>
          <t>OP08665</t>
        </is>
      </c>
      <c r="B879">
        <f>VLOOKUP(A879,Reseller!G:H,2,0)</f>
        <v/>
      </c>
      <c r="C879" t="inlineStr">
        <is>
          <t>ONLINE</t>
        </is>
      </c>
      <c r="G879" s="34">
        <f>VLOOKUP(Table4[[#This Row],[AGEN ID]],Reseller!A:E,5,0)</f>
        <v/>
      </c>
    </row>
    <row r="880">
      <c r="A880" t="inlineStr">
        <is>
          <t>OP08695</t>
        </is>
      </c>
      <c r="B880">
        <f>VLOOKUP(A880,Reseller!G:H,2,0)</f>
        <v/>
      </c>
      <c r="C880" t="inlineStr">
        <is>
          <t>ONLINE</t>
        </is>
      </c>
      <c r="G880" s="34">
        <f>VLOOKUP(Table4[[#This Row],[AGEN ID]],Reseller!A:E,5,0)</f>
        <v/>
      </c>
    </row>
    <row r="881">
      <c r="A881" t="inlineStr">
        <is>
          <t>OP08701</t>
        </is>
      </c>
      <c r="B881">
        <f>VLOOKUP(A881,Reseller!G:H,2,0)</f>
        <v/>
      </c>
      <c r="C881" t="inlineStr">
        <is>
          <t>ONLINE</t>
        </is>
      </c>
      <c r="G881" s="34">
        <f>VLOOKUP(Table4[[#This Row],[AGEN ID]],Reseller!A:E,5,0)</f>
        <v/>
      </c>
    </row>
    <row r="882">
      <c r="A882" t="inlineStr">
        <is>
          <t>OP08728</t>
        </is>
      </c>
      <c r="B882">
        <f>VLOOKUP(A882,Reseller!G:H,2,0)</f>
        <v/>
      </c>
      <c r="C882" t="inlineStr">
        <is>
          <t>ONLINE</t>
        </is>
      </c>
      <c r="G882" s="34">
        <f>VLOOKUP(Table4[[#This Row],[AGEN ID]],Reseller!A:E,5,0)</f>
        <v/>
      </c>
    </row>
    <row r="883">
      <c r="A883" t="inlineStr">
        <is>
          <t>OP08732</t>
        </is>
      </c>
      <c r="B883">
        <f>VLOOKUP(A883,Reseller!G:H,2,0)</f>
        <v/>
      </c>
      <c r="C883" t="inlineStr">
        <is>
          <t>ONLINE</t>
        </is>
      </c>
      <c r="G883" s="34">
        <f>VLOOKUP(Table4[[#This Row],[AGEN ID]],Reseller!A:E,5,0)</f>
        <v/>
      </c>
    </row>
    <row r="884">
      <c r="A884" t="inlineStr">
        <is>
          <t>OP08733</t>
        </is>
      </c>
      <c r="B884">
        <f>VLOOKUP(A884,Reseller!G:H,2,0)</f>
        <v/>
      </c>
      <c r="C884" t="inlineStr">
        <is>
          <t>ONLINE</t>
        </is>
      </c>
      <c r="G884" s="34">
        <f>VLOOKUP(Table4[[#This Row],[AGEN ID]],Reseller!A:E,5,0)</f>
        <v/>
      </c>
    </row>
    <row r="885">
      <c r="A885" t="inlineStr">
        <is>
          <t>OP08740</t>
        </is>
      </c>
      <c r="B885">
        <f>VLOOKUP(A885,Reseller!G:H,2,0)</f>
        <v/>
      </c>
      <c r="C885" t="inlineStr">
        <is>
          <t>ONLINE</t>
        </is>
      </c>
      <c r="G885" s="34">
        <f>VLOOKUP(Table4[[#This Row],[AGEN ID]],Reseller!A:E,5,0)</f>
        <v/>
      </c>
    </row>
    <row r="886">
      <c r="A886" t="inlineStr">
        <is>
          <t>OP08741</t>
        </is>
      </c>
      <c r="B886">
        <f>VLOOKUP(A886,Reseller!G:H,2,0)</f>
        <v/>
      </c>
      <c r="C886" t="inlineStr">
        <is>
          <t>ONLINE</t>
        </is>
      </c>
      <c r="G886" s="34">
        <f>VLOOKUP(Table4[[#This Row],[AGEN ID]],Reseller!A:E,5,0)</f>
        <v/>
      </c>
    </row>
    <row r="887">
      <c r="A887" t="inlineStr">
        <is>
          <t>OP08743</t>
        </is>
      </c>
      <c r="B887">
        <f>VLOOKUP(A887,Reseller!G:H,2,0)</f>
        <v/>
      </c>
      <c r="C887" t="inlineStr">
        <is>
          <t>ONLINE</t>
        </is>
      </c>
      <c r="G887" s="34">
        <f>VLOOKUP(Table4[[#This Row],[AGEN ID]],Reseller!A:E,5,0)</f>
        <v/>
      </c>
    </row>
    <row r="888">
      <c r="A888" t="inlineStr">
        <is>
          <t>OP08746</t>
        </is>
      </c>
      <c r="B888">
        <f>VLOOKUP(A888,Reseller!G:H,2,0)</f>
        <v/>
      </c>
      <c r="C888" t="inlineStr">
        <is>
          <t>ONLINE</t>
        </is>
      </c>
      <c r="G888" s="34">
        <f>VLOOKUP(Table4[[#This Row],[AGEN ID]],Reseller!A:E,5,0)</f>
        <v/>
      </c>
    </row>
    <row r="889">
      <c r="A889" t="inlineStr">
        <is>
          <t>OP08774</t>
        </is>
      </c>
      <c r="B889">
        <f>VLOOKUP(A889,Reseller!G:H,2,0)</f>
        <v/>
      </c>
      <c r="C889" t="inlineStr">
        <is>
          <t>ONLINE</t>
        </is>
      </c>
      <c r="G889" s="34">
        <f>VLOOKUP(Table4[[#This Row],[AGEN ID]],Reseller!A:E,5,0)</f>
        <v/>
      </c>
    </row>
    <row r="890">
      <c r="A890" t="inlineStr">
        <is>
          <t>OP08775</t>
        </is>
      </c>
      <c r="B890">
        <f>VLOOKUP(A890,Reseller!G:H,2,0)</f>
        <v/>
      </c>
      <c r="C890" t="inlineStr">
        <is>
          <t>ONLINE</t>
        </is>
      </c>
      <c r="G890" s="34">
        <f>VLOOKUP(Table4[[#This Row],[AGEN ID]],Reseller!A:E,5,0)</f>
        <v/>
      </c>
    </row>
    <row r="891">
      <c r="A891" t="inlineStr">
        <is>
          <t>OP08779</t>
        </is>
      </c>
      <c r="B891">
        <f>VLOOKUP(A891,Reseller!G:H,2,0)</f>
        <v/>
      </c>
      <c r="C891" t="inlineStr">
        <is>
          <t>ONLINE</t>
        </is>
      </c>
      <c r="G891" s="34">
        <f>VLOOKUP(Table4[[#This Row],[AGEN ID]],Reseller!A:E,5,0)</f>
        <v/>
      </c>
    </row>
    <row r="892">
      <c r="A892" t="inlineStr">
        <is>
          <t>OP08795</t>
        </is>
      </c>
      <c r="B892">
        <f>VLOOKUP(A892,Reseller!G:H,2,0)</f>
        <v/>
      </c>
      <c r="C892" t="inlineStr">
        <is>
          <t>ONLINE</t>
        </is>
      </c>
      <c r="G892" s="34">
        <f>VLOOKUP(Table4[[#This Row],[AGEN ID]],Reseller!A:E,5,0)</f>
        <v/>
      </c>
    </row>
    <row r="893">
      <c r="A893" t="inlineStr">
        <is>
          <t>OP08809</t>
        </is>
      </c>
      <c r="B893">
        <f>VLOOKUP(A893,Reseller!G:H,2,0)</f>
        <v/>
      </c>
      <c r="C893" t="inlineStr">
        <is>
          <t>ONLINE</t>
        </is>
      </c>
      <c r="G893" s="34">
        <f>VLOOKUP(Table4[[#This Row],[AGEN ID]],Reseller!A:E,5,0)</f>
        <v/>
      </c>
    </row>
    <row r="894">
      <c r="A894" t="inlineStr">
        <is>
          <t>OP08818</t>
        </is>
      </c>
      <c r="B894">
        <f>VLOOKUP(A894,Reseller!G:H,2,0)</f>
        <v/>
      </c>
      <c r="C894" t="inlineStr">
        <is>
          <t>ONLINE</t>
        </is>
      </c>
      <c r="G894" s="34">
        <f>VLOOKUP(Table4[[#This Row],[AGEN ID]],Reseller!A:E,5,0)</f>
        <v/>
      </c>
    </row>
    <row r="895">
      <c r="A895" t="inlineStr">
        <is>
          <t>OP08825</t>
        </is>
      </c>
      <c r="B895">
        <f>VLOOKUP(A895,Reseller!G:H,2,0)</f>
        <v/>
      </c>
      <c r="C895" t="inlineStr">
        <is>
          <t>ONLINE</t>
        </is>
      </c>
      <c r="G895" s="34">
        <f>VLOOKUP(Table4[[#This Row],[AGEN ID]],Reseller!A:E,5,0)</f>
        <v/>
      </c>
    </row>
    <row r="896">
      <c r="A896" t="inlineStr">
        <is>
          <t>OP08827</t>
        </is>
      </c>
      <c r="B896">
        <f>VLOOKUP(A896,Reseller!G:H,2,0)</f>
        <v/>
      </c>
      <c r="C896" t="inlineStr">
        <is>
          <t>ONLINE</t>
        </is>
      </c>
      <c r="G896" s="34">
        <f>VLOOKUP(Table4[[#This Row],[AGEN ID]],Reseller!A:E,5,0)</f>
        <v/>
      </c>
    </row>
    <row r="897">
      <c r="A897" t="inlineStr">
        <is>
          <t>OP08831</t>
        </is>
      </c>
      <c r="B897">
        <f>VLOOKUP(A897,Reseller!G:H,2,0)</f>
        <v/>
      </c>
      <c r="C897" t="inlineStr">
        <is>
          <t>ONLINE</t>
        </is>
      </c>
      <c r="G897" s="34">
        <f>VLOOKUP(Table4[[#This Row],[AGEN ID]],Reseller!A:E,5,0)</f>
        <v/>
      </c>
    </row>
    <row r="898">
      <c r="A898" t="inlineStr">
        <is>
          <t>OP08834</t>
        </is>
      </c>
      <c r="B898">
        <f>VLOOKUP(A898,Reseller!G:H,2,0)</f>
        <v/>
      </c>
      <c r="C898" t="inlineStr">
        <is>
          <t>ONLINE</t>
        </is>
      </c>
      <c r="G898" s="34">
        <f>VLOOKUP(Table4[[#This Row],[AGEN ID]],Reseller!A:E,5,0)</f>
        <v/>
      </c>
    </row>
    <row r="899">
      <c r="A899" t="inlineStr">
        <is>
          <t>OP08842</t>
        </is>
      </c>
      <c r="B899">
        <f>VLOOKUP(A899,Reseller!G:H,2,0)</f>
        <v/>
      </c>
      <c r="C899" t="inlineStr">
        <is>
          <t>ONLINE</t>
        </is>
      </c>
      <c r="G899" s="34">
        <f>VLOOKUP(Table4[[#This Row],[AGEN ID]],Reseller!A:E,5,0)</f>
        <v/>
      </c>
    </row>
    <row r="900">
      <c r="A900" t="inlineStr">
        <is>
          <t>OP08844</t>
        </is>
      </c>
      <c r="B900">
        <f>VLOOKUP(A900,Reseller!G:H,2,0)</f>
        <v/>
      </c>
      <c r="C900" t="inlineStr">
        <is>
          <t>ONLINE</t>
        </is>
      </c>
      <c r="G900" s="34">
        <f>VLOOKUP(Table4[[#This Row],[AGEN ID]],Reseller!A:E,5,0)</f>
        <v/>
      </c>
    </row>
    <row r="901">
      <c r="A901" t="inlineStr">
        <is>
          <t>OP08869</t>
        </is>
      </c>
      <c r="B901">
        <f>VLOOKUP(A901,Reseller!G:H,2,0)</f>
        <v/>
      </c>
      <c r="C901" t="inlineStr">
        <is>
          <t>ONLINE</t>
        </is>
      </c>
      <c r="G901" s="34">
        <f>VLOOKUP(Table4[[#This Row],[AGEN ID]],Reseller!A:E,5,0)</f>
        <v/>
      </c>
    </row>
    <row r="902">
      <c r="A902" t="inlineStr">
        <is>
          <t>OP08874</t>
        </is>
      </c>
      <c r="B902">
        <f>VLOOKUP(A902,Reseller!G:H,2,0)</f>
        <v/>
      </c>
      <c r="C902" t="inlineStr">
        <is>
          <t>ONLINE</t>
        </is>
      </c>
      <c r="G902" s="34">
        <f>VLOOKUP(Table4[[#This Row],[AGEN ID]],Reseller!A:E,5,0)</f>
        <v/>
      </c>
    </row>
    <row r="903">
      <c r="A903" t="inlineStr">
        <is>
          <t>OP08877</t>
        </is>
      </c>
      <c r="B903">
        <f>VLOOKUP(A903,Reseller!G:H,2,0)</f>
        <v/>
      </c>
      <c r="C903" t="inlineStr">
        <is>
          <t>ONLINE</t>
        </is>
      </c>
      <c r="G903" s="34">
        <f>VLOOKUP(Table4[[#This Row],[AGEN ID]],Reseller!A:E,5,0)</f>
        <v/>
      </c>
    </row>
    <row r="904">
      <c r="A904" t="inlineStr">
        <is>
          <t>OP08894</t>
        </is>
      </c>
      <c r="B904">
        <f>VLOOKUP(A904,Reseller!G:H,2,0)</f>
        <v/>
      </c>
      <c r="C904" t="inlineStr">
        <is>
          <t>ONLINE</t>
        </is>
      </c>
      <c r="G904" s="34">
        <f>VLOOKUP(Table4[[#This Row],[AGEN ID]],Reseller!A:E,5,0)</f>
        <v/>
      </c>
    </row>
    <row r="905">
      <c r="A905" t="inlineStr">
        <is>
          <t>OP08912</t>
        </is>
      </c>
      <c r="B905">
        <f>VLOOKUP(A905,Reseller!G:H,2,0)</f>
        <v/>
      </c>
      <c r="C905" t="inlineStr">
        <is>
          <t>ONLINE</t>
        </is>
      </c>
      <c r="G905" s="34">
        <f>VLOOKUP(Table4[[#This Row],[AGEN ID]],Reseller!A:E,5,0)</f>
        <v/>
      </c>
    </row>
    <row r="906">
      <c r="A906" t="inlineStr">
        <is>
          <t>OP08923</t>
        </is>
      </c>
      <c r="B906">
        <f>VLOOKUP(A906,Reseller!G:H,2,0)</f>
        <v/>
      </c>
      <c r="C906" t="inlineStr">
        <is>
          <t>ONLINE</t>
        </is>
      </c>
      <c r="G906" s="34">
        <f>VLOOKUP(Table4[[#This Row],[AGEN ID]],Reseller!A:E,5,0)</f>
        <v/>
      </c>
    </row>
    <row r="907">
      <c r="A907" t="inlineStr">
        <is>
          <t>OP08925</t>
        </is>
      </c>
      <c r="B907">
        <f>VLOOKUP(A907,Reseller!G:H,2,0)</f>
        <v/>
      </c>
      <c r="C907" t="inlineStr">
        <is>
          <t>ONLINE</t>
        </is>
      </c>
      <c r="G907" s="34">
        <f>VLOOKUP(Table4[[#This Row],[AGEN ID]],Reseller!A:E,5,0)</f>
        <v/>
      </c>
    </row>
    <row r="908">
      <c r="A908" t="inlineStr">
        <is>
          <t>OP08944</t>
        </is>
      </c>
      <c r="B908">
        <f>VLOOKUP(A908,Reseller!G:H,2,0)</f>
        <v/>
      </c>
      <c r="C908" t="inlineStr">
        <is>
          <t>ONLINE</t>
        </is>
      </c>
      <c r="G908" s="34">
        <f>VLOOKUP(Table4[[#This Row],[AGEN ID]],Reseller!A:E,5,0)</f>
        <v/>
      </c>
    </row>
    <row r="909">
      <c r="A909" t="inlineStr">
        <is>
          <t>OP08957</t>
        </is>
      </c>
      <c r="B909">
        <f>VLOOKUP(A909,Reseller!G:H,2,0)</f>
        <v/>
      </c>
      <c r="C909" t="inlineStr">
        <is>
          <t>ONLINE</t>
        </is>
      </c>
      <c r="G909" s="34">
        <f>VLOOKUP(Table4[[#This Row],[AGEN ID]],Reseller!A:E,5,0)</f>
        <v/>
      </c>
    </row>
    <row r="910">
      <c r="A910" t="inlineStr">
        <is>
          <t>OP08967</t>
        </is>
      </c>
      <c r="B910">
        <f>VLOOKUP(A910,Reseller!G:H,2,0)</f>
        <v/>
      </c>
      <c r="C910" t="inlineStr">
        <is>
          <t>ONLINE</t>
        </is>
      </c>
      <c r="G910" s="34">
        <f>VLOOKUP(Table4[[#This Row],[AGEN ID]],Reseller!A:E,5,0)</f>
        <v/>
      </c>
    </row>
    <row r="911">
      <c r="A911" t="inlineStr">
        <is>
          <t>OP08969</t>
        </is>
      </c>
      <c r="B911">
        <f>VLOOKUP(A911,Reseller!G:H,2,0)</f>
        <v/>
      </c>
      <c r="C911" t="inlineStr">
        <is>
          <t>ONLINE</t>
        </is>
      </c>
      <c r="G911" s="34">
        <f>VLOOKUP(Table4[[#This Row],[AGEN ID]],Reseller!A:E,5,0)</f>
        <v/>
      </c>
    </row>
    <row r="912">
      <c r="A912" t="inlineStr">
        <is>
          <t>OP08979</t>
        </is>
      </c>
      <c r="B912">
        <f>VLOOKUP(A912,Reseller!G:H,2,0)</f>
        <v/>
      </c>
      <c r="C912" t="inlineStr">
        <is>
          <t>ONLINE</t>
        </is>
      </c>
      <c r="G912" s="34">
        <f>VLOOKUP(Table4[[#This Row],[AGEN ID]],Reseller!A:E,5,0)</f>
        <v/>
      </c>
    </row>
    <row r="913">
      <c r="A913" t="inlineStr">
        <is>
          <t>OP08980</t>
        </is>
      </c>
      <c r="B913">
        <f>VLOOKUP(A913,Reseller!G:H,2,0)</f>
        <v/>
      </c>
      <c r="C913" t="inlineStr">
        <is>
          <t>ONLINE</t>
        </is>
      </c>
      <c r="G913" s="34">
        <f>VLOOKUP(Table4[[#This Row],[AGEN ID]],Reseller!A:E,5,0)</f>
        <v/>
      </c>
    </row>
    <row r="914">
      <c r="A914" t="inlineStr">
        <is>
          <t>OP08981</t>
        </is>
      </c>
      <c r="B914">
        <f>VLOOKUP(A914,Reseller!G:H,2,0)</f>
        <v/>
      </c>
      <c r="C914" t="inlineStr">
        <is>
          <t>ONLINE</t>
        </is>
      </c>
      <c r="G914" s="34">
        <f>VLOOKUP(Table4[[#This Row],[AGEN ID]],Reseller!A:E,5,0)</f>
        <v/>
      </c>
    </row>
    <row r="915">
      <c r="A915" t="inlineStr">
        <is>
          <t>OP08982</t>
        </is>
      </c>
      <c r="B915">
        <f>VLOOKUP(A915,Reseller!G:H,2,0)</f>
        <v/>
      </c>
      <c r="C915" t="inlineStr">
        <is>
          <t>ONLINE</t>
        </is>
      </c>
      <c r="G915" s="34">
        <f>VLOOKUP(Table4[[#This Row],[AGEN ID]],Reseller!A:E,5,0)</f>
        <v/>
      </c>
    </row>
    <row r="916">
      <c r="A916" t="inlineStr">
        <is>
          <t>OP08991</t>
        </is>
      </c>
      <c r="B916">
        <f>VLOOKUP(A916,Reseller!G:H,2,0)</f>
        <v/>
      </c>
      <c r="C916" t="inlineStr">
        <is>
          <t>ONLINE</t>
        </is>
      </c>
      <c r="G916" s="34">
        <f>VLOOKUP(Table4[[#This Row],[AGEN ID]],Reseller!A:E,5,0)</f>
        <v/>
      </c>
    </row>
    <row r="917">
      <c r="A917" t="inlineStr">
        <is>
          <t>OP08993</t>
        </is>
      </c>
      <c r="B917">
        <f>VLOOKUP(A917,Reseller!G:H,2,0)</f>
        <v/>
      </c>
      <c r="C917" t="inlineStr">
        <is>
          <t>ONLINE</t>
        </is>
      </c>
      <c r="G917" s="34">
        <f>VLOOKUP(Table4[[#This Row],[AGEN ID]],Reseller!A:E,5,0)</f>
        <v/>
      </c>
    </row>
    <row r="918">
      <c r="A918" t="inlineStr">
        <is>
          <t>OP09001</t>
        </is>
      </c>
      <c r="B918">
        <f>VLOOKUP(A918,Reseller!G:H,2,0)</f>
        <v/>
      </c>
      <c r="C918" t="inlineStr">
        <is>
          <t>ONLINE</t>
        </is>
      </c>
      <c r="G918" s="34">
        <f>VLOOKUP(Table4[[#This Row],[AGEN ID]],Reseller!A:E,5,0)</f>
        <v/>
      </c>
    </row>
    <row r="919">
      <c r="A919" t="inlineStr">
        <is>
          <t>OP09020</t>
        </is>
      </c>
      <c r="B919">
        <f>VLOOKUP(A919,Reseller!G:H,2,0)</f>
        <v/>
      </c>
      <c r="C919" t="inlineStr">
        <is>
          <t>ONLINE</t>
        </is>
      </c>
      <c r="G919" s="34">
        <f>VLOOKUP(Table4[[#This Row],[AGEN ID]],Reseller!A:E,5,0)</f>
        <v/>
      </c>
    </row>
    <row r="920">
      <c r="A920" t="inlineStr">
        <is>
          <t>OP09024</t>
        </is>
      </c>
      <c r="B920">
        <f>VLOOKUP(A920,Reseller!G:H,2,0)</f>
        <v/>
      </c>
      <c r="C920" t="inlineStr">
        <is>
          <t>ONLINE</t>
        </is>
      </c>
      <c r="G920" s="34">
        <f>VLOOKUP(Table4[[#This Row],[AGEN ID]],Reseller!A:E,5,0)</f>
        <v/>
      </c>
    </row>
    <row r="921">
      <c r="A921" t="inlineStr">
        <is>
          <t>OP09033</t>
        </is>
      </c>
      <c r="B921">
        <f>VLOOKUP(A921,Reseller!G:H,2,0)</f>
        <v/>
      </c>
      <c r="C921" t="inlineStr">
        <is>
          <t>ONLINE</t>
        </is>
      </c>
      <c r="G921" s="34">
        <f>VLOOKUP(Table4[[#This Row],[AGEN ID]],Reseller!A:E,5,0)</f>
        <v/>
      </c>
    </row>
    <row r="922">
      <c r="A922" t="inlineStr">
        <is>
          <t>OP09039</t>
        </is>
      </c>
      <c r="B922">
        <f>VLOOKUP(A922,Reseller!G:H,2,0)</f>
        <v/>
      </c>
      <c r="C922" t="inlineStr">
        <is>
          <t>ONLINE</t>
        </is>
      </c>
      <c r="G922" s="34">
        <f>VLOOKUP(Table4[[#This Row],[AGEN ID]],Reseller!A:E,5,0)</f>
        <v/>
      </c>
    </row>
    <row r="923">
      <c r="A923" t="inlineStr">
        <is>
          <t>OP09048</t>
        </is>
      </c>
      <c r="B923">
        <f>VLOOKUP(A923,Reseller!G:H,2,0)</f>
        <v/>
      </c>
      <c r="C923" t="inlineStr">
        <is>
          <t>ONLINE</t>
        </is>
      </c>
      <c r="G923" s="34">
        <f>VLOOKUP(Table4[[#This Row],[AGEN ID]],Reseller!A:E,5,0)</f>
        <v/>
      </c>
    </row>
    <row r="924">
      <c r="A924" t="inlineStr">
        <is>
          <t>OP09057</t>
        </is>
      </c>
      <c r="B924">
        <f>VLOOKUP(A924,Reseller!G:H,2,0)</f>
        <v/>
      </c>
      <c r="C924" t="inlineStr">
        <is>
          <t>ONLINE</t>
        </is>
      </c>
      <c r="G924" s="34">
        <f>VLOOKUP(Table4[[#This Row],[AGEN ID]],Reseller!A:E,5,0)</f>
        <v/>
      </c>
    </row>
    <row r="925">
      <c r="A925" t="inlineStr">
        <is>
          <t>OP09062</t>
        </is>
      </c>
      <c r="B925">
        <f>VLOOKUP(A925,Reseller!G:H,2,0)</f>
        <v/>
      </c>
      <c r="C925" t="inlineStr">
        <is>
          <t>ONLINE</t>
        </is>
      </c>
      <c r="G925" s="34">
        <f>VLOOKUP(Table4[[#This Row],[AGEN ID]],Reseller!A:E,5,0)</f>
        <v/>
      </c>
    </row>
    <row r="926">
      <c r="A926" t="inlineStr">
        <is>
          <t>OP09068</t>
        </is>
      </c>
      <c r="B926">
        <f>VLOOKUP(A926,Reseller!G:H,2,0)</f>
        <v/>
      </c>
      <c r="C926" t="inlineStr">
        <is>
          <t>ONLINE</t>
        </is>
      </c>
      <c r="G926" s="34">
        <f>VLOOKUP(Table4[[#This Row],[AGEN ID]],Reseller!A:E,5,0)</f>
        <v/>
      </c>
    </row>
    <row r="927">
      <c r="A927" t="inlineStr">
        <is>
          <t>OP09069</t>
        </is>
      </c>
      <c r="B927">
        <f>VLOOKUP(A927,Reseller!G:H,2,0)</f>
        <v/>
      </c>
      <c r="C927" t="inlineStr">
        <is>
          <t>ONLINE</t>
        </is>
      </c>
      <c r="G927" s="34">
        <f>VLOOKUP(Table4[[#This Row],[AGEN ID]],Reseller!A:E,5,0)</f>
        <v/>
      </c>
    </row>
    <row r="928">
      <c r="A928" t="inlineStr">
        <is>
          <t>OP09072</t>
        </is>
      </c>
      <c r="B928">
        <f>VLOOKUP(A928,Reseller!G:H,2,0)</f>
        <v/>
      </c>
      <c r="C928" t="inlineStr">
        <is>
          <t>ONLINE</t>
        </is>
      </c>
      <c r="G928" s="34">
        <f>VLOOKUP(Table4[[#This Row],[AGEN ID]],Reseller!A:E,5,0)</f>
        <v/>
      </c>
    </row>
    <row r="929">
      <c r="A929" t="inlineStr">
        <is>
          <t>OP09078</t>
        </is>
      </c>
      <c r="B929">
        <f>VLOOKUP(A929,Reseller!G:H,2,0)</f>
        <v/>
      </c>
      <c r="C929" t="inlineStr">
        <is>
          <t>ONLINE</t>
        </is>
      </c>
      <c r="G929" s="34">
        <f>VLOOKUP(Table4[[#This Row],[AGEN ID]],Reseller!A:E,5,0)</f>
        <v/>
      </c>
    </row>
    <row r="930">
      <c r="A930" t="inlineStr">
        <is>
          <t>OP09080</t>
        </is>
      </c>
      <c r="B930">
        <f>VLOOKUP(A930,Reseller!G:H,2,0)</f>
        <v/>
      </c>
      <c r="C930" t="inlineStr">
        <is>
          <t>ONLINE</t>
        </is>
      </c>
      <c r="G930" s="34">
        <f>VLOOKUP(Table4[[#This Row],[AGEN ID]],Reseller!A:E,5,0)</f>
        <v/>
      </c>
    </row>
    <row r="931">
      <c r="A931" t="inlineStr">
        <is>
          <t>OP09088</t>
        </is>
      </c>
      <c r="B931">
        <f>VLOOKUP(A931,Reseller!G:H,2,0)</f>
        <v/>
      </c>
      <c r="C931" t="inlineStr">
        <is>
          <t>ONLINE</t>
        </is>
      </c>
      <c r="G931" s="34">
        <f>VLOOKUP(Table4[[#This Row],[AGEN ID]],Reseller!A:E,5,0)</f>
        <v/>
      </c>
    </row>
    <row r="932">
      <c r="A932" t="inlineStr">
        <is>
          <t>OP09099</t>
        </is>
      </c>
      <c r="B932">
        <f>VLOOKUP(A932,Reseller!G:H,2,0)</f>
        <v/>
      </c>
      <c r="C932" t="inlineStr">
        <is>
          <t>ONLINE</t>
        </is>
      </c>
      <c r="G932" s="34">
        <f>VLOOKUP(Table4[[#This Row],[AGEN ID]],Reseller!A:E,5,0)</f>
        <v/>
      </c>
    </row>
    <row r="933">
      <c r="A933" t="inlineStr">
        <is>
          <t>OP09119</t>
        </is>
      </c>
      <c r="B933">
        <f>VLOOKUP(A933,Reseller!G:H,2,0)</f>
        <v/>
      </c>
      <c r="C933" t="inlineStr">
        <is>
          <t>ONLINE</t>
        </is>
      </c>
      <c r="G933" s="34">
        <f>VLOOKUP(Table4[[#This Row],[AGEN ID]],Reseller!A:E,5,0)</f>
        <v/>
      </c>
    </row>
    <row r="934">
      <c r="A934" t="inlineStr">
        <is>
          <t>OP09126</t>
        </is>
      </c>
      <c r="B934">
        <f>VLOOKUP(A934,Reseller!G:H,2,0)</f>
        <v/>
      </c>
      <c r="C934" t="inlineStr">
        <is>
          <t>ONLINE</t>
        </is>
      </c>
      <c r="G934" s="34">
        <f>VLOOKUP(Table4[[#This Row],[AGEN ID]],Reseller!A:E,5,0)</f>
        <v/>
      </c>
    </row>
    <row r="935">
      <c r="A935" t="inlineStr">
        <is>
          <t>OP09127</t>
        </is>
      </c>
      <c r="B935">
        <f>VLOOKUP(A935,Reseller!G:H,2,0)</f>
        <v/>
      </c>
      <c r="C935" t="inlineStr">
        <is>
          <t>ONLINE</t>
        </is>
      </c>
      <c r="G935" s="34">
        <f>VLOOKUP(Table4[[#This Row],[AGEN ID]],Reseller!A:E,5,0)</f>
        <v/>
      </c>
    </row>
    <row r="936">
      <c r="A936" t="inlineStr">
        <is>
          <t>OP09129</t>
        </is>
      </c>
      <c r="B936">
        <f>VLOOKUP(A936,Reseller!G:H,2,0)</f>
        <v/>
      </c>
      <c r="C936" t="inlineStr">
        <is>
          <t>ONLINE</t>
        </is>
      </c>
      <c r="G936" s="34">
        <f>VLOOKUP(Table4[[#This Row],[AGEN ID]],Reseller!A:E,5,0)</f>
        <v/>
      </c>
    </row>
    <row r="937">
      <c r="A937" t="inlineStr">
        <is>
          <t>OP09130</t>
        </is>
      </c>
      <c r="B937">
        <f>VLOOKUP(A937,Reseller!G:H,2,0)</f>
        <v/>
      </c>
      <c r="C937" t="inlineStr">
        <is>
          <t>ONLINE</t>
        </is>
      </c>
      <c r="G937" s="34">
        <f>VLOOKUP(Table4[[#This Row],[AGEN ID]],Reseller!A:E,5,0)</f>
        <v/>
      </c>
    </row>
    <row r="938">
      <c r="A938" t="inlineStr">
        <is>
          <t>OP09134</t>
        </is>
      </c>
      <c r="B938">
        <f>VLOOKUP(A938,Reseller!G:H,2,0)</f>
        <v/>
      </c>
      <c r="C938" t="inlineStr">
        <is>
          <t>ONLINE</t>
        </is>
      </c>
      <c r="G938" s="34">
        <f>VLOOKUP(Table4[[#This Row],[AGEN ID]],Reseller!A:E,5,0)</f>
        <v/>
      </c>
    </row>
    <row r="939">
      <c r="A939" t="inlineStr">
        <is>
          <t>OP09138</t>
        </is>
      </c>
      <c r="B939">
        <f>VLOOKUP(A939,Reseller!G:H,2,0)</f>
        <v/>
      </c>
      <c r="C939" t="inlineStr">
        <is>
          <t>ONLINE</t>
        </is>
      </c>
      <c r="G939" s="34">
        <f>VLOOKUP(Table4[[#This Row],[AGEN ID]],Reseller!A:E,5,0)</f>
        <v/>
      </c>
    </row>
    <row r="940">
      <c r="A940" t="inlineStr">
        <is>
          <t>OP09141</t>
        </is>
      </c>
      <c r="B940">
        <f>VLOOKUP(A940,Reseller!G:H,2,0)</f>
        <v/>
      </c>
      <c r="C940" t="inlineStr">
        <is>
          <t>ONLINE</t>
        </is>
      </c>
      <c r="G940" s="34">
        <f>VLOOKUP(Table4[[#This Row],[AGEN ID]],Reseller!A:E,5,0)</f>
        <v/>
      </c>
    </row>
    <row r="941">
      <c r="A941" t="inlineStr">
        <is>
          <t>OP09143</t>
        </is>
      </c>
      <c r="B941">
        <f>VLOOKUP(A941,Reseller!G:H,2,0)</f>
        <v/>
      </c>
      <c r="C941" t="inlineStr">
        <is>
          <t>ONLINE</t>
        </is>
      </c>
      <c r="G941" s="34">
        <f>VLOOKUP(Table4[[#This Row],[AGEN ID]],Reseller!A:E,5,0)</f>
        <v/>
      </c>
    </row>
    <row r="942">
      <c r="A942" t="inlineStr">
        <is>
          <t>OP09157</t>
        </is>
      </c>
      <c r="B942">
        <f>VLOOKUP(A942,Reseller!G:H,2,0)</f>
        <v/>
      </c>
      <c r="C942" t="inlineStr">
        <is>
          <t>ONLINE</t>
        </is>
      </c>
      <c r="G942" s="34">
        <f>VLOOKUP(Table4[[#This Row],[AGEN ID]],Reseller!A:E,5,0)</f>
        <v/>
      </c>
    </row>
    <row r="943">
      <c r="A943" t="inlineStr">
        <is>
          <t>OP09160</t>
        </is>
      </c>
      <c r="B943">
        <f>VLOOKUP(A943,Reseller!G:H,2,0)</f>
        <v/>
      </c>
      <c r="C943" t="inlineStr">
        <is>
          <t>ONLINE</t>
        </is>
      </c>
      <c r="G943" s="34">
        <f>VLOOKUP(Table4[[#This Row],[AGEN ID]],Reseller!A:E,5,0)</f>
        <v/>
      </c>
    </row>
    <row r="944">
      <c r="A944" t="inlineStr">
        <is>
          <t>OP09163</t>
        </is>
      </c>
      <c r="B944">
        <f>VLOOKUP(A944,Reseller!G:H,2,0)</f>
        <v/>
      </c>
      <c r="C944" t="inlineStr">
        <is>
          <t>ONLINE</t>
        </is>
      </c>
      <c r="G944" s="34">
        <f>VLOOKUP(Table4[[#This Row],[AGEN ID]],Reseller!A:E,5,0)</f>
        <v/>
      </c>
    </row>
    <row r="945">
      <c r="A945" t="inlineStr">
        <is>
          <t>OP09167</t>
        </is>
      </c>
      <c r="B945">
        <f>VLOOKUP(A945,Reseller!G:H,2,0)</f>
        <v/>
      </c>
      <c r="C945" t="inlineStr">
        <is>
          <t>ONLINE</t>
        </is>
      </c>
      <c r="G945" s="34">
        <f>VLOOKUP(Table4[[#This Row],[AGEN ID]],Reseller!A:E,5,0)</f>
        <v/>
      </c>
    </row>
    <row r="946">
      <c r="A946" t="inlineStr">
        <is>
          <t>OP09172</t>
        </is>
      </c>
      <c r="B946">
        <f>VLOOKUP(A946,Reseller!G:H,2,0)</f>
        <v/>
      </c>
      <c r="C946" t="inlineStr">
        <is>
          <t>ONLINE</t>
        </is>
      </c>
      <c r="G946" s="34">
        <f>VLOOKUP(Table4[[#This Row],[AGEN ID]],Reseller!A:E,5,0)</f>
        <v/>
      </c>
    </row>
    <row r="947">
      <c r="A947" t="inlineStr">
        <is>
          <t>OP09174</t>
        </is>
      </c>
      <c r="B947">
        <f>VLOOKUP(A947,Reseller!G:H,2,0)</f>
        <v/>
      </c>
      <c r="C947" t="inlineStr">
        <is>
          <t>ONLINE</t>
        </is>
      </c>
      <c r="G947" s="34">
        <f>VLOOKUP(Table4[[#This Row],[AGEN ID]],Reseller!A:E,5,0)</f>
        <v/>
      </c>
    </row>
    <row r="948">
      <c r="A948" t="inlineStr">
        <is>
          <t>OP09186</t>
        </is>
      </c>
      <c r="B948">
        <f>VLOOKUP(A948,Reseller!G:H,2,0)</f>
        <v/>
      </c>
      <c r="C948" t="inlineStr">
        <is>
          <t>ONLINE</t>
        </is>
      </c>
      <c r="G948" s="34">
        <f>VLOOKUP(Table4[[#This Row],[AGEN ID]],Reseller!A:E,5,0)</f>
        <v/>
      </c>
    </row>
    <row r="949">
      <c r="A949" t="inlineStr">
        <is>
          <t>OP09203</t>
        </is>
      </c>
      <c r="B949">
        <f>VLOOKUP(A949,Reseller!G:H,2,0)</f>
        <v/>
      </c>
      <c r="C949" t="inlineStr">
        <is>
          <t>ONLINE</t>
        </is>
      </c>
      <c r="G949" s="34">
        <f>VLOOKUP(Table4[[#This Row],[AGEN ID]],Reseller!A:E,5,0)</f>
        <v/>
      </c>
    </row>
    <row r="950">
      <c r="A950" t="inlineStr">
        <is>
          <t>OP09209</t>
        </is>
      </c>
      <c r="B950">
        <f>VLOOKUP(A950,Reseller!G:H,2,0)</f>
        <v/>
      </c>
      <c r="C950" t="inlineStr">
        <is>
          <t>ONLINE</t>
        </is>
      </c>
      <c r="G950" s="34">
        <f>VLOOKUP(Table4[[#This Row],[AGEN ID]],Reseller!A:E,5,0)</f>
        <v/>
      </c>
    </row>
    <row r="951">
      <c r="A951" t="inlineStr">
        <is>
          <t>OP09211</t>
        </is>
      </c>
      <c r="B951">
        <f>VLOOKUP(A951,Reseller!G:H,2,0)</f>
        <v/>
      </c>
      <c r="C951" t="inlineStr">
        <is>
          <t>ONLINE</t>
        </is>
      </c>
      <c r="G951" s="34">
        <f>VLOOKUP(Table4[[#This Row],[AGEN ID]],Reseller!A:E,5,0)</f>
        <v/>
      </c>
    </row>
    <row r="952">
      <c r="A952" t="inlineStr">
        <is>
          <t>OP09248</t>
        </is>
      </c>
      <c r="B952">
        <f>VLOOKUP(A952,Reseller!G:H,2,0)</f>
        <v/>
      </c>
      <c r="C952" t="inlineStr">
        <is>
          <t>ONLINE</t>
        </is>
      </c>
      <c r="G952" s="34">
        <f>VLOOKUP(Table4[[#This Row],[AGEN ID]],Reseller!A:E,5,0)</f>
        <v/>
      </c>
    </row>
    <row r="953">
      <c r="A953" t="inlineStr">
        <is>
          <t>OP09257</t>
        </is>
      </c>
      <c r="B953">
        <f>VLOOKUP(A953,Reseller!G:H,2,0)</f>
        <v/>
      </c>
      <c r="C953" t="inlineStr">
        <is>
          <t>ONLINE</t>
        </is>
      </c>
      <c r="G953" s="34">
        <f>VLOOKUP(Table4[[#This Row],[AGEN ID]],Reseller!A:E,5,0)</f>
        <v/>
      </c>
    </row>
    <row r="954">
      <c r="A954" t="inlineStr">
        <is>
          <t>OP09260</t>
        </is>
      </c>
      <c r="B954">
        <f>VLOOKUP(A954,Reseller!G:H,2,0)</f>
        <v/>
      </c>
      <c r="C954" t="inlineStr">
        <is>
          <t>ONLINE</t>
        </is>
      </c>
      <c r="G954" s="34">
        <f>VLOOKUP(Table4[[#This Row],[AGEN ID]],Reseller!A:E,5,0)</f>
        <v/>
      </c>
    </row>
    <row r="955">
      <c r="A955" t="inlineStr">
        <is>
          <t>OP09261</t>
        </is>
      </c>
      <c r="B955">
        <f>VLOOKUP(A955,Reseller!G:H,2,0)</f>
        <v/>
      </c>
      <c r="C955" t="inlineStr">
        <is>
          <t>ONLINE</t>
        </is>
      </c>
      <c r="G955" s="34">
        <f>VLOOKUP(Table4[[#This Row],[AGEN ID]],Reseller!A:E,5,0)</f>
        <v/>
      </c>
    </row>
    <row r="956">
      <c r="A956" t="inlineStr">
        <is>
          <t>OP09265</t>
        </is>
      </c>
      <c r="B956">
        <f>VLOOKUP(A956,Reseller!G:H,2,0)</f>
        <v/>
      </c>
      <c r="C956" t="inlineStr">
        <is>
          <t>ONLINE</t>
        </is>
      </c>
      <c r="G956" s="34">
        <f>VLOOKUP(Table4[[#This Row],[AGEN ID]],Reseller!A:E,5,0)</f>
        <v/>
      </c>
    </row>
    <row r="957">
      <c r="A957" t="inlineStr">
        <is>
          <t>OP09279</t>
        </is>
      </c>
      <c r="B957">
        <f>VLOOKUP(A957,Reseller!G:H,2,0)</f>
        <v/>
      </c>
      <c r="C957" t="inlineStr">
        <is>
          <t>ONLINE</t>
        </is>
      </c>
      <c r="G957" s="34">
        <f>VLOOKUP(Table4[[#This Row],[AGEN ID]],Reseller!A:E,5,0)</f>
        <v/>
      </c>
    </row>
    <row r="958">
      <c r="A958" t="inlineStr">
        <is>
          <t>OP09286</t>
        </is>
      </c>
      <c r="B958">
        <f>VLOOKUP(A958,Reseller!G:H,2,0)</f>
        <v/>
      </c>
      <c r="C958" t="inlineStr">
        <is>
          <t>ONLINE</t>
        </is>
      </c>
      <c r="G958" s="34">
        <f>VLOOKUP(Table4[[#This Row],[AGEN ID]],Reseller!A:E,5,0)</f>
        <v/>
      </c>
    </row>
    <row r="959">
      <c r="A959" t="inlineStr">
        <is>
          <t>OP09287</t>
        </is>
      </c>
      <c r="B959">
        <f>VLOOKUP(A959,Reseller!G:H,2,0)</f>
        <v/>
      </c>
      <c r="C959" t="inlineStr">
        <is>
          <t>ONLINE</t>
        </is>
      </c>
      <c r="G959" s="34">
        <f>VLOOKUP(Table4[[#This Row],[AGEN ID]],Reseller!A:E,5,0)</f>
        <v/>
      </c>
    </row>
    <row r="960">
      <c r="A960" t="inlineStr">
        <is>
          <t>OP09295</t>
        </is>
      </c>
      <c r="B960">
        <f>VLOOKUP(A960,Reseller!G:H,2,0)</f>
        <v/>
      </c>
      <c r="C960" t="inlineStr">
        <is>
          <t>ONLINE</t>
        </is>
      </c>
      <c r="G960" s="34">
        <f>VLOOKUP(Table4[[#This Row],[AGEN ID]],Reseller!A:E,5,0)</f>
        <v/>
      </c>
    </row>
    <row r="961">
      <c r="A961" t="inlineStr">
        <is>
          <t>OP09318</t>
        </is>
      </c>
      <c r="B961">
        <f>VLOOKUP(A961,Reseller!G:H,2,0)</f>
        <v/>
      </c>
      <c r="C961" t="inlineStr">
        <is>
          <t>ONLINE</t>
        </is>
      </c>
      <c r="G961" s="34">
        <f>VLOOKUP(Table4[[#This Row],[AGEN ID]],Reseller!A:E,5,0)</f>
        <v/>
      </c>
    </row>
    <row r="962">
      <c r="A962" t="inlineStr">
        <is>
          <t>OP09330</t>
        </is>
      </c>
      <c r="B962">
        <f>VLOOKUP(A962,Reseller!G:H,2,0)</f>
        <v/>
      </c>
      <c r="C962" t="inlineStr">
        <is>
          <t>ONLINE</t>
        </is>
      </c>
      <c r="G962" s="34">
        <f>VLOOKUP(Table4[[#This Row],[AGEN ID]],Reseller!A:E,5,0)</f>
        <v/>
      </c>
    </row>
    <row r="963">
      <c r="A963" t="inlineStr">
        <is>
          <t>OP09334</t>
        </is>
      </c>
      <c r="B963">
        <f>VLOOKUP(A963,Reseller!G:H,2,0)</f>
        <v/>
      </c>
      <c r="C963" t="inlineStr">
        <is>
          <t>ONLINE</t>
        </is>
      </c>
      <c r="G963" s="34">
        <f>VLOOKUP(Table4[[#This Row],[AGEN ID]],Reseller!A:E,5,0)</f>
        <v/>
      </c>
    </row>
    <row r="964">
      <c r="A964" t="inlineStr">
        <is>
          <t>OP09337</t>
        </is>
      </c>
      <c r="B964">
        <f>VLOOKUP(A964,Reseller!G:H,2,0)</f>
        <v/>
      </c>
      <c r="C964" t="inlineStr">
        <is>
          <t>ONLINE</t>
        </is>
      </c>
      <c r="G964" s="34">
        <f>VLOOKUP(Table4[[#This Row],[AGEN ID]],Reseller!A:E,5,0)</f>
        <v/>
      </c>
    </row>
    <row r="965">
      <c r="A965" t="inlineStr">
        <is>
          <t>OP09339</t>
        </is>
      </c>
      <c r="B965">
        <f>VLOOKUP(A965,Reseller!G:H,2,0)</f>
        <v/>
      </c>
      <c r="C965" t="inlineStr">
        <is>
          <t>ONLINE</t>
        </is>
      </c>
      <c r="G965" s="34">
        <f>VLOOKUP(Table4[[#This Row],[AGEN ID]],Reseller!A:E,5,0)</f>
        <v/>
      </c>
    </row>
    <row r="966">
      <c r="A966" t="inlineStr">
        <is>
          <t>OP09340</t>
        </is>
      </c>
      <c r="B966">
        <f>VLOOKUP(A966,Reseller!G:H,2,0)</f>
        <v/>
      </c>
      <c r="C966" t="inlineStr">
        <is>
          <t>ONLINE</t>
        </is>
      </c>
      <c r="G966" s="34">
        <f>VLOOKUP(Table4[[#This Row],[AGEN ID]],Reseller!A:E,5,0)</f>
        <v/>
      </c>
    </row>
    <row r="967">
      <c r="A967" t="inlineStr">
        <is>
          <t>OP09341</t>
        </is>
      </c>
      <c r="B967">
        <f>VLOOKUP(A967,Reseller!G:H,2,0)</f>
        <v/>
      </c>
      <c r="C967" t="inlineStr">
        <is>
          <t>ONLINE</t>
        </is>
      </c>
      <c r="G967" s="34">
        <f>VLOOKUP(Table4[[#This Row],[AGEN ID]],Reseller!A:E,5,0)</f>
        <v/>
      </c>
    </row>
    <row r="968">
      <c r="A968" t="inlineStr">
        <is>
          <t>OP09344</t>
        </is>
      </c>
      <c r="B968">
        <f>VLOOKUP(A968,Reseller!G:H,2,0)</f>
        <v/>
      </c>
      <c r="C968" t="inlineStr">
        <is>
          <t>ONLINE</t>
        </is>
      </c>
      <c r="G968" s="34">
        <f>VLOOKUP(Table4[[#This Row],[AGEN ID]],Reseller!A:E,5,0)</f>
        <v/>
      </c>
    </row>
    <row r="969">
      <c r="A969" t="inlineStr">
        <is>
          <t>OP09347</t>
        </is>
      </c>
      <c r="B969">
        <f>VLOOKUP(A969,Reseller!G:H,2,0)</f>
        <v/>
      </c>
      <c r="C969" t="inlineStr">
        <is>
          <t>ONLINE</t>
        </is>
      </c>
      <c r="G969" s="34">
        <f>VLOOKUP(Table4[[#This Row],[AGEN ID]],Reseller!A:E,5,0)</f>
        <v/>
      </c>
    </row>
    <row r="970">
      <c r="A970" t="inlineStr">
        <is>
          <t>OP09361</t>
        </is>
      </c>
      <c r="B970">
        <f>VLOOKUP(A970,Reseller!G:H,2,0)</f>
        <v/>
      </c>
      <c r="C970" t="inlineStr">
        <is>
          <t>ONLINE</t>
        </is>
      </c>
      <c r="G970" s="34">
        <f>VLOOKUP(Table4[[#This Row],[AGEN ID]],Reseller!A:E,5,0)</f>
        <v/>
      </c>
    </row>
    <row r="971">
      <c r="A971" t="inlineStr">
        <is>
          <t>OP09366</t>
        </is>
      </c>
      <c r="B971">
        <f>VLOOKUP(A971,Reseller!G:H,2,0)</f>
        <v/>
      </c>
      <c r="C971" t="inlineStr">
        <is>
          <t>ONLINE</t>
        </is>
      </c>
      <c r="G971" s="34">
        <f>VLOOKUP(Table4[[#This Row],[AGEN ID]],Reseller!A:E,5,0)</f>
        <v/>
      </c>
    </row>
    <row r="972">
      <c r="A972" t="inlineStr">
        <is>
          <t>OP09372</t>
        </is>
      </c>
      <c r="B972">
        <f>VLOOKUP(A972,Reseller!G:H,2,0)</f>
        <v/>
      </c>
      <c r="C972" t="inlineStr">
        <is>
          <t>ONLINE</t>
        </is>
      </c>
      <c r="G972" s="34">
        <f>VLOOKUP(Table4[[#This Row],[AGEN ID]],Reseller!A:E,5,0)</f>
        <v/>
      </c>
    </row>
    <row r="973">
      <c r="A973" t="inlineStr">
        <is>
          <t>OP09373</t>
        </is>
      </c>
      <c r="B973">
        <f>VLOOKUP(A973,Reseller!G:H,2,0)</f>
        <v/>
      </c>
      <c r="C973" t="inlineStr">
        <is>
          <t>ONLINE</t>
        </is>
      </c>
      <c r="G973" s="34">
        <f>VLOOKUP(Table4[[#This Row],[AGEN ID]],Reseller!A:E,5,0)</f>
        <v/>
      </c>
    </row>
    <row r="974">
      <c r="A974" t="inlineStr">
        <is>
          <t>OP09376</t>
        </is>
      </c>
      <c r="B974">
        <f>VLOOKUP(A974,Reseller!G:H,2,0)</f>
        <v/>
      </c>
      <c r="C974" t="inlineStr">
        <is>
          <t>ONLINE</t>
        </is>
      </c>
      <c r="G974" s="34">
        <f>VLOOKUP(Table4[[#This Row],[AGEN ID]],Reseller!A:E,5,0)</f>
        <v/>
      </c>
    </row>
    <row r="975">
      <c r="A975" t="inlineStr">
        <is>
          <t>OP09387</t>
        </is>
      </c>
      <c r="B975">
        <f>VLOOKUP(A975,Reseller!G:H,2,0)</f>
        <v/>
      </c>
      <c r="C975" t="inlineStr">
        <is>
          <t>ONLINE</t>
        </is>
      </c>
      <c r="G975" s="34">
        <f>VLOOKUP(Table4[[#This Row],[AGEN ID]],Reseller!A:E,5,0)</f>
        <v/>
      </c>
    </row>
    <row r="976">
      <c r="A976" t="inlineStr">
        <is>
          <t>OP09392</t>
        </is>
      </c>
      <c r="B976">
        <f>VLOOKUP(A976,Reseller!G:H,2,0)</f>
        <v/>
      </c>
      <c r="C976" t="inlineStr">
        <is>
          <t>ONLINE</t>
        </is>
      </c>
      <c r="G976" s="34">
        <f>VLOOKUP(Table4[[#This Row],[AGEN ID]],Reseller!A:E,5,0)</f>
        <v/>
      </c>
    </row>
    <row r="977">
      <c r="A977" t="inlineStr">
        <is>
          <t>OP09413</t>
        </is>
      </c>
      <c r="B977">
        <f>VLOOKUP(A977,Reseller!G:H,2,0)</f>
        <v/>
      </c>
      <c r="C977" t="inlineStr">
        <is>
          <t>ONLINE</t>
        </is>
      </c>
      <c r="G977" s="34">
        <f>VLOOKUP(Table4[[#This Row],[AGEN ID]],Reseller!A:E,5,0)</f>
        <v/>
      </c>
    </row>
    <row r="978">
      <c r="A978" t="inlineStr">
        <is>
          <t>OP09415</t>
        </is>
      </c>
      <c r="B978">
        <f>VLOOKUP(A978,Reseller!G:H,2,0)</f>
        <v/>
      </c>
      <c r="C978" t="inlineStr">
        <is>
          <t>ONLINE</t>
        </is>
      </c>
      <c r="G978" s="34">
        <f>VLOOKUP(Table4[[#This Row],[AGEN ID]],Reseller!A:E,5,0)</f>
        <v/>
      </c>
    </row>
    <row r="979">
      <c r="A979" t="inlineStr">
        <is>
          <t>OP09419</t>
        </is>
      </c>
      <c r="B979">
        <f>VLOOKUP(A979,Reseller!G:H,2,0)</f>
        <v/>
      </c>
      <c r="C979" t="inlineStr">
        <is>
          <t>ONLINE</t>
        </is>
      </c>
      <c r="G979" s="34">
        <f>VLOOKUP(Table4[[#This Row],[AGEN ID]],Reseller!A:E,5,0)</f>
        <v/>
      </c>
    </row>
    <row r="980">
      <c r="A980" t="inlineStr">
        <is>
          <t>OP09425</t>
        </is>
      </c>
      <c r="B980">
        <f>VLOOKUP(A980,Reseller!G:H,2,0)</f>
        <v/>
      </c>
      <c r="C980" t="inlineStr">
        <is>
          <t>ONLINE</t>
        </is>
      </c>
      <c r="G980" s="34">
        <f>VLOOKUP(Table4[[#This Row],[AGEN ID]],Reseller!A:E,5,0)</f>
        <v/>
      </c>
    </row>
    <row r="981">
      <c r="A981" t="inlineStr">
        <is>
          <t>OP09429</t>
        </is>
      </c>
      <c r="B981">
        <f>VLOOKUP(A981,Reseller!G:H,2,0)</f>
        <v/>
      </c>
      <c r="C981" t="inlineStr">
        <is>
          <t>ONLINE</t>
        </is>
      </c>
      <c r="G981" s="34">
        <f>VLOOKUP(Table4[[#This Row],[AGEN ID]],Reseller!A:E,5,0)</f>
        <v/>
      </c>
    </row>
    <row r="982">
      <c r="A982" t="inlineStr">
        <is>
          <t>OP09431</t>
        </is>
      </c>
      <c r="B982">
        <f>VLOOKUP(A982,Reseller!G:H,2,0)</f>
        <v/>
      </c>
      <c r="C982" t="inlineStr">
        <is>
          <t>ONLINE</t>
        </is>
      </c>
      <c r="G982" s="34">
        <f>VLOOKUP(Table4[[#This Row],[AGEN ID]],Reseller!A:E,5,0)</f>
        <v/>
      </c>
    </row>
    <row r="983">
      <c r="A983" t="inlineStr">
        <is>
          <t>OP09442</t>
        </is>
      </c>
      <c r="B983">
        <f>VLOOKUP(A983,Reseller!G:H,2,0)</f>
        <v/>
      </c>
      <c r="C983" t="inlineStr">
        <is>
          <t>ONLINE</t>
        </is>
      </c>
      <c r="G983" s="34">
        <f>VLOOKUP(Table4[[#This Row],[AGEN ID]],Reseller!A:E,5,0)</f>
        <v/>
      </c>
    </row>
    <row r="984">
      <c r="A984" t="inlineStr">
        <is>
          <t>OP09474</t>
        </is>
      </c>
      <c r="B984">
        <f>VLOOKUP(A984,Reseller!G:H,2,0)</f>
        <v/>
      </c>
      <c r="C984" t="inlineStr">
        <is>
          <t>ONLINE</t>
        </is>
      </c>
      <c r="G984" s="34">
        <f>VLOOKUP(Table4[[#This Row],[AGEN ID]],Reseller!A:E,5,0)</f>
        <v/>
      </c>
    </row>
    <row r="985">
      <c r="A985" t="inlineStr">
        <is>
          <t>OP09482</t>
        </is>
      </c>
      <c r="B985">
        <f>VLOOKUP(A985,Reseller!G:H,2,0)</f>
        <v/>
      </c>
      <c r="C985" t="inlineStr">
        <is>
          <t>ONLINE</t>
        </is>
      </c>
      <c r="G985" s="34">
        <f>VLOOKUP(Table4[[#This Row],[AGEN ID]],Reseller!A:E,5,0)</f>
        <v/>
      </c>
    </row>
    <row r="986">
      <c r="A986" t="inlineStr">
        <is>
          <t>OP09501</t>
        </is>
      </c>
      <c r="B986">
        <f>VLOOKUP(A986,Reseller!G:H,2,0)</f>
        <v/>
      </c>
      <c r="C986" t="inlineStr">
        <is>
          <t>ONLINE</t>
        </is>
      </c>
      <c r="G986" s="34">
        <f>VLOOKUP(Table4[[#This Row],[AGEN ID]],Reseller!A:E,5,0)</f>
        <v/>
      </c>
    </row>
    <row r="987">
      <c r="A987" t="inlineStr">
        <is>
          <t>OP09510</t>
        </is>
      </c>
      <c r="B987">
        <f>VLOOKUP(A987,Reseller!G:H,2,0)</f>
        <v/>
      </c>
      <c r="C987" t="inlineStr">
        <is>
          <t>ONLINE</t>
        </is>
      </c>
      <c r="G987" s="34">
        <f>VLOOKUP(Table4[[#This Row],[AGEN ID]],Reseller!A:E,5,0)</f>
        <v/>
      </c>
    </row>
    <row r="988">
      <c r="A988" t="inlineStr">
        <is>
          <t>OP09511</t>
        </is>
      </c>
      <c r="B988">
        <f>VLOOKUP(A988,Reseller!G:H,2,0)</f>
        <v/>
      </c>
      <c r="C988" t="inlineStr">
        <is>
          <t>ONLINE</t>
        </is>
      </c>
      <c r="G988" s="34">
        <f>VLOOKUP(Table4[[#This Row],[AGEN ID]],Reseller!A:E,5,0)</f>
        <v/>
      </c>
    </row>
    <row r="989">
      <c r="A989" t="inlineStr">
        <is>
          <t>OP09518</t>
        </is>
      </c>
      <c r="B989">
        <f>VLOOKUP(A989,Reseller!G:H,2,0)</f>
        <v/>
      </c>
      <c r="C989" t="inlineStr">
        <is>
          <t>ONLINE</t>
        </is>
      </c>
      <c r="G989" s="34">
        <f>VLOOKUP(Table4[[#This Row],[AGEN ID]],Reseller!A:E,5,0)</f>
        <v/>
      </c>
    </row>
    <row r="990">
      <c r="A990" t="inlineStr">
        <is>
          <t>OP09525</t>
        </is>
      </c>
      <c r="B990">
        <f>VLOOKUP(A990,Reseller!G:H,2,0)</f>
        <v/>
      </c>
      <c r="C990" t="inlineStr">
        <is>
          <t>ONLINE</t>
        </is>
      </c>
      <c r="G990" s="34">
        <f>VLOOKUP(Table4[[#This Row],[AGEN ID]],Reseller!A:E,5,0)</f>
        <v/>
      </c>
    </row>
    <row r="991">
      <c r="A991" t="inlineStr">
        <is>
          <t>OP09528</t>
        </is>
      </c>
      <c r="B991">
        <f>VLOOKUP(A991,Reseller!G:H,2,0)</f>
        <v/>
      </c>
      <c r="C991" t="inlineStr">
        <is>
          <t>ONLINE</t>
        </is>
      </c>
      <c r="G991" s="34">
        <f>VLOOKUP(Table4[[#This Row],[AGEN ID]],Reseller!A:E,5,0)</f>
        <v/>
      </c>
    </row>
    <row r="992">
      <c r="A992" t="inlineStr">
        <is>
          <t>OP09537</t>
        </is>
      </c>
      <c r="B992">
        <f>VLOOKUP(A992,Reseller!G:H,2,0)</f>
        <v/>
      </c>
      <c r="C992" t="inlineStr">
        <is>
          <t>ONLINE</t>
        </is>
      </c>
      <c r="G992" s="34">
        <f>VLOOKUP(Table4[[#This Row],[AGEN ID]],Reseller!A:E,5,0)</f>
        <v/>
      </c>
    </row>
    <row r="993">
      <c r="A993" t="inlineStr">
        <is>
          <t>OP09543</t>
        </is>
      </c>
      <c r="B993">
        <f>VLOOKUP(A993,Reseller!G:H,2,0)</f>
        <v/>
      </c>
      <c r="C993" t="inlineStr">
        <is>
          <t>ONLINE</t>
        </is>
      </c>
      <c r="G993" s="34">
        <f>VLOOKUP(Table4[[#This Row],[AGEN ID]],Reseller!A:E,5,0)</f>
        <v/>
      </c>
    </row>
    <row r="994">
      <c r="A994" t="inlineStr">
        <is>
          <t>OP09546</t>
        </is>
      </c>
      <c r="B994">
        <f>VLOOKUP(A994,Reseller!G:H,2,0)</f>
        <v/>
      </c>
      <c r="C994" t="inlineStr">
        <is>
          <t>ONLINE</t>
        </is>
      </c>
      <c r="G994" s="34">
        <f>VLOOKUP(Table4[[#This Row],[AGEN ID]],Reseller!A:E,5,0)</f>
        <v/>
      </c>
    </row>
    <row r="995">
      <c r="A995" t="inlineStr">
        <is>
          <t>OP09547</t>
        </is>
      </c>
      <c r="B995">
        <f>VLOOKUP(A995,Reseller!G:H,2,0)</f>
        <v/>
      </c>
      <c r="C995" t="inlineStr">
        <is>
          <t>ONLINE</t>
        </is>
      </c>
      <c r="G995" s="34">
        <f>VLOOKUP(Table4[[#This Row],[AGEN ID]],Reseller!A:E,5,0)</f>
        <v/>
      </c>
    </row>
    <row r="996">
      <c r="A996" t="inlineStr">
        <is>
          <t>OP09556</t>
        </is>
      </c>
      <c r="B996">
        <f>VLOOKUP(A996,Reseller!G:H,2,0)</f>
        <v/>
      </c>
      <c r="C996" t="inlineStr">
        <is>
          <t>ONLINE</t>
        </is>
      </c>
      <c r="G996" s="34">
        <f>VLOOKUP(Table4[[#This Row],[AGEN ID]],Reseller!A:E,5,0)</f>
        <v/>
      </c>
    </row>
    <row r="997">
      <c r="A997" t="inlineStr">
        <is>
          <t>OP09557</t>
        </is>
      </c>
      <c r="B997">
        <f>VLOOKUP(A997,Reseller!G:H,2,0)</f>
        <v/>
      </c>
      <c r="C997" t="inlineStr">
        <is>
          <t>ONLINE</t>
        </is>
      </c>
      <c r="G997" s="34">
        <f>VLOOKUP(Table4[[#This Row],[AGEN ID]],Reseller!A:E,5,0)</f>
        <v/>
      </c>
    </row>
    <row r="998">
      <c r="A998" t="inlineStr">
        <is>
          <t>OP09577</t>
        </is>
      </c>
      <c r="B998">
        <f>VLOOKUP(A998,Reseller!G:H,2,0)</f>
        <v/>
      </c>
      <c r="C998" t="inlineStr">
        <is>
          <t>ONLINE</t>
        </is>
      </c>
      <c r="G998" s="34">
        <f>VLOOKUP(Table4[[#This Row],[AGEN ID]],Reseller!A:E,5,0)</f>
        <v/>
      </c>
    </row>
    <row r="999">
      <c r="A999" t="inlineStr">
        <is>
          <t>OP09589</t>
        </is>
      </c>
      <c r="B999">
        <f>VLOOKUP(A999,Reseller!G:H,2,0)</f>
        <v/>
      </c>
      <c r="C999" t="inlineStr">
        <is>
          <t>ONLINE</t>
        </is>
      </c>
      <c r="G999" s="34">
        <f>VLOOKUP(Table4[[#This Row],[AGEN ID]],Reseller!A:E,5,0)</f>
        <v/>
      </c>
    </row>
    <row r="1000">
      <c r="A1000" t="inlineStr">
        <is>
          <t>OP09598</t>
        </is>
      </c>
      <c r="B1000">
        <f>VLOOKUP(A1000,Reseller!G:H,2,0)</f>
        <v/>
      </c>
      <c r="C1000" t="inlineStr">
        <is>
          <t>ONLINE</t>
        </is>
      </c>
      <c r="G1000" s="34">
        <f>VLOOKUP(Table4[[#This Row],[AGEN ID]],Reseller!A:E,5,0)</f>
        <v/>
      </c>
    </row>
    <row r="1001">
      <c r="A1001" t="inlineStr">
        <is>
          <t>OP09600</t>
        </is>
      </c>
      <c r="B1001">
        <f>VLOOKUP(A1001,Reseller!G:H,2,0)</f>
        <v/>
      </c>
      <c r="C1001" t="inlineStr">
        <is>
          <t>ONLINE</t>
        </is>
      </c>
      <c r="G1001" s="34">
        <f>VLOOKUP(Table4[[#This Row],[AGEN ID]],Reseller!A:E,5,0)</f>
        <v/>
      </c>
    </row>
    <row r="1002">
      <c r="A1002" t="inlineStr">
        <is>
          <t>OP09610</t>
        </is>
      </c>
      <c r="B1002">
        <f>VLOOKUP(A1002,Reseller!G:H,2,0)</f>
        <v/>
      </c>
      <c r="C1002" t="inlineStr">
        <is>
          <t>ONLINE</t>
        </is>
      </c>
      <c r="G1002" s="34">
        <f>VLOOKUP(Table4[[#This Row],[AGEN ID]],Reseller!A:E,5,0)</f>
        <v/>
      </c>
    </row>
    <row r="1003">
      <c r="A1003" t="inlineStr">
        <is>
          <t>OP09618</t>
        </is>
      </c>
      <c r="B1003">
        <f>VLOOKUP(A1003,Reseller!G:H,2,0)</f>
        <v/>
      </c>
      <c r="C1003" t="inlineStr">
        <is>
          <t>ONLINE</t>
        </is>
      </c>
      <c r="G1003" s="34">
        <f>VLOOKUP(Table4[[#This Row],[AGEN ID]],Reseller!A:E,5,0)</f>
        <v/>
      </c>
    </row>
    <row r="1004">
      <c r="A1004" t="inlineStr">
        <is>
          <t>OP09620</t>
        </is>
      </c>
      <c r="B1004">
        <f>VLOOKUP(A1004,Reseller!G:H,2,0)</f>
        <v/>
      </c>
      <c r="C1004" t="inlineStr">
        <is>
          <t>ONLINE</t>
        </is>
      </c>
      <c r="G1004" s="34">
        <f>VLOOKUP(Table4[[#This Row],[AGEN ID]],Reseller!A:E,5,0)</f>
        <v/>
      </c>
    </row>
    <row r="1005">
      <c r="A1005" t="inlineStr">
        <is>
          <t>OP09623</t>
        </is>
      </c>
      <c r="B1005">
        <f>VLOOKUP(A1005,Reseller!G:H,2,0)</f>
        <v/>
      </c>
      <c r="C1005" t="inlineStr">
        <is>
          <t>ONLINE</t>
        </is>
      </c>
      <c r="G1005" s="34">
        <f>VLOOKUP(Table4[[#This Row],[AGEN ID]],Reseller!A:E,5,0)</f>
        <v/>
      </c>
    </row>
    <row r="1006">
      <c r="A1006" t="inlineStr">
        <is>
          <t>OP09632</t>
        </is>
      </c>
      <c r="B1006">
        <f>VLOOKUP(A1006,Reseller!G:H,2,0)</f>
        <v/>
      </c>
      <c r="C1006" t="inlineStr">
        <is>
          <t>ONLINE</t>
        </is>
      </c>
      <c r="G1006" s="34">
        <f>VLOOKUP(Table4[[#This Row],[AGEN ID]],Reseller!A:E,5,0)</f>
        <v/>
      </c>
    </row>
    <row r="1007">
      <c r="A1007" t="inlineStr">
        <is>
          <t>OP09640</t>
        </is>
      </c>
      <c r="B1007">
        <f>VLOOKUP(A1007,Reseller!G:H,2,0)</f>
        <v/>
      </c>
      <c r="C1007" t="inlineStr">
        <is>
          <t>ONLINE</t>
        </is>
      </c>
      <c r="G1007" s="34">
        <f>VLOOKUP(Table4[[#This Row],[AGEN ID]],Reseller!A:E,5,0)</f>
        <v/>
      </c>
    </row>
    <row r="1008">
      <c r="A1008" t="inlineStr">
        <is>
          <t>OP09641</t>
        </is>
      </c>
      <c r="B1008">
        <f>VLOOKUP(A1008,Reseller!G:H,2,0)</f>
        <v/>
      </c>
      <c r="C1008" t="inlineStr">
        <is>
          <t>ONLINE</t>
        </is>
      </c>
      <c r="G1008" s="34">
        <f>VLOOKUP(Table4[[#This Row],[AGEN ID]],Reseller!A:E,5,0)</f>
        <v/>
      </c>
    </row>
    <row r="1009">
      <c r="A1009" t="inlineStr">
        <is>
          <t>OP09650</t>
        </is>
      </c>
      <c r="B1009">
        <f>VLOOKUP(A1009,Reseller!G:H,2,0)</f>
        <v/>
      </c>
      <c r="C1009" t="inlineStr">
        <is>
          <t>ONLINE</t>
        </is>
      </c>
      <c r="G1009" s="34">
        <f>VLOOKUP(Table4[[#This Row],[AGEN ID]],Reseller!A:E,5,0)</f>
        <v/>
      </c>
    </row>
    <row r="1010">
      <c r="A1010" t="inlineStr">
        <is>
          <t>OP09658</t>
        </is>
      </c>
      <c r="B1010">
        <f>VLOOKUP(A1010,Reseller!G:H,2,0)</f>
        <v/>
      </c>
      <c r="C1010" t="inlineStr">
        <is>
          <t>ONLINE</t>
        </is>
      </c>
      <c r="G1010" s="34">
        <f>VLOOKUP(Table4[[#This Row],[AGEN ID]],Reseller!A:E,5,0)</f>
        <v/>
      </c>
    </row>
    <row r="1011">
      <c r="A1011" t="inlineStr">
        <is>
          <t>OP09673</t>
        </is>
      </c>
      <c r="B1011">
        <f>VLOOKUP(A1011,Reseller!G:H,2,0)</f>
        <v/>
      </c>
      <c r="C1011" t="inlineStr">
        <is>
          <t>ONLINE</t>
        </is>
      </c>
      <c r="G1011" s="34">
        <f>VLOOKUP(Table4[[#This Row],[AGEN ID]],Reseller!A:E,5,0)</f>
        <v/>
      </c>
    </row>
    <row r="1012">
      <c r="A1012" t="inlineStr">
        <is>
          <t>OP09685</t>
        </is>
      </c>
      <c r="B1012">
        <f>VLOOKUP(A1012,Reseller!G:H,2,0)</f>
        <v/>
      </c>
      <c r="C1012" t="inlineStr">
        <is>
          <t>ONLINE</t>
        </is>
      </c>
      <c r="G1012" s="34">
        <f>VLOOKUP(Table4[[#This Row],[AGEN ID]],Reseller!A:E,5,0)</f>
        <v/>
      </c>
    </row>
    <row r="1013">
      <c r="A1013" t="inlineStr">
        <is>
          <t>OP09703</t>
        </is>
      </c>
      <c r="B1013">
        <f>VLOOKUP(A1013,Reseller!G:H,2,0)</f>
        <v/>
      </c>
      <c r="C1013" t="inlineStr">
        <is>
          <t>ONLINE</t>
        </is>
      </c>
      <c r="G1013" s="34">
        <f>VLOOKUP(Table4[[#This Row],[AGEN ID]],Reseller!A:E,5,0)</f>
        <v/>
      </c>
    </row>
    <row r="1014">
      <c r="A1014" t="inlineStr">
        <is>
          <t>OP09710</t>
        </is>
      </c>
      <c r="B1014">
        <f>VLOOKUP(A1014,Reseller!G:H,2,0)</f>
        <v/>
      </c>
      <c r="C1014" t="inlineStr">
        <is>
          <t>ONLINE</t>
        </is>
      </c>
      <c r="G1014" s="34">
        <f>VLOOKUP(Table4[[#This Row],[AGEN ID]],Reseller!A:E,5,0)</f>
        <v/>
      </c>
    </row>
    <row r="1015">
      <c r="A1015" t="inlineStr">
        <is>
          <t>OP09714</t>
        </is>
      </c>
      <c r="B1015">
        <f>VLOOKUP(A1015,Reseller!G:H,2,0)</f>
        <v/>
      </c>
      <c r="C1015" t="inlineStr">
        <is>
          <t>ONLINE</t>
        </is>
      </c>
      <c r="G1015" s="34">
        <f>VLOOKUP(Table4[[#This Row],[AGEN ID]],Reseller!A:E,5,0)</f>
        <v/>
      </c>
    </row>
    <row r="1016">
      <c r="A1016" t="inlineStr">
        <is>
          <t>OP09715</t>
        </is>
      </c>
      <c r="B1016">
        <f>VLOOKUP(A1016,Reseller!G:H,2,0)</f>
        <v/>
      </c>
      <c r="C1016" t="inlineStr">
        <is>
          <t>ONLINE</t>
        </is>
      </c>
      <c r="G1016" s="34">
        <f>VLOOKUP(Table4[[#This Row],[AGEN ID]],Reseller!A:E,5,0)</f>
        <v/>
      </c>
    </row>
    <row r="1017">
      <c r="A1017" t="inlineStr">
        <is>
          <t>OP09722</t>
        </is>
      </c>
      <c r="B1017">
        <f>VLOOKUP(A1017,Reseller!G:H,2,0)</f>
        <v/>
      </c>
      <c r="C1017" t="inlineStr">
        <is>
          <t>ONLINE</t>
        </is>
      </c>
      <c r="G1017" s="34">
        <f>VLOOKUP(Table4[[#This Row],[AGEN ID]],Reseller!A:E,5,0)</f>
        <v/>
      </c>
    </row>
    <row r="1018">
      <c r="A1018" t="inlineStr">
        <is>
          <t>OP09728</t>
        </is>
      </c>
      <c r="B1018">
        <f>VLOOKUP(A1018,Reseller!G:H,2,0)</f>
        <v/>
      </c>
      <c r="C1018" t="inlineStr">
        <is>
          <t>ONLINE</t>
        </is>
      </c>
      <c r="G1018" s="34">
        <f>VLOOKUP(Table4[[#This Row],[AGEN ID]],Reseller!A:E,5,0)</f>
        <v/>
      </c>
    </row>
    <row r="1019">
      <c r="A1019" t="inlineStr">
        <is>
          <t>OP09737</t>
        </is>
      </c>
      <c r="B1019">
        <f>VLOOKUP(A1019,Reseller!G:H,2,0)</f>
        <v/>
      </c>
      <c r="C1019" t="inlineStr">
        <is>
          <t>ONLINE</t>
        </is>
      </c>
      <c r="G1019" s="34">
        <f>VLOOKUP(Table4[[#This Row],[AGEN ID]],Reseller!A:E,5,0)</f>
        <v/>
      </c>
    </row>
    <row r="1020">
      <c r="A1020" t="inlineStr">
        <is>
          <t>OP09738</t>
        </is>
      </c>
      <c r="B1020">
        <f>VLOOKUP(A1020,Reseller!G:H,2,0)</f>
        <v/>
      </c>
      <c r="C1020" t="inlineStr">
        <is>
          <t>ONLINE</t>
        </is>
      </c>
      <c r="G1020" s="34">
        <f>VLOOKUP(Table4[[#This Row],[AGEN ID]],Reseller!A:E,5,0)</f>
        <v/>
      </c>
    </row>
    <row r="1021">
      <c r="A1021" t="inlineStr">
        <is>
          <t>OP09748</t>
        </is>
      </c>
      <c r="B1021">
        <f>VLOOKUP(A1021,Reseller!G:H,2,0)</f>
        <v/>
      </c>
      <c r="C1021" t="inlineStr">
        <is>
          <t>ONLINE</t>
        </is>
      </c>
      <c r="G1021" s="34">
        <f>VLOOKUP(Table4[[#This Row],[AGEN ID]],Reseller!A:E,5,0)</f>
        <v/>
      </c>
    </row>
    <row r="1022">
      <c r="A1022" t="inlineStr">
        <is>
          <t>OP09755</t>
        </is>
      </c>
      <c r="B1022">
        <f>VLOOKUP(A1022,Reseller!G:H,2,0)</f>
        <v/>
      </c>
      <c r="C1022" t="inlineStr">
        <is>
          <t>ONLINE</t>
        </is>
      </c>
      <c r="G1022" s="34">
        <f>VLOOKUP(Table4[[#This Row],[AGEN ID]],Reseller!A:E,5,0)</f>
        <v/>
      </c>
    </row>
    <row r="1023">
      <c r="A1023" t="inlineStr">
        <is>
          <t>OP09758</t>
        </is>
      </c>
      <c r="B1023">
        <f>VLOOKUP(A1023,Reseller!G:H,2,0)</f>
        <v/>
      </c>
      <c r="C1023" t="inlineStr">
        <is>
          <t>ONLINE</t>
        </is>
      </c>
      <c r="G1023" s="34">
        <f>VLOOKUP(Table4[[#This Row],[AGEN ID]],Reseller!A:E,5,0)</f>
        <v/>
      </c>
    </row>
    <row r="1024">
      <c r="A1024" t="inlineStr">
        <is>
          <t>OP09759</t>
        </is>
      </c>
      <c r="B1024">
        <f>VLOOKUP(A1024,Reseller!G:H,2,0)</f>
        <v/>
      </c>
      <c r="C1024" t="inlineStr">
        <is>
          <t>ONLINE</t>
        </is>
      </c>
      <c r="G1024" s="34">
        <f>VLOOKUP(Table4[[#This Row],[AGEN ID]],Reseller!A:E,5,0)</f>
        <v/>
      </c>
    </row>
    <row r="1025">
      <c r="A1025" t="inlineStr">
        <is>
          <t>OP09770</t>
        </is>
      </c>
      <c r="B1025">
        <f>VLOOKUP(A1025,Reseller!G:H,2,0)</f>
        <v/>
      </c>
      <c r="C1025" t="inlineStr">
        <is>
          <t>ONLINE</t>
        </is>
      </c>
      <c r="G1025" s="34">
        <f>VLOOKUP(Table4[[#This Row],[AGEN ID]],Reseller!A:E,5,0)</f>
        <v/>
      </c>
    </row>
    <row r="1026">
      <c r="A1026" t="inlineStr">
        <is>
          <t>OP09775</t>
        </is>
      </c>
      <c r="B1026">
        <f>VLOOKUP(A1026,Reseller!G:H,2,0)</f>
        <v/>
      </c>
      <c r="C1026" t="inlineStr">
        <is>
          <t>ONLINE</t>
        </is>
      </c>
      <c r="G1026" s="34">
        <f>VLOOKUP(Table4[[#This Row],[AGEN ID]],Reseller!A:E,5,0)</f>
        <v/>
      </c>
    </row>
    <row r="1027">
      <c r="A1027" t="inlineStr">
        <is>
          <t>OP09801</t>
        </is>
      </c>
      <c r="B1027">
        <f>VLOOKUP(A1027,Reseller!G:H,2,0)</f>
        <v/>
      </c>
      <c r="C1027" t="inlineStr">
        <is>
          <t>ONLINE</t>
        </is>
      </c>
      <c r="G1027" s="34">
        <f>VLOOKUP(Table4[[#This Row],[AGEN ID]],Reseller!A:E,5,0)</f>
        <v/>
      </c>
    </row>
    <row r="1028">
      <c r="A1028" t="inlineStr">
        <is>
          <t>OP09804</t>
        </is>
      </c>
      <c r="B1028">
        <f>VLOOKUP(A1028,Reseller!G:H,2,0)</f>
        <v/>
      </c>
      <c r="C1028" t="inlineStr">
        <is>
          <t>ONLINE</t>
        </is>
      </c>
      <c r="G1028" s="34">
        <f>VLOOKUP(Table4[[#This Row],[AGEN ID]],Reseller!A:E,5,0)</f>
        <v/>
      </c>
    </row>
    <row r="1029">
      <c r="A1029" t="inlineStr">
        <is>
          <t>OP09824</t>
        </is>
      </c>
      <c r="B1029">
        <f>VLOOKUP(A1029,Reseller!G:H,2,0)</f>
        <v/>
      </c>
      <c r="C1029" t="inlineStr">
        <is>
          <t>ONLINE</t>
        </is>
      </c>
      <c r="G1029" s="34">
        <f>VLOOKUP(Table4[[#This Row],[AGEN ID]],Reseller!A:E,5,0)</f>
        <v/>
      </c>
    </row>
    <row r="1030">
      <c r="A1030" t="inlineStr">
        <is>
          <t>OP09826</t>
        </is>
      </c>
      <c r="B1030">
        <f>VLOOKUP(A1030,Reseller!G:H,2,0)</f>
        <v/>
      </c>
      <c r="C1030" t="inlineStr">
        <is>
          <t>ONLINE</t>
        </is>
      </c>
      <c r="G1030" s="34">
        <f>VLOOKUP(Table4[[#This Row],[AGEN ID]],Reseller!A:E,5,0)</f>
        <v/>
      </c>
    </row>
    <row r="1031">
      <c r="A1031" t="inlineStr">
        <is>
          <t>OP09845</t>
        </is>
      </c>
      <c r="B1031">
        <f>VLOOKUP(A1031,Reseller!G:H,2,0)</f>
        <v/>
      </c>
      <c r="C1031" t="inlineStr">
        <is>
          <t>ONLINE</t>
        </is>
      </c>
      <c r="G1031" s="34">
        <f>VLOOKUP(Table4[[#This Row],[AGEN ID]],Reseller!A:E,5,0)</f>
        <v/>
      </c>
    </row>
    <row r="1032">
      <c r="A1032" t="inlineStr">
        <is>
          <t>OP09849</t>
        </is>
      </c>
      <c r="B1032">
        <f>VLOOKUP(A1032,Reseller!G:H,2,0)</f>
        <v/>
      </c>
      <c r="C1032" t="inlineStr">
        <is>
          <t>ONLINE</t>
        </is>
      </c>
      <c r="G1032" s="34">
        <f>VLOOKUP(Table4[[#This Row],[AGEN ID]],Reseller!A:E,5,0)</f>
        <v/>
      </c>
    </row>
    <row r="1033">
      <c r="A1033" t="inlineStr">
        <is>
          <t>OP09855</t>
        </is>
      </c>
      <c r="B1033">
        <f>VLOOKUP(A1033,Reseller!G:H,2,0)</f>
        <v/>
      </c>
      <c r="C1033" t="inlineStr">
        <is>
          <t>ONLINE</t>
        </is>
      </c>
      <c r="G1033" s="34">
        <f>VLOOKUP(Table4[[#This Row],[AGEN ID]],Reseller!A:E,5,0)</f>
        <v/>
      </c>
    </row>
    <row r="1034">
      <c r="A1034" t="inlineStr">
        <is>
          <t>OP09861</t>
        </is>
      </c>
      <c r="B1034">
        <f>VLOOKUP(A1034,Reseller!G:H,2,0)</f>
        <v/>
      </c>
      <c r="C1034" t="inlineStr">
        <is>
          <t>ONLINE</t>
        </is>
      </c>
      <c r="G1034" s="34">
        <f>VLOOKUP(Table4[[#This Row],[AGEN ID]],Reseller!A:E,5,0)</f>
        <v/>
      </c>
    </row>
    <row r="1035">
      <c r="A1035" t="inlineStr">
        <is>
          <t>OP09864</t>
        </is>
      </c>
      <c r="B1035">
        <f>VLOOKUP(A1035,Reseller!G:H,2,0)</f>
        <v/>
      </c>
      <c r="C1035" t="inlineStr">
        <is>
          <t>ONLINE</t>
        </is>
      </c>
      <c r="G1035" s="34">
        <f>VLOOKUP(Table4[[#This Row],[AGEN ID]],Reseller!A:E,5,0)</f>
        <v/>
      </c>
    </row>
    <row r="1036">
      <c r="A1036" t="inlineStr">
        <is>
          <t>OP09875</t>
        </is>
      </c>
      <c r="B1036">
        <f>VLOOKUP(A1036,Reseller!G:H,2,0)</f>
        <v/>
      </c>
      <c r="C1036" t="inlineStr">
        <is>
          <t>ONLINE</t>
        </is>
      </c>
      <c r="G1036" s="34">
        <f>VLOOKUP(Table4[[#This Row],[AGEN ID]],Reseller!A:E,5,0)</f>
        <v/>
      </c>
    </row>
    <row r="1037">
      <c r="A1037" t="inlineStr">
        <is>
          <t>OP09880</t>
        </is>
      </c>
      <c r="B1037">
        <f>VLOOKUP(A1037,Reseller!G:H,2,0)</f>
        <v/>
      </c>
      <c r="C1037" t="inlineStr">
        <is>
          <t>ONLINE</t>
        </is>
      </c>
      <c r="G1037" s="34">
        <f>VLOOKUP(Table4[[#This Row],[AGEN ID]],Reseller!A:E,5,0)</f>
        <v/>
      </c>
    </row>
    <row r="1038">
      <c r="A1038" t="inlineStr">
        <is>
          <t>OP09888</t>
        </is>
      </c>
      <c r="B1038">
        <f>VLOOKUP(A1038,Reseller!G:H,2,0)</f>
        <v/>
      </c>
      <c r="C1038" t="inlineStr">
        <is>
          <t>ONLINE</t>
        </is>
      </c>
      <c r="G1038" s="34">
        <f>VLOOKUP(Table4[[#This Row],[AGEN ID]],Reseller!A:E,5,0)</f>
        <v/>
      </c>
    </row>
    <row r="1039">
      <c r="A1039" t="inlineStr">
        <is>
          <t>OP09899</t>
        </is>
      </c>
      <c r="B1039">
        <f>VLOOKUP(A1039,Reseller!G:H,2,0)</f>
        <v/>
      </c>
      <c r="C1039" t="inlineStr">
        <is>
          <t>ONLINE</t>
        </is>
      </c>
      <c r="G1039" s="34">
        <f>VLOOKUP(Table4[[#This Row],[AGEN ID]],Reseller!A:E,5,0)</f>
        <v/>
      </c>
    </row>
    <row r="1040">
      <c r="A1040" t="inlineStr">
        <is>
          <t>OP09900</t>
        </is>
      </c>
      <c r="B1040">
        <f>VLOOKUP(A1040,Reseller!G:H,2,0)</f>
        <v/>
      </c>
      <c r="C1040" t="inlineStr">
        <is>
          <t>ONLINE</t>
        </is>
      </c>
      <c r="G1040" s="34">
        <f>VLOOKUP(Table4[[#This Row],[AGEN ID]],Reseller!A:E,5,0)</f>
        <v/>
      </c>
    </row>
    <row r="1041">
      <c r="A1041" t="inlineStr">
        <is>
          <t>OP09903</t>
        </is>
      </c>
      <c r="B1041">
        <f>VLOOKUP(A1041,Reseller!G:H,2,0)</f>
        <v/>
      </c>
      <c r="C1041" t="inlineStr">
        <is>
          <t>ONLINE</t>
        </is>
      </c>
      <c r="G1041" s="34">
        <f>VLOOKUP(Table4[[#This Row],[AGEN ID]],Reseller!A:E,5,0)</f>
        <v/>
      </c>
    </row>
    <row r="1042">
      <c r="A1042" t="inlineStr">
        <is>
          <t>OP09912</t>
        </is>
      </c>
      <c r="B1042">
        <f>VLOOKUP(A1042,Reseller!G:H,2,0)</f>
        <v/>
      </c>
      <c r="C1042" t="inlineStr">
        <is>
          <t>ONLINE</t>
        </is>
      </c>
      <c r="G1042" s="34">
        <f>VLOOKUP(Table4[[#This Row],[AGEN ID]],Reseller!A:E,5,0)</f>
        <v/>
      </c>
    </row>
    <row r="1043">
      <c r="A1043" t="inlineStr">
        <is>
          <t>OP09925</t>
        </is>
      </c>
      <c r="B1043">
        <f>VLOOKUP(A1043,Reseller!G:H,2,0)</f>
        <v/>
      </c>
      <c r="C1043" t="inlineStr">
        <is>
          <t>ONLINE</t>
        </is>
      </c>
      <c r="G1043" s="34">
        <f>VLOOKUP(Table4[[#This Row],[AGEN ID]],Reseller!A:E,5,0)</f>
        <v/>
      </c>
    </row>
    <row r="1044">
      <c r="A1044" t="inlineStr">
        <is>
          <t>OP09958</t>
        </is>
      </c>
      <c r="B1044">
        <f>VLOOKUP(A1044,Reseller!G:H,2,0)</f>
        <v/>
      </c>
      <c r="C1044" t="inlineStr">
        <is>
          <t>ONLINE</t>
        </is>
      </c>
      <c r="G1044" s="34">
        <f>VLOOKUP(Table4[[#This Row],[AGEN ID]],Reseller!A:E,5,0)</f>
        <v/>
      </c>
    </row>
    <row r="1045">
      <c r="A1045" t="inlineStr">
        <is>
          <t>OP09966</t>
        </is>
      </c>
      <c r="B1045">
        <f>VLOOKUP(A1045,Reseller!G:H,2,0)</f>
        <v/>
      </c>
      <c r="C1045" t="inlineStr">
        <is>
          <t>ONLINE</t>
        </is>
      </c>
      <c r="G1045" s="34">
        <f>VLOOKUP(Table4[[#This Row],[AGEN ID]],Reseller!A:E,5,0)</f>
        <v/>
      </c>
    </row>
    <row r="1046">
      <c r="A1046" t="inlineStr">
        <is>
          <t>OP09976</t>
        </is>
      </c>
      <c r="B1046">
        <f>VLOOKUP(A1046,Reseller!G:H,2,0)</f>
        <v/>
      </c>
      <c r="C1046" t="inlineStr">
        <is>
          <t>ONLINE</t>
        </is>
      </c>
      <c r="G1046" s="34">
        <f>VLOOKUP(Table4[[#This Row],[AGEN ID]],Reseller!A:E,5,0)</f>
        <v/>
      </c>
    </row>
    <row r="1047">
      <c r="A1047" t="inlineStr">
        <is>
          <t>OP09996</t>
        </is>
      </c>
      <c r="B1047">
        <f>VLOOKUP(A1047,Reseller!G:H,2,0)</f>
        <v/>
      </c>
      <c r="C1047" t="inlineStr">
        <is>
          <t>ONLINE</t>
        </is>
      </c>
      <c r="G1047" s="34">
        <f>VLOOKUP(Table4[[#This Row],[AGEN ID]],Reseller!A:E,5,0)</f>
        <v/>
      </c>
    </row>
    <row r="1048">
      <c r="A1048" t="inlineStr">
        <is>
          <t>OP10032</t>
        </is>
      </c>
      <c r="B1048">
        <f>VLOOKUP(A1048,Reseller!G:H,2,0)</f>
        <v/>
      </c>
      <c r="C1048" t="inlineStr">
        <is>
          <t>ONLINE</t>
        </is>
      </c>
      <c r="G1048" s="34">
        <f>VLOOKUP(Table4[[#This Row],[AGEN ID]],Reseller!A:E,5,0)</f>
        <v/>
      </c>
    </row>
    <row r="1049">
      <c r="A1049" t="inlineStr">
        <is>
          <t>OP10038</t>
        </is>
      </c>
      <c r="B1049">
        <f>VLOOKUP(A1049,Reseller!G:H,2,0)</f>
        <v/>
      </c>
      <c r="C1049" t="inlineStr">
        <is>
          <t>ONLINE</t>
        </is>
      </c>
      <c r="G1049" s="34">
        <f>VLOOKUP(Table4[[#This Row],[AGEN ID]],Reseller!A:E,5,0)</f>
        <v/>
      </c>
    </row>
    <row r="1050">
      <c r="A1050" t="inlineStr">
        <is>
          <t>OP10050</t>
        </is>
      </c>
      <c r="B1050">
        <f>VLOOKUP(A1050,Reseller!G:H,2,0)</f>
        <v/>
      </c>
      <c r="C1050" t="inlineStr">
        <is>
          <t>ONLINE</t>
        </is>
      </c>
      <c r="G1050" s="34">
        <f>VLOOKUP(Table4[[#This Row],[AGEN ID]],Reseller!A:E,5,0)</f>
        <v/>
      </c>
    </row>
    <row r="1051">
      <c r="A1051" t="inlineStr">
        <is>
          <t>OP10060</t>
        </is>
      </c>
      <c r="B1051">
        <f>VLOOKUP(A1051,Reseller!G:H,2,0)</f>
        <v/>
      </c>
      <c r="C1051" t="inlineStr">
        <is>
          <t>ONLINE</t>
        </is>
      </c>
      <c r="G1051" s="34">
        <f>VLOOKUP(Table4[[#This Row],[AGEN ID]],Reseller!A:E,5,0)</f>
        <v/>
      </c>
    </row>
    <row r="1052">
      <c r="A1052" t="inlineStr">
        <is>
          <t>OP10065</t>
        </is>
      </c>
      <c r="B1052">
        <f>VLOOKUP(A1052,Reseller!G:H,2,0)</f>
        <v/>
      </c>
      <c r="C1052" t="inlineStr">
        <is>
          <t>ONLINE</t>
        </is>
      </c>
      <c r="G1052" s="34">
        <f>VLOOKUP(Table4[[#This Row],[AGEN ID]],Reseller!A:E,5,0)</f>
        <v/>
      </c>
    </row>
    <row r="1053">
      <c r="A1053" t="inlineStr">
        <is>
          <t>OP10074</t>
        </is>
      </c>
      <c r="B1053">
        <f>VLOOKUP(A1053,Reseller!G:H,2,0)</f>
        <v/>
      </c>
      <c r="C1053" t="inlineStr">
        <is>
          <t>ONLINE</t>
        </is>
      </c>
      <c r="G1053" s="34">
        <f>VLOOKUP(Table4[[#This Row],[AGEN ID]],Reseller!A:E,5,0)</f>
        <v/>
      </c>
    </row>
    <row r="1054">
      <c r="A1054" t="inlineStr">
        <is>
          <t>OP10085</t>
        </is>
      </c>
      <c r="B1054">
        <f>VLOOKUP(A1054,Reseller!G:H,2,0)</f>
        <v/>
      </c>
      <c r="C1054" t="inlineStr">
        <is>
          <t>ONLINE</t>
        </is>
      </c>
      <c r="G1054" s="34">
        <f>VLOOKUP(Table4[[#This Row],[AGEN ID]],Reseller!A:E,5,0)</f>
        <v/>
      </c>
    </row>
    <row r="1055">
      <c r="A1055" t="inlineStr">
        <is>
          <t>OP10086</t>
        </is>
      </c>
      <c r="B1055">
        <f>VLOOKUP(A1055,Reseller!G:H,2,0)</f>
        <v/>
      </c>
      <c r="C1055" t="inlineStr">
        <is>
          <t>ONLINE</t>
        </is>
      </c>
      <c r="G1055" s="34">
        <f>VLOOKUP(Table4[[#This Row],[AGEN ID]],Reseller!A:E,5,0)</f>
        <v/>
      </c>
    </row>
    <row r="1056">
      <c r="A1056" t="inlineStr">
        <is>
          <t>OP10099</t>
        </is>
      </c>
      <c r="B1056">
        <f>VLOOKUP(A1056,Reseller!G:H,2,0)</f>
        <v/>
      </c>
      <c r="C1056" t="inlineStr">
        <is>
          <t>ONLINE</t>
        </is>
      </c>
      <c r="G1056" s="34">
        <f>VLOOKUP(Table4[[#This Row],[AGEN ID]],Reseller!A:E,5,0)</f>
        <v/>
      </c>
    </row>
    <row r="1057">
      <c r="A1057" t="inlineStr">
        <is>
          <t>OP10102</t>
        </is>
      </c>
      <c r="B1057">
        <f>VLOOKUP(A1057,Reseller!G:H,2,0)</f>
        <v/>
      </c>
      <c r="C1057" t="inlineStr">
        <is>
          <t>ONLINE</t>
        </is>
      </c>
      <c r="G1057" s="34">
        <f>VLOOKUP(Table4[[#This Row],[AGEN ID]],Reseller!A:E,5,0)</f>
        <v/>
      </c>
    </row>
    <row r="1058">
      <c r="A1058" t="inlineStr">
        <is>
          <t>OP10109</t>
        </is>
      </c>
      <c r="B1058">
        <f>VLOOKUP(A1058,Reseller!G:H,2,0)</f>
        <v/>
      </c>
      <c r="C1058" t="inlineStr">
        <is>
          <t>ONLINE</t>
        </is>
      </c>
      <c r="G1058" s="34">
        <f>VLOOKUP(Table4[[#This Row],[AGEN ID]],Reseller!A:E,5,0)</f>
        <v/>
      </c>
    </row>
    <row r="1059">
      <c r="A1059" t="inlineStr">
        <is>
          <t>OP10112</t>
        </is>
      </c>
      <c r="B1059">
        <f>VLOOKUP(A1059,Reseller!G:H,2,0)</f>
        <v/>
      </c>
      <c r="C1059" t="inlineStr">
        <is>
          <t>ONLINE</t>
        </is>
      </c>
      <c r="G1059" s="34">
        <f>VLOOKUP(Table4[[#This Row],[AGEN ID]],Reseller!A:E,5,0)</f>
        <v/>
      </c>
    </row>
    <row r="1060">
      <c r="A1060" t="inlineStr">
        <is>
          <t>OP10114</t>
        </is>
      </c>
      <c r="B1060">
        <f>VLOOKUP(A1060,Reseller!G:H,2,0)</f>
        <v/>
      </c>
      <c r="C1060" t="inlineStr">
        <is>
          <t>ONLINE</t>
        </is>
      </c>
      <c r="G1060" s="34">
        <f>VLOOKUP(Table4[[#This Row],[AGEN ID]],Reseller!A:E,5,0)</f>
        <v/>
      </c>
    </row>
    <row r="1061">
      <c r="A1061" t="inlineStr">
        <is>
          <t>OP10126</t>
        </is>
      </c>
      <c r="B1061">
        <f>VLOOKUP(A1061,Reseller!G:H,2,0)</f>
        <v/>
      </c>
      <c r="C1061" t="inlineStr">
        <is>
          <t>ONLINE</t>
        </is>
      </c>
      <c r="G1061" s="34">
        <f>VLOOKUP(Table4[[#This Row],[AGEN ID]],Reseller!A:E,5,0)</f>
        <v/>
      </c>
    </row>
    <row r="1062">
      <c r="A1062" t="inlineStr">
        <is>
          <t>OP10130</t>
        </is>
      </c>
      <c r="B1062">
        <f>VLOOKUP(A1062,Reseller!G:H,2,0)</f>
        <v/>
      </c>
      <c r="C1062" t="inlineStr">
        <is>
          <t>ONLINE</t>
        </is>
      </c>
      <c r="G1062" s="34">
        <f>VLOOKUP(Table4[[#This Row],[AGEN ID]],Reseller!A:E,5,0)</f>
        <v/>
      </c>
    </row>
    <row r="1063">
      <c r="A1063" t="inlineStr">
        <is>
          <t>OP10131</t>
        </is>
      </c>
      <c r="B1063">
        <f>VLOOKUP(A1063,Reseller!G:H,2,0)</f>
        <v/>
      </c>
      <c r="C1063" t="inlineStr">
        <is>
          <t>ONLINE</t>
        </is>
      </c>
      <c r="G1063" s="34">
        <f>VLOOKUP(Table4[[#This Row],[AGEN ID]],Reseller!A:E,5,0)</f>
        <v/>
      </c>
    </row>
    <row r="1064">
      <c r="A1064" t="inlineStr">
        <is>
          <t>OP10136</t>
        </is>
      </c>
      <c r="B1064">
        <f>VLOOKUP(A1064,Reseller!G:H,2,0)</f>
        <v/>
      </c>
      <c r="C1064" t="inlineStr">
        <is>
          <t>ONLINE</t>
        </is>
      </c>
      <c r="G1064" s="34">
        <f>VLOOKUP(Table4[[#This Row],[AGEN ID]],Reseller!A:E,5,0)</f>
        <v/>
      </c>
    </row>
    <row r="1065">
      <c r="A1065" t="inlineStr">
        <is>
          <t>OP10140</t>
        </is>
      </c>
      <c r="B1065">
        <f>VLOOKUP(A1065,Reseller!G:H,2,0)</f>
        <v/>
      </c>
      <c r="C1065" t="inlineStr">
        <is>
          <t>ONLINE</t>
        </is>
      </c>
      <c r="G1065" s="34">
        <f>VLOOKUP(Table4[[#This Row],[AGEN ID]],Reseller!A:E,5,0)</f>
        <v/>
      </c>
    </row>
    <row r="1066">
      <c r="A1066" t="inlineStr">
        <is>
          <t>OP10142</t>
        </is>
      </c>
      <c r="B1066">
        <f>VLOOKUP(A1066,Reseller!G:H,2,0)</f>
        <v/>
      </c>
      <c r="C1066" t="inlineStr">
        <is>
          <t>ONLINE</t>
        </is>
      </c>
      <c r="G1066" s="34">
        <f>VLOOKUP(Table4[[#This Row],[AGEN ID]],Reseller!A:E,5,0)</f>
        <v/>
      </c>
    </row>
    <row r="1067">
      <c r="A1067" t="inlineStr">
        <is>
          <t>OP10152</t>
        </is>
      </c>
      <c r="B1067">
        <f>VLOOKUP(A1067,Reseller!G:H,2,0)</f>
        <v/>
      </c>
      <c r="C1067" t="inlineStr">
        <is>
          <t>ONLINE</t>
        </is>
      </c>
      <c r="G1067" s="34">
        <f>VLOOKUP(Table4[[#This Row],[AGEN ID]],Reseller!A:E,5,0)</f>
        <v/>
      </c>
    </row>
    <row r="1068">
      <c r="A1068" t="inlineStr">
        <is>
          <t>OP10161</t>
        </is>
      </c>
      <c r="B1068">
        <f>VLOOKUP(A1068,Reseller!G:H,2,0)</f>
        <v/>
      </c>
      <c r="C1068" t="inlineStr">
        <is>
          <t>ONLINE</t>
        </is>
      </c>
      <c r="G1068" s="34">
        <f>VLOOKUP(Table4[[#This Row],[AGEN ID]],Reseller!A:E,5,0)</f>
        <v/>
      </c>
    </row>
    <row r="1069">
      <c r="A1069" t="inlineStr">
        <is>
          <t>OP10173</t>
        </is>
      </c>
      <c r="B1069">
        <f>VLOOKUP(A1069,Reseller!G:H,2,0)</f>
        <v/>
      </c>
      <c r="C1069" t="inlineStr">
        <is>
          <t>ONLINE</t>
        </is>
      </c>
      <c r="G1069" s="34">
        <f>VLOOKUP(Table4[[#This Row],[AGEN ID]],Reseller!A:E,5,0)</f>
        <v/>
      </c>
    </row>
    <row r="1070">
      <c r="A1070" t="inlineStr">
        <is>
          <t>OP10180</t>
        </is>
      </c>
      <c r="B1070">
        <f>VLOOKUP(A1070,Reseller!G:H,2,0)</f>
        <v/>
      </c>
      <c r="C1070" t="inlineStr">
        <is>
          <t>ONLINE</t>
        </is>
      </c>
      <c r="G1070" s="34">
        <f>VLOOKUP(Table4[[#This Row],[AGEN ID]],Reseller!A:E,5,0)</f>
        <v/>
      </c>
    </row>
    <row r="1071">
      <c r="A1071" t="inlineStr">
        <is>
          <t>OP10181</t>
        </is>
      </c>
      <c r="B1071">
        <f>VLOOKUP(A1071,Reseller!G:H,2,0)</f>
        <v/>
      </c>
      <c r="C1071" t="inlineStr">
        <is>
          <t>ONLINE</t>
        </is>
      </c>
      <c r="G1071" s="34">
        <f>VLOOKUP(Table4[[#This Row],[AGEN ID]],Reseller!A:E,5,0)</f>
        <v/>
      </c>
    </row>
    <row r="1072">
      <c r="A1072" t="inlineStr">
        <is>
          <t>OP10183</t>
        </is>
      </c>
      <c r="B1072">
        <f>VLOOKUP(A1072,Reseller!G:H,2,0)</f>
        <v/>
      </c>
      <c r="C1072" t="inlineStr">
        <is>
          <t>ONLINE</t>
        </is>
      </c>
      <c r="G1072" s="34">
        <f>VLOOKUP(Table4[[#This Row],[AGEN ID]],Reseller!A:E,5,0)</f>
        <v/>
      </c>
    </row>
    <row r="1073">
      <c r="A1073" t="inlineStr">
        <is>
          <t>OP10194</t>
        </is>
      </c>
      <c r="B1073">
        <f>VLOOKUP(A1073,Reseller!G:H,2,0)</f>
        <v/>
      </c>
      <c r="C1073" t="inlineStr">
        <is>
          <t>ONLINE</t>
        </is>
      </c>
      <c r="G1073" s="34">
        <f>VLOOKUP(Table4[[#This Row],[AGEN ID]],Reseller!A:E,5,0)</f>
        <v/>
      </c>
    </row>
    <row r="1074">
      <c r="A1074" t="inlineStr">
        <is>
          <t>OP10204</t>
        </is>
      </c>
      <c r="B1074">
        <f>VLOOKUP(A1074,Reseller!G:H,2,0)</f>
        <v/>
      </c>
      <c r="C1074" t="inlineStr">
        <is>
          <t>ONLINE</t>
        </is>
      </c>
      <c r="G1074" s="34">
        <f>VLOOKUP(Table4[[#This Row],[AGEN ID]],Reseller!A:E,5,0)</f>
        <v/>
      </c>
    </row>
    <row r="1075">
      <c r="A1075" t="inlineStr">
        <is>
          <t>OP10206</t>
        </is>
      </c>
      <c r="B1075">
        <f>VLOOKUP(A1075,Reseller!G:H,2,0)</f>
        <v/>
      </c>
      <c r="C1075" t="inlineStr">
        <is>
          <t>ONLINE</t>
        </is>
      </c>
      <c r="G1075" s="34">
        <f>VLOOKUP(Table4[[#This Row],[AGEN ID]],Reseller!A:E,5,0)</f>
        <v/>
      </c>
    </row>
    <row r="1076">
      <c r="A1076" t="inlineStr">
        <is>
          <t>OP10263</t>
        </is>
      </c>
      <c r="B1076">
        <f>VLOOKUP(A1076,Reseller!G:H,2,0)</f>
        <v/>
      </c>
      <c r="C1076" t="inlineStr">
        <is>
          <t>ONLINE</t>
        </is>
      </c>
      <c r="G1076" s="34">
        <f>VLOOKUP(Table4[[#This Row],[AGEN ID]],Reseller!A:E,5,0)</f>
        <v/>
      </c>
    </row>
    <row r="1077">
      <c r="A1077" t="inlineStr">
        <is>
          <t>OP10270</t>
        </is>
      </c>
      <c r="B1077">
        <f>VLOOKUP(A1077,Reseller!G:H,2,0)</f>
        <v/>
      </c>
      <c r="C1077" t="inlineStr">
        <is>
          <t>ONLINE</t>
        </is>
      </c>
      <c r="G1077" s="34">
        <f>VLOOKUP(Table4[[#This Row],[AGEN ID]],Reseller!A:E,5,0)</f>
        <v/>
      </c>
    </row>
    <row r="1078">
      <c r="A1078" t="inlineStr">
        <is>
          <t>OP10272</t>
        </is>
      </c>
      <c r="B1078">
        <f>VLOOKUP(A1078,Reseller!G:H,2,0)</f>
        <v/>
      </c>
      <c r="C1078" t="inlineStr">
        <is>
          <t>ONLINE</t>
        </is>
      </c>
      <c r="G1078" s="34">
        <f>VLOOKUP(Table4[[#This Row],[AGEN ID]],Reseller!A:E,5,0)</f>
        <v/>
      </c>
    </row>
    <row r="1079">
      <c r="A1079" t="inlineStr">
        <is>
          <t>OP10273</t>
        </is>
      </c>
      <c r="B1079">
        <f>VLOOKUP(A1079,Reseller!G:H,2,0)</f>
        <v/>
      </c>
      <c r="C1079" t="inlineStr">
        <is>
          <t>ONLINE</t>
        </is>
      </c>
      <c r="G1079" s="34">
        <f>VLOOKUP(Table4[[#This Row],[AGEN ID]],Reseller!A:E,5,0)</f>
        <v/>
      </c>
    </row>
    <row r="1080">
      <c r="A1080" t="inlineStr">
        <is>
          <t>OP10277</t>
        </is>
      </c>
      <c r="B1080">
        <f>VLOOKUP(A1080,Reseller!G:H,2,0)</f>
        <v/>
      </c>
      <c r="C1080" t="inlineStr">
        <is>
          <t>ONLINE</t>
        </is>
      </c>
      <c r="G1080" s="34">
        <f>VLOOKUP(Table4[[#This Row],[AGEN ID]],Reseller!A:E,5,0)</f>
        <v/>
      </c>
    </row>
    <row r="1081">
      <c r="A1081" t="inlineStr">
        <is>
          <t>OP10300</t>
        </is>
      </c>
      <c r="B1081">
        <f>VLOOKUP(A1081,Reseller!G:H,2,0)</f>
        <v/>
      </c>
      <c r="C1081" t="inlineStr">
        <is>
          <t>ONLINE</t>
        </is>
      </c>
      <c r="G1081" s="34">
        <f>VLOOKUP(Table4[[#This Row],[AGEN ID]],Reseller!A:E,5,0)</f>
        <v/>
      </c>
    </row>
    <row r="1082">
      <c r="A1082" t="inlineStr">
        <is>
          <t>OP10333</t>
        </is>
      </c>
      <c r="B1082">
        <f>VLOOKUP(A1082,Reseller!G:H,2,0)</f>
        <v/>
      </c>
      <c r="C1082" t="inlineStr">
        <is>
          <t>ONLINE</t>
        </is>
      </c>
      <c r="G1082" s="34">
        <f>VLOOKUP(Table4[[#This Row],[AGEN ID]],Reseller!A:E,5,0)</f>
        <v/>
      </c>
    </row>
    <row r="1083">
      <c r="A1083" t="inlineStr">
        <is>
          <t>OP10336</t>
        </is>
      </c>
      <c r="B1083">
        <f>VLOOKUP(A1083,Reseller!G:H,2,0)</f>
        <v/>
      </c>
      <c r="C1083" t="inlineStr">
        <is>
          <t>ONLINE</t>
        </is>
      </c>
      <c r="G1083" s="34">
        <f>VLOOKUP(Table4[[#This Row],[AGEN ID]],Reseller!A:E,5,0)</f>
        <v/>
      </c>
    </row>
    <row r="1084">
      <c r="A1084" t="inlineStr">
        <is>
          <t>OP10339</t>
        </is>
      </c>
      <c r="B1084">
        <f>VLOOKUP(A1084,Reseller!G:H,2,0)</f>
        <v/>
      </c>
      <c r="C1084" t="inlineStr">
        <is>
          <t>ONLINE</t>
        </is>
      </c>
      <c r="G1084" s="34">
        <f>VLOOKUP(Table4[[#This Row],[AGEN ID]],Reseller!A:E,5,0)</f>
        <v/>
      </c>
    </row>
    <row r="1085">
      <c r="A1085" t="inlineStr">
        <is>
          <t>OP10354</t>
        </is>
      </c>
      <c r="B1085">
        <f>VLOOKUP(A1085,Reseller!G:H,2,0)</f>
        <v/>
      </c>
      <c r="C1085" t="inlineStr">
        <is>
          <t>ONLINE</t>
        </is>
      </c>
      <c r="G1085" s="34">
        <f>VLOOKUP(Table4[[#This Row],[AGEN ID]],Reseller!A:E,5,0)</f>
        <v/>
      </c>
    </row>
    <row r="1086">
      <c r="A1086" t="inlineStr">
        <is>
          <t>OP10360</t>
        </is>
      </c>
      <c r="B1086">
        <f>VLOOKUP(A1086,Reseller!G:H,2,0)</f>
        <v/>
      </c>
      <c r="C1086" t="inlineStr">
        <is>
          <t>ONLINE</t>
        </is>
      </c>
      <c r="G1086" s="34">
        <f>VLOOKUP(Table4[[#This Row],[AGEN ID]],Reseller!A:E,5,0)</f>
        <v/>
      </c>
    </row>
    <row r="1087">
      <c r="A1087" t="inlineStr">
        <is>
          <t>OP10369</t>
        </is>
      </c>
      <c r="B1087">
        <f>VLOOKUP(A1087,Reseller!G:H,2,0)</f>
        <v/>
      </c>
      <c r="C1087" t="inlineStr">
        <is>
          <t>ONLINE</t>
        </is>
      </c>
      <c r="G1087" s="34">
        <f>VLOOKUP(Table4[[#This Row],[AGEN ID]],Reseller!A:E,5,0)</f>
        <v/>
      </c>
    </row>
    <row r="1088">
      <c r="A1088" t="inlineStr">
        <is>
          <t>OP10388</t>
        </is>
      </c>
      <c r="B1088">
        <f>VLOOKUP(A1088,Reseller!G:H,2,0)</f>
        <v/>
      </c>
      <c r="C1088" t="inlineStr">
        <is>
          <t>ONLINE</t>
        </is>
      </c>
      <c r="G1088" s="34">
        <f>VLOOKUP(Table4[[#This Row],[AGEN ID]],Reseller!A:E,5,0)</f>
        <v/>
      </c>
    </row>
    <row r="1089">
      <c r="A1089" t="inlineStr">
        <is>
          <t>OP10399</t>
        </is>
      </c>
      <c r="B1089">
        <f>VLOOKUP(A1089,Reseller!G:H,2,0)</f>
        <v/>
      </c>
      <c r="C1089" t="inlineStr">
        <is>
          <t>ONLINE</t>
        </is>
      </c>
      <c r="G1089" s="34">
        <f>VLOOKUP(Table4[[#This Row],[AGEN ID]],Reseller!A:E,5,0)</f>
        <v/>
      </c>
    </row>
    <row r="1090">
      <c r="A1090" t="inlineStr">
        <is>
          <t>OP10404</t>
        </is>
      </c>
      <c r="B1090">
        <f>VLOOKUP(A1090,Reseller!G:H,2,0)</f>
        <v/>
      </c>
      <c r="C1090" t="inlineStr">
        <is>
          <t>ONLINE</t>
        </is>
      </c>
      <c r="G1090" s="34">
        <f>VLOOKUP(Table4[[#This Row],[AGEN ID]],Reseller!A:E,5,0)</f>
        <v/>
      </c>
    </row>
    <row r="1091">
      <c r="A1091" t="inlineStr">
        <is>
          <t>OP10429</t>
        </is>
      </c>
      <c r="B1091">
        <f>VLOOKUP(A1091,Reseller!G:H,2,0)</f>
        <v/>
      </c>
      <c r="C1091" t="inlineStr">
        <is>
          <t>ONLINE</t>
        </is>
      </c>
      <c r="G1091" s="34">
        <f>VLOOKUP(Table4[[#This Row],[AGEN ID]],Reseller!A:E,5,0)</f>
        <v/>
      </c>
    </row>
    <row r="1092">
      <c r="A1092" t="inlineStr">
        <is>
          <t>OP10444</t>
        </is>
      </c>
      <c r="B1092">
        <f>VLOOKUP(A1092,Reseller!G:H,2,0)</f>
        <v/>
      </c>
      <c r="C1092" t="inlineStr">
        <is>
          <t>ONLINE</t>
        </is>
      </c>
      <c r="G1092" s="34">
        <f>VLOOKUP(Table4[[#This Row],[AGEN ID]],Reseller!A:E,5,0)</f>
        <v/>
      </c>
    </row>
    <row r="1093">
      <c r="A1093" t="inlineStr">
        <is>
          <t>OP10449</t>
        </is>
      </c>
      <c r="B1093">
        <f>VLOOKUP(A1093,Reseller!G:H,2,0)</f>
        <v/>
      </c>
      <c r="C1093" t="inlineStr">
        <is>
          <t>ONLINE</t>
        </is>
      </c>
      <c r="G1093" s="34">
        <f>VLOOKUP(Table4[[#This Row],[AGEN ID]],Reseller!A:E,5,0)</f>
        <v/>
      </c>
    </row>
    <row r="1094">
      <c r="A1094" t="inlineStr">
        <is>
          <t>OP10450</t>
        </is>
      </c>
      <c r="B1094">
        <f>VLOOKUP(A1094,Reseller!G:H,2,0)</f>
        <v/>
      </c>
      <c r="C1094" t="inlineStr">
        <is>
          <t>ONLINE</t>
        </is>
      </c>
      <c r="G1094" s="34">
        <f>VLOOKUP(Table4[[#This Row],[AGEN ID]],Reseller!A:E,5,0)</f>
        <v/>
      </c>
    </row>
    <row r="1095">
      <c r="A1095" t="inlineStr">
        <is>
          <t>OP10451</t>
        </is>
      </c>
      <c r="B1095">
        <f>VLOOKUP(A1095,Reseller!G:H,2,0)</f>
        <v/>
      </c>
      <c r="C1095" t="inlineStr">
        <is>
          <t>ONLINE</t>
        </is>
      </c>
      <c r="G1095" s="34">
        <f>VLOOKUP(Table4[[#This Row],[AGEN ID]],Reseller!A:E,5,0)</f>
        <v/>
      </c>
    </row>
    <row r="1096">
      <c r="A1096" t="inlineStr">
        <is>
          <t>OP10455</t>
        </is>
      </c>
      <c r="B1096">
        <f>VLOOKUP(A1096,Reseller!G:H,2,0)</f>
        <v/>
      </c>
      <c r="C1096" t="inlineStr">
        <is>
          <t>ONLINE</t>
        </is>
      </c>
      <c r="G1096" s="34">
        <f>VLOOKUP(Table4[[#This Row],[AGEN ID]],Reseller!A:E,5,0)</f>
        <v/>
      </c>
    </row>
    <row r="1097">
      <c r="A1097" t="inlineStr">
        <is>
          <t>OP10456</t>
        </is>
      </c>
      <c r="B1097">
        <f>VLOOKUP(A1097,Reseller!G:H,2,0)</f>
        <v/>
      </c>
      <c r="C1097" t="inlineStr">
        <is>
          <t>ONLINE</t>
        </is>
      </c>
      <c r="G1097" s="34">
        <f>VLOOKUP(Table4[[#This Row],[AGEN ID]],Reseller!A:E,5,0)</f>
        <v/>
      </c>
    </row>
    <row r="1098">
      <c r="A1098" t="inlineStr">
        <is>
          <t>OP10461</t>
        </is>
      </c>
      <c r="B1098">
        <f>VLOOKUP(A1098,Reseller!G:H,2,0)</f>
        <v/>
      </c>
      <c r="C1098" t="inlineStr">
        <is>
          <t>ONLINE</t>
        </is>
      </c>
      <c r="G1098" s="34">
        <f>VLOOKUP(Table4[[#This Row],[AGEN ID]],Reseller!A:E,5,0)</f>
        <v/>
      </c>
    </row>
    <row r="1099">
      <c r="A1099" t="inlineStr">
        <is>
          <t>OP10462</t>
        </is>
      </c>
      <c r="B1099">
        <f>VLOOKUP(A1099,Reseller!G:H,2,0)</f>
        <v/>
      </c>
      <c r="C1099" t="inlineStr">
        <is>
          <t>ONLINE</t>
        </is>
      </c>
      <c r="G1099" s="34">
        <f>VLOOKUP(Table4[[#This Row],[AGEN ID]],Reseller!A:E,5,0)</f>
        <v/>
      </c>
    </row>
    <row r="1100">
      <c r="A1100" t="inlineStr">
        <is>
          <t>OP10466</t>
        </is>
      </c>
      <c r="B1100">
        <f>VLOOKUP(A1100,Reseller!G:H,2,0)</f>
        <v/>
      </c>
      <c r="C1100" t="inlineStr">
        <is>
          <t>ONLINE</t>
        </is>
      </c>
      <c r="G1100" s="34">
        <f>VLOOKUP(Table4[[#This Row],[AGEN ID]],Reseller!A:E,5,0)</f>
        <v/>
      </c>
    </row>
    <row r="1101">
      <c r="A1101" t="inlineStr">
        <is>
          <t>OP10475</t>
        </is>
      </c>
      <c r="B1101">
        <f>VLOOKUP(A1101,Reseller!G:H,2,0)</f>
        <v/>
      </c>
      <c r="C1101" t="inlineStr">
        <is>
          <t>ONLINE</t>
        </is>
      </c>
      <c r="G1101" s="34">
        <f>VLOOKUP(Table4[[#This Row],[AGEN ID]],Reseller!A:E,5,0)</f>
        <v/>
      </c>
    </row>
    <row r="1102">
      <c r="A1102" t="inlineStr">
        <is>
          <t>OP10485</t>
        </is>
      </c>
      <c r="B1102">
        <f>VLOOKUP(A1102,Reseller!G:H,2,0)</f>
        <v/>
      </c>
      <c r="C1102" t="inlineStr">
        <is>
          <t>ONLINE</t>
        </is>
      </c>
      <c r="G1102" s="34">
        <f>VLOOKUP(Table4[[#This Row],[AGEN ID]],Reseller!A:E,5,0)</f>
        <v/>
      </c>
    </row>
    <row r="1103">
      <c r="A1103" t="inlineStr">
        <is>
          <t>OP10488</t>
        </is>
      </c>
      <c r="B1103">
        <f>VLOOKUP(A1103,Reseller!G:H,2,0)</f>
        <v/>
      </c>
      <c r="C1103" t="inlineStr">
        <is>
          <t>ONLINE</t>
        </is>
      </c>
      <c r="G1103" s="34">
        <f>VLOOKUP(Table4[[#This Row],[AGEN ID]],Reseller!A:E,5,0)</f>
        <v/>
      </c>
    </row>
    <row r="1104">
      <c r="A1104" t="inlineStr">
        <is>
          <t>OP10490</t>
        </is>
      </c>
      <c r="B1104">
        <f>VLOOKUP(A1104,Reseller!G:H,2,0)</f>
        <v/>
      </c>
      <c r="C1104" t="inlineStr">
        <is>
          <t>ONLINE</t>
        </is>
      </c>
      <c r="G1104" s="34">
        <f>VLOOKUP(Table4[[#This Row],[AGEN ID]],Reseller!A:E,5,0)</f>
        <v/>
      </c>
    </row>
    <row r="1105">
      <c r="A1105" t="inlineStr">
        <is>
          <t>OP10491</t>
        </is>
      </c>
      <c r="B1105">
        <f>VLOOKUP(A1105,Reseller!G:H,2,0)</f>
        <v/>
      </c>
      <c r="C1105" t="inlineStr">
        <is>
          <t>ONLINE</t>
        </is>
      </c>
      <c r="G1105" s="34">
        <f>VLOOKUP(Table4[[#This Row],[AGEN ID]],Reseller!A:E,5,0)</f>
        <v/>
      </c>
    </row>
    <row r="1106">
      <c r="A1106" t="inlineStr">
        <is>
          <t>OP10507</t>
        </is>
      </c>
      <c r="B1106">
        <f>VLOOKUP(A1106,Reseller!G:H,2,0)</f>
        <v/>
      </c>
      <c r="C1106" t="inlineStr">
        <is>
          <t>ONLINE</t>
        </is>
      </c>
      <c r="G1106" s="34">
        <f>VLOOKUP(Table4[[#This Row],[AGEN ID]],Reseller!A:E,5,0)</f>
        <v/>
      </c>
    </row>
    <row r="1107">
      <c r="A1107" t="inlineStr">
        <is>
          <t>OP10510</t>
        </is>
      </c>
      <c r="B1107">
        <f>VLOOKUP(A1107,Reseller!G:H,2,0)</f>
        <v/>
      </c>
      <c r="C1107" t="inlineStr">
        <is>
          <t>ONLINE</t>
        </is>
      </c>
      <c r="G1107" s="34">
        <f>VLOOKUP(Table4[[#This Row],[AGEN ID]],Reseller!A:E,5,0)</f>
        <v/>
      </c>
    </row>
    <row r="1108">
      <c r="A1108" t="inlineStr">
        <is>
          <t>OP10524</t>
        </is>
      </c>
      <c r="B1108">
        <f>VLOOKUP(A1108,Reseller!G:H,2,0)</f>
        <v/>
      </c>
      <c r="C1108" t="inlineStr">
        <is>
          <t>ONLINE</t>
        </is>
      </c>
      <c r="G1108" s="34">
        <f>VLOOKUP(Table4[[#This Row],[AGEN ID]],Reseller!A:E,5,0)</f>
        <v/>
      </c>
    </row>
    <row r="1109">
      <c r="A1109" t="inlineStr">
        <is>
          <t>OP10529</t>
        </is>
      </c>
      <c r="B1109">
        <f>VLOOKUP(A1109,Reseller!G:H,2,0)</f>
        <v/>
      </c>
      <c r="C1109" t="inlineStr">
        <is>
          <t>ONLINE</t>
        </is>
      </c>
      <c r="G1109" s="34">
        <f>VLOOKUP(Table4[[#This Row],[AGEN ID]],Reseller!A:E,5,0)</f>
        <v/>
      </c>
    </row>
    <row r="1110">
      <c r="A1110" t="inlineStr">
        <is>
          <t>OP10542</t>
        </is>
      </c>
      <c r="B1110">
        <f>VLOOKUP(A1110,Reseller!G:H,2,0)</f>
        <v/>
      </c>
      <c r="C1110" t="inlineStr">
        <is>
          <t>ONLINE</t>
        </is>
      </c>
      <c r="G1110" s="34">
        <f>VLOOKUP(Table4[[#This Row],[AGEN ID]],Reseller!A:E,5,0)</f>
        <v/>
      </c>
    </row>
    <row r="1111">
      <c r="A1111" t="inlineStr">
        <is>
          <t>OP10554</t>
        </is>
      </c>
      <c r="B1111">
        <f>VLOOKUP(A1111,Reseller!G:H,2,0)</f>
        <v/>
      </c>
      <c r="C1111" t="inlineStr">
        <is>
          <t>ONLINE</t>
        </is>
      </c>
      <c r="G1111" s="34">
        <f>VLOOKUP(Table4[[#This Row],[AGEN ID]],Reseller!A:E,5,0)</f>
        <v/>
      </c>
    </row>
    <row r="1112">
      <c r="A1112" t="inlineStr">
        <is>
          <t>OP10566</t>
        </is>
      </c>
      <c r="B1112">
        <f>VLOOKUP(A1112,Reseller!G:H,2,0)</f>
        <v/>
      </c>
      <c r="C1112" t="inlineStr">
        <is>
          <t>ONLINE</t>
        </is>
      </c>
      <c r="G1112" s="34">
        <f>VLOOKUP(Table4[[#This Row],[AGEN ID]],Reseller!A:E,5,0)</f>
        <v/>
      </c>
    </row>
    <row r="1113">
      <c r="A1113" t="inlineStr">
        <is>
          <t>OP10567</t>
        </is>
      </c>
      <c r="B1113">
        <f>VLOOKUP(A1113,Reseller!G:H,2,0)</f>
        <v/>
      </c>
      <c r="C1113" t="inlineStr">
        <is>
          <t>ONLINE</t>
        </is>
      </c>
      <c r="G1113" s="34">
        <f>VLOOKUP(Table4[[#This Row],[AGEN ID]],Reseller!A:E,5,0)</f>
        <v/>
      </c>
    </row>
    <row r="1114">
      <c r="A1114" t="inlineStr">
        <is>
          <t>OP10569</t>
        </is>
      </c>
      <c r="B1114">
        <f>VLOOKUP(A1114,Reseller!G:H,2,0)</f>
        <v/>
      </c>
      <c r="C1114" t="inlineStr">
        <is>
          <t>ONLINE</t>
        </is>
      </c>
      <c r="G1114" s="34">
        <f>VLOOKUP(Table4[[#This Row],[AGEN ID]],Reseller!A:E,5,0)</f>
        <v/>
      </c>
    </row>
    <row r="1115">
      <c r="A1115" t="inlineStr">
        <is>
          <t>OP10578</t>
        </is>
      </c>
      <c r="B1115">
        <f>VLOOKUP(A1115,Reseller!G:H,2,0)</f>
        <v/>
      </c>
      <c r="C1115" t="inlineStr">
        <is>
          <t>ONLINE</t>
        </is>
      </c>
      <c r="G1115" s="34">
        <f>VLOOKUP(Table4[[#This Row],[AGEN ID]],Reseller!A:E,5,0)</f>
        <v/>
      </c>
    </row>
    <row r="1116">
      <c r="A1116" t="inlineStr">
        <is>
          <t>OP10579</t>
        </is>
      </c>
      <c r="B1116">
        <f>VLOOKUP(A1116,Reseller!G:H,2,0)</f>
        <v/>
      </c>
      <c r="C1116" t="inlineStr">
        <is>
          <t>ONLINE</t>
        </is>
      </c>
      <c r="G1116" s="34">
        <f>VLOOKUP(Table4[[#This Row],[AGEN ID]],Reseller!A:E,5,0)</f>
        <v/>
      </c>
    </row>
    <row r="1117">
      <c r="A1117" t="inlineStr">
        <is>
          <t>OP10599</t>
        </is>
      </c>
      <c r="B1117">
        <f>VLOOKUP(A1117,Reseller!G:H,2,0)</f>
        <v/>
      </c>
      <c r="C1117" t="inlineStr">
        <is>
          <t>ONLINE</t>
        </is>
      </c>
      <c r="G1117" s="34">
        <f>VLOOKUP(Table4[[#This Row],[AGEN ID]],Reseller!A:E,5,0)</f>
        <v/>
      </c>
    </row>
    <row r="1118">
      <c r="A1118" t="inlineStr">
        <is>
          <t>OP10602</t>
        </is>
      </c>
      <c r="B1118">
        <f>VLOOKUP(A1118,Reseller!G:H,2,0)</f>
        <v/>
      </c>
      <c r="C1118" t="inlineStr">
        <is>
          <t>ONLINE</t>
        </is>
      </c>
      <c r="G1118" s="34">
        <f>VLOOKUP(Table4[[#This Row],[AGEN ID]],Reseller!A:E,5,0)</f>
        <v/>
      </c>
    </row>
    <row r="1119">
      <c r="A1119" t="inlineStr">
        <is>
          <t>OP10619</t>
        </is>
      </c>
      <c r="B1119">
        <f>VLOOKUP(A1119,Reseller!G:H,2,0)</f>
        <v/>
      </c>
      <c r="C1119" t="inlineStr">
        <is>
          <t>ONLINE</t>
        </is>
      </c>
      <c r="G1119" s="34">
        <f>VLOOKUP(Table4[[#This Row],[AGEN ID]],Reseller!A:E,5,0)</f>
        <v/>
      </c>
    </row>
    <row r="1120">
      <c r="A1120" t="inlineStr">
        <is>
          <t>OP10625</t>
        </is>
      </c>
      <c r="B1120">
        <f>VLOOKUP(A1120,Reseller!G:H,2,0)</f>
        <v/>
      </c>
      <c r="C1120" t="inlineStr">
        <is>
          <t>ONLINE</t>
        </is>
      </c>
      <c r="G1120" s="34">
        <f>VLOOKUP(Table4[[#This Row],[AGEN ID]],Reseller!A:E,5,0)</f>
        <v/>
      </c>
    </row>
    <row r="1121">
      <c r="A1121" t="inlineStr">
        <is>
          <t>OP10627</t>
        </is>
      </c>
      <c r="B1121">
        <f>VLOOKUP(A1121,Reseller!G:H,2,0)</f>
        <v/>
      </c>
      <c r="C1121" t="inlineStr">
        <is>
          <t>ONLINE</t>
        </is>
      </c>
      <c r="G1121" s="34">
        <f>VLOOKUP(Table4[[#This Row],[AGEN ID]],Reseller!A:E,5,0)</f>
        <v/>
      </c>
    </row>
    <row r="1122">
      <c r="A1122" t="inlineStr">
        <is>
          <t>OP10631</t>
        </is>
      </c>
      <c r="B1122">
        <f>VLOOKUP(A1122,Reseller!G:H,2,0)</f>
        <v/>
      </c>
      <c r="C1122" t="inlineStr">
        <is>
          <t>ONLINE</t>
        </is>
      </c>
      <c r="G1122" s="34">
        <f>VLOOKUP(Table4[[#This Row],[AGEN ID]],Reseller!A:E,5,0)</f>
        <v/>
      </c>
    </row>
    <row r="1123">
      <c r="A1123" t="inlineStr">
        <is>
          <t>OP10653</t>
        </is>
      </c>
      <c r="B1123">
        <f>VLOOKUP(A1123,Reseller!G:H,2,0)</f>
        <v/>
      </c>
      <c r="C1123" t="inlineStr">
        <is>
          <t>ONLINE</t>
        </is>
      </c>
      <c r="G1123" s="34">
        <f>VLOOKUP(Table4[[#This Row],[AGEN ID]],Reseller!A:E,5,0)</f>
        <v/>
      </c>
    </row>
    <row r="1124">
      <c r="A1124" t="inlineStr">
        <is>
          <t>OP10656</t>
        </is>
      </c>
      <c r="B1124">
        <f>VLOOKUP(A1124,Reseller!G:H,2,0)</f>
        <v/>
      </c>
      <c r="C1124" t="inlineStr">
        <is>
          <t>ONLINE</t>
        </is>
      </c>
      <c r="G1124" s="34">
        <f>VLOOKUP(Table4[[#This Row],[AGEN ID]],Reseller!A:E,5,0)</f>
        <v/>
      </c>
    </row>
    <row r="1125">
      <c r="A1125" t="inlineStr">
        <is>
          <t>OP10659</t>
        </is>
      </c>
      <c r="B1125">
        <f>VLOOKUP(A1125,Reseller!G:H,2,0)</f>
        <v/>
      </c>
      <c r="C1125" t="inlineStr">
        <is>
          <t>ONLINE</t>
        </is>
      </c>
      <c r="G1125" s="34">
        <f>VLOOKUP(Table4[[#This Row],[AGEN ID]],Reseller!A:E,5,0)</f>
        <v/>
      </c>
    </row>
    <row r="1126">
      <c r="A1126" t="inlineStr">
        <is>
          <t>OP10664</t>
        </is>
      </c>
      <c r="B1126">
        <f>VLOOKUP(A1126,Reseller!G:H,2,0)</f>
        <v/>
      </c>
      <c r="C1126" t="inlineStr">
        <is>
          <t>ONLINE</t>
        </is>
      </c>
      <c r="G1126" s="34">
        <f>VLOOKUP(Table4[[#This Row],[AGEN ID]],Reseller!A:E,5,0)</f>
        <v/>
      </c>
    </row>
    <row r="1127">
      <c r="A1127" t="inlineStr">
        <is>
          <t>OP10682</t>
        </is>
      </c>
      <c r="B1127">
        <f>VLOOKUP(A1127,Reseller!G:H,2,0)</f>
        <v/>
      </c>
      <c r="C1127" t="inlineStr">
        <is>
          <t>ONLINE</t>
        </is>
      </c>
      <c r="G1127" s="34">
        <f>VLOOKUP(Table4[[#This Row],[AGEN ID]],Reseller!A:E,5,0)</f>
        <v/>
      </c>
    </row>
    <row r="1128">
      <c r="A1128" t="inlineStr">
        <is>
          <t>OP10689</t>
        </is>
      </c>
      <c r="B1128">
        <f>VLOOKUP(A1128,Reseller!G:H,2,0)</f>
        <v/>
      </c>
      <c r="C1128" t="inlineStr">
        <is>
          <t>ONLINE</t>
        </is>
      </c>
      <c r="G1128" s="34">
        <f>VLOOKUP(Table4[[#This Row],[AGEN ID]],Reseller!A:E,5,0)</f>
        <v/>
      </c>
    </row>
    <row r="1129">
      <c r="A1129" t="inlineStr">
        <is>
          <t>OP10696</t>
        </is>
      </c>
      <c r="B1129">
        <f>VLOOKUP(A1129,Reseller!G:H,2,0)</f>
        <v/>
      </c>
      <c r="C1129" t="inlineStr">
        <is>
          <t>ONLINE</t>
        </is>
      </c>
      <c r="G1129" s="34">
        <f>VLOOKUP(Table4[[#This Row],[AGEN ID]],Reseller!A:E,5,0)</f>
        <v/>
      </c>
    </row>
    <row r="1130">
      <c r="A1130" t="inlineStr">
        <is>
          <t>OP10705</t>
        </is>
      </c>
      <c r="B1130">
        <f>VLOOKUP(A1130,Reseller!G:H,2,0)</f>
        <v/>
      </c>
      <c r="C1130" t="inlineStr">
        <is>
          <t>ONLINE</t>
        </is>
      </c>
      <c r="G1130" s="34">
        <f>VLOOKUP(Table4[[#This Row],[AGEN ID]],Reseller!A:E,5,0)</f>
        <v/>
      </c>
    </row>
    <row r="1131">
      <c r="A1131" t="inlineStr">
        <is>
          <t>OP10724</t>
        </is>
      </c>
      <c r="B1131">
        <f>VLOOKUP(A1131,Reseller!G:H,2,0)</f>
        <v/>
      </c>
      <c r="C1131" t="inlineStr">
        <is>
          <t>ONLINE</t>
        </is>
      </c>
      <c r="G1131" s="34">
        <f>VLOOKUP(Table4[[#This Row],[AGEN ID]],Reseller!A:E,5,0)</f>
        <v/>
      </c>
    </row>
    <row r="1132">
      <c r="A1132" t="inlineStr">
        <is>
          <t>OP10738</t>
        </is>
      </c>
      <c r="B1132">
        <f>VLOOKUP(A1132,Reseller!G:H,2,0)</f>
        <v/>
      </c>
      <c r="C1132" t="inlineStr">
        <is>
          <t>ONLINE</t>
        </is>
      </c>
      <c r="G1132" s="34">
        <f>VLOOKUP(Table4[[#This Row],[AGEN ID]],Reseller!A:E,5,0)</f>
        <v/>
      </c>
    </row>
    <row r="1133">
      <c r="A1133" t="inlineStr">
        <is>
          <t>OP10756</t>
        </is>
      </c>
      <c r="B1133">
        <f>VLOOKUP(A1133,Reseller!G:H,2,0)</f>
        <v/>
      </c>
      <c r="C1133" t="inlineStr">
        <is>
          <t>ONLINE</t>
        </is>
      </c>
      <c r="G1133" s="34">
        <f>VLOOKUP(Table4[[#This Row],[AGEN ID]],Reseller!A:E,5,0)</f>
        <v/>
      </c>
    </row>
    <row r="1134">
      <c r="A1134" t="inlineStr">
        <is>
          <t>OP10769</t>
        </is>
      </c>
      <c r="B1134">
        <f>VLOOKUP(A1134,Reseller!G:H,2,0)</f>
        <v/>
      </c>
      <c r="C1134" t="inlineStr">
        <is>
          <t>ONLINE</t>
        </is>
      </c>
      <c r="G1134" s="34">
        <f>VLOOKUP(Table4[[#This Row],[AGEN ID]],Reseller!A:E,5,0)</f>
        <v/>
      </c>
    </row>
    <row r="1135">
      <c r="A1135" t="inlineStr">
        <is>
          <t>OP10771</t>
        </is>
      </c>
      <c r="B1135">
        <f>VLOOKUP(A1135,Reseller!G:H,2,0)</f>
        <v/>
      </c>
      <c r="C1135" t="inlineStr">
        <is>
          <t>ONLINE</t>
        </is>
      </c>
      <c r="G1135" s="34">
        <f>VLOOKUP(Table4[[#This Row],[AGEN ID]],Reseller!A:E,5,0)</f>
        <v/>
      </c>
    </row>
    <row r="1136">
      <c r="A1136" t="inlineStr">
        <is>
          <t>OP10775</t>
        </is>
      </c>
      <c r="B1136">
        <f>VLOOKUP(A1136,Reseller!G:H,2,0)</f>
        <v/>
      </c>
      <c r="C1136" t="inlineStr">
        <is>
          <t>ONLINE</t>
        </is>
      </c>
      <c r="G1136" s="34">
        <f>VLOOKUP(Table4[[#This Row],[AGEN ID]],Reseller!A:E,5,0)</f>
        <v/>
      </c>
    </row>
    <row r="1137">
      <c r="A1137" t="inlineStr">
        <is>
          <t>OP10790</t>
        </is>
      </c>
      <c r="B1137">
        <f>VLOOKUP(A1137,Reseller!G:H,2,0)</f>
        <v/>
      </c>
      <c r="C1137" t="inlineStr">
        <is>
          <t>ONLINE</t>
        </is>
      </c>
      <c r="G1137" s="34">
        <f>VLOOKUP(Table4[[#This Row],[AGEN ID]],Reseller!A:E,5,0)</f>
        <v/>
      </c>
    </row>
    <row r="1138">
      <c r="A1138" t="inlineStr">
        <is>
          <t>OP10798</t>
        </is>
      </c>
      <c r="B1138">
        <f>VLOOKUP(A1138,Reseller!G:H,2,0)</f>
        <v/>
      </c>
      <c r="C1138" t="inlineStr">
        <is>
          <t>ONLINE</t>
        </is>
      </c>
      <c r="G1138" s="34">
        <f>VLOOKUP(Table4[[#This Row],[AGEN ID]],Reseller!A:E,5,0)</f>
        <v/>
      </c>
    </row>
    <row r="1139">
      <c r="A1139" t="inlineStr">
        <is>
          <t>OP10819</t>
        </is>
      </c>
      <c r="B1139">
        <f>VLOOKUP(A1139,Reseller!G:H,2,0)</f>
        <v/>
      </c>
      <c r="C1139" t="inlineStr">
        <is>
          <t>ONLINE</t>
        </is>
      </c>
      <c r="G1139" s="34">
        <f>VLOOKUP(Table4[[#This Row],[AGEN ID]],Reseller!A:E,5,0)</f>
        <v/>
      </c>
    </row>
    <row r="1140">
      <c r="A1140" t="inlineStr">
        <is>
          <t>OP10826</t>
        </is>
      </c>
      <c r="B1140">
        <f>VLOOKUP(A1140,Reseller!G:H,2,0)</f>
        <v/>
      </c>
      <c r="C1140" t="inlineStr">
        <is>
          <t>ONLINE</t>
        </is>
      </c>
      <c r="G1140" s="34">
        <f>VLOOKUP(Table4[[#This Row],[AGEN ID]],Reseller!A:E,5,0)</f>
        <v/>
      </c>
    </row>
    <row r="1141">
      <c r="A1141" t="inlineStr">
        <is>
          <t>OP10828</t>
        </is>
      </c>
      <c r="B1141">
        <f>VLOOKUP(A1141,Reseller!G:H,2,0)</f>
        <v/>
      </c>
      <c r="C1141" t="inlineStr">
        <is>
          <t>ONLINE</t>
        </is>
      </c>
      <c r="G1141" s="34">
        <f>VLOOKUP(Table4[[#This Row],[AGEN ID]],Reseller!A:E,5,0)</f>
        <v/>
      </c>
    </row>
    <row r="1142">
      <c r="A1142" t="inlineStr">
        <is>
          <t>OP10831</t>
        </is>
      </c>
      <c r="B1142">
        <f>VLOOKUP(A1142,Reseller!G:H,2,0)</f>
        <v/>
      </c>
      <c r="C1142" t="inlineStr">
        <is>
          <t>ONLINE</t>
        </is>
      </c>
      <c r="G1142" s="34">
        <f>VLOOKUP(Table4[[#This Row],[AGEN ID]],Reseller!A:E,5,0)</f>
        <v/>
      </c>
    </row>
    <row r="1143">
      <c r="A1143" t="inlineStr">
        <is>
          <t>OP10842</t>
        </is>
      </c>
      <c r="B1143">
        <f>VLOOKUP(A1143,Reseller!G:H,2,0)</f>
        <v/>
      </c>
      <c r="C1143" t="inlineStr">
        <is>
          <t>ONLINE</t>
        </is>
      </c>
      <c r="G1143" s="34">
        <f>VLOOKUP(Table4[[#This Row],[AGEN ID]],Reseller!A:E,5,0)</f>
        <v/>
      </c>
    </row>
    <row r="1144">
      <c r="A1144" t="inlineStr">
        <is>
          <t>OP10849</t>
        </is>
      </c>
      <c r="B1144">
        <f>VLOOKUP(A1144,Reseller!G:H,2,0)</f>
        <v/>
      </c>
      <c r="C1144" t="inlineStr">
        <is>
          <t>ONLINE</t>
        </is>
      </c>
      <c r="G1144" s="34">
        <f>VLOOKUP(Table4[[#This Row],[AGEN ID]],Reseller!A:E,5,0)</f>
        <v/>
      </c>
    </row>
    <row r="1145">
      <c r="A1145" t="inlineStr">
        <is>
          <t>OP10856</t>
        </is>
      </c>
      <c r="B1145">
        <f>VLOOKUP(A1145,Reseller!G:H,2,0)</f>
        <v/>
      </c>
      <c r="C1145" t="inlineStr">
        <is>
          <t>ONLINE</t>
        </is>
      </c>
      <c r="G1145" s="34">
        <f>VLOOKUP(Table4[[#This Row],[AGEN ID]],Reseller!A:E,5,0)</f>
        <v/>
      </c>
    </row>
    <row r="1146">
      <c r="A1146" t="inlineStr">
        <is>
          <t>OP10861</t>
        </is>
      </c>
      <c r="B1146">
        <f>VLOOKUP(A1146,Reseller!G:H,2,0)</f>
        <v/>
      </c>
      <c r="C1146" t="inlineStr">
        <is>
          <t>ONLINE</t>
        </is>
      </c>
      <c r="G1146" s="34">
        <f>VLOOKUP(Table4[[#This Row],[AGEN ID]],Reseller!A:E,5,0)</f>
        <v/>
      </c>
    </row>
    <row r="1147">
      <c r="A1147" t="inlineStr">
        <is>
          <t>OP10863</t>
        </is>
      </c>
      <c r="B1147">
        <f>VLOOKUP(A1147,Reseller!G:H,2,0)</f>
        <v/>
      </c>
      <c r="C1147" t="inlineStr">
        <is>
          <t>ONLINE</t>
        </is>
      </c>
      <c r="G1147" s="34">
        <f>VLOOKUP(Table4[[#This Row],[AGEN ID]],Reseller!A:E,5,0)</f>
        <v/>
      </c>
    </row>
    <row r="1148">
      <c r="A1148" t="inlineStr">
        <is>
          <t>OP10872</t>
        </is>
      </c>
      <c r="B1148">
        <f>VLOOKUP(A1148,Reseller!G:H,2,0)</f>
        <v/>
      </c>
      <c r="C1148" t="inlineStr">
        <is>
          <t>ONLINE</t>
        </is>
      </c>
      <c r="G1148" s="34">
        <f>VLOOKUP(Table4[[#This Row],[AGEN ID]],Reseller!A:E,5,0)</f>
        <v/>
      </c>
    </row>
    <row r="1149">
      <c r="A1149" t="inlineStr">
        <is>
          <t>OP10878</t>
        </is>
      </c>
      <c r="B1149">
        <f>VLOOKUP(A1149,Reseller!G:H,2,0)</f>
        <v/>
      </c>
      <c r="C1149" t="inlineStr">
        <is>
          <t>ONLINE</t>
        </is>
      </c>
      <c r="G1149" s="34">
        <f>VLOOKUP(Table4[[#This Row],[AGEN ID]],Reseller!A:E,5,0)</f>
        <v/>
      </c>
    </row>
    <row r="1150">
      <c r="A1150" t="inlineStr">
        <is>
          <t>OP10927</t>
        </is>
      </c>
      <c r="B1150">
        <f>VLOOKUP(A1150,Reseller!G:H,2,0)</f>
        <v/>
      </c>
      <c r="C1150" t="inlineStr">
        <is>
          <t>ONLINE</t>
        </is>
      </c>
      <c r="G1150" s="34">
        <f>VLOOKUP(Table4[[#This Row],[AGEN ID]],Reseller!A:E,5,0)</f>
        <v/>
      </c>
    </row>
    <row r="1151">
      <c r="A1151" t="inlineStr">
        <is>
          <t>OP10931</t>
        </is>
      </c>
      <c r="B1151">
        <f>VLOOKUP(A1151,Reseller!G:H,2,0)</f>
        <v/>
      </c>
      <c r="C1151" t="inlineStr">
        <is>
          <t>ONLINE</t>
        </is>
      </c>
      <c r="G1151" s="34">
        <f>VLOOKUP(Table4[[#This Row],[AGEN ID]],Reseller!A:E,5,0)</f>
        <v/>
      </c>
    </row>
    <row r="1152">
      <c r="A1152" t="inlineStr">
        <is>
          <t>OP10935</t>
        </is>
      </c>
      <c r="B1152">
        <f>VLOOKUP(A1152,Reseller!G:H,2,0)</f>
        <v/>
      </c>
      <c r="C1152" t="inlineStr">
        <is>
          <t>ONLINE</t>
        </is>
      </c>
      <c r="G1152" s="34">
        <f>VLOOKUP(Table4[[#This Row],[AGEN ID]],Reseller!A:E,5,0)</f>
        <v/>
      </c>
    </row>
    <row r="1153">
      <c r="A1153" t="inlineStr">
        <is>
          <t>OP10936</t>
        </is>
      </c>
      <c r="B1153">
        <f>VLOOKUP(A1153,Reseller!G:H,2,0)</f>
        <v/>
      </c>
      <c r="C1153" t="inlineStr">
        <is>
          <t>ONLINE</t>
        </is>
      </c>
      <c r="G1153" s="34">
        <f>VLOOKUP(Table4[[#This Row],[AGEN ID]],Reseller!A:E,5,0)</f>
        <v/>
      </c>
    </row>
    <row r="1154">
      <c r="A1154" t="inlineStr">
        <is>
          <t>OP10941</t>
        </is>
      </c>
      <c r="B1154">
        <f>VLOOKUP(A1154,Reseller!G:H,2,0)</f>
        <v/>
      </c>
      <c r="C1154" t="inlineStr">
        <is>
          <t>ONLINE</t>
        </is>
      </c>
      <c r="G1154" s="34">
        <f>VLOOKUP(Table4[[#This Row],[AGEN ID]],Reseller!A:E,5,0)</f>
        <v/>
      </c>
    </row>
    <row r="1155">
      <c r="A1155" t="inlineStr">
        <is>
          <t>OP10943</t>
        </is>
      </c>
      <c r="B1155">
        <f>VLOOKUP(A1155,Reseller!G:H,2,0)</f>
        <v/>
      </c>
      <c r="C1155" t="inlineStr">
        <is>
          <t>ONLINE</t>
        </is>
      </c>
      <c r="G1155" s="34">
        <f>VLOOKUP(Table4[[#This Row],[AGEN ID]],Reseller!A:E,5,0)</f>
        <v/>
      </c>
    </row>
    <row r="1156">
      <c r="A1156" t="inlineStr">
        <is>
          <t>OP10944</t>
        </is>
      </c>
      <c r="B1156">
        <f>VLOOKUP(A1156,Reseller!G:H,2,0)</f>
        <v/>
      </c>
      <c r="C1156" t="inlineStr">
        <is>
          <t>ONLINE</t>
        </is>
      </c>
      <c r="G1156" s="34">
        <f>VLOOKUP(Table4[[#This Row],[AGEN ID]],Reseller!A:E,5,0)</f>
        <v/>
      </c>
    </row>
    <row r="1157">
      <c r="A1157" t="inlineStr">
        <is>
          <t>OP10950</t>
        </is>
      </c>
      <c r="B1157">
        <f>VLOOKUP(A1157,Reseller!G:H,2,0)</f>
        <v/>
      </c>
      <c r="C1157" t="inlineStr">
        <is>
          <t>ONLINE</t>
        </is>
      </c>
      <c r="G1157" s="34">
        <f>VLOOKUP(Table4[[#This Row],[AGEN ID]],Reseller!A:E,5,0)</f>
        <v/>
      </c>
    </row>
    <row r="1158">
      <c r="A1158" t="inlineStr">
        <is>
          <t>OP10990</t>
        </is>
      </c>
      <c r="B1158">
        <f>VLOOKUP(A1158,Reseller!G:H,2,0)</f>
        <v/>
      </c>
      <c r="C1158" t="inlineStr">
        <is>
          <t>ONLINE</t>
        </is>
      </c>
      <c r="G1158" s="34">
        <f>VLOOKUP(Table4[[#This Row],[AGEN ID]],Reseller!A:E,5,0)</f>
        <v/>
      </c>
    </row>
    <row r="1159">
      <c r="A1159" t="inlineStr">
        <is>
          <t>OP11003</t>
        </is>
      </c>
      <c r="B1159">
        <f>VLOOKUP(A1159,Reseller!G:H,2,0)</f>
        <v/>
      </c>
      <c r="C1159" t="inlineStr">
        <is>
          <t>ONLINE</t>
        </is>
      </c>
      <c r="G1159" s="34">
        <f>VLOOKUP(Table4[[#This Row],[AGEN ID]],Reseller!A:E,5,0)</f>
        <v/>
      </c>
    </row>
    <row r="1160">
      <c r="A1160" t="inlineStr">
        <is>
          <t>OP11009</t>
        </is>
      </c>
      <c r="B1160">
        <f>VLOOKUP(A1160,Reseller!G:H,2,0)</f>
        <v/>
      </c>
      <c r="C1160" t="inlineStr">
        <is>
          <t>ONLINE</t>
        </is>
      </c>
      <c r="G1160" s="34">
        <f>VLOOKUP(Table4[[#This Row],[AGEN ID]],Reseller!A:E,5,0)</f>
        <v/>
      </c>
    </row>
    <row r="1161">
      <c r="A1161" t="inlineStr">
        <is>
          <t>OP11027</t>
        </is>
      </c>
      <c r="B1161">
        <f>VLOOKUP(A1161,Reseller!G:H,2,0)</f>
        <v/>
      </c>
      <c r="C1161" t="inlineStr">
        <is>
          <t>ONLINE</t>
        </is>
      </c>
      <c r="G1161" s="34">
        <f>VLOOKUP(Table4[[#This Row],[AGEN ID]],Reseller!A:E,5,0)</f>
        <v/>
      </c>
    </row>
    <row r="1162">
      <c r="A1162" t="inlineStr">
        <is>
          <t>OP11039</t>
        </is>
      </c>
      <c r="B1162">
        <f>VLOOKUP(A1162,Reseller!G:H,2,0)</f>
        <v/>
      </c>
      <c r="C1162" t="inlineStr">
        <is>
          <t>ONLINE</t>
        </is>
      </c>
      <c r="G1162" s="34">
        <f>VLOOKUP(Table4[[#This Row],[AGEN ID]],Reseller!A:E,5,0)</f>
        <v/>
      </c>
    </row>
    <row r="1163">
      <c r="A1163" t="inlineStr">
        <is>
          <t>OP11040</t>
        </is>
      </c>
      <c r="B1163">
        <f>VLOOKUP(A1163,Reseller!G:H,2,0)</f>
        <v/>
      </c>
      <c r="C1163" t="inlineStr">
        <is>
          <t>ONLINE</t>
        </is>
      </c>
      <c r="G1163" s="34">
        <f>VLOOKUP(Table4[[#This Row],[AGEN ID]],Reseller!A:E,5,0)</f>
        <v/>
      </c>
    </row>
    <row r="1164">
      <c r="A1164" s="32" t="inlineStr">
        <is>
          <t>OP11048</t>
        </is>
      </c>
      <c r="B1164">
        <f>VLOOKUP(A1164,Reseller!G:H,2,0)</f>
        <v/>
      </c>
      <c r="C1164" t="inlineStr">
        <is>
          <t>ONLINE</t>
        </is>
      </c>
      <c r="G1164" s="34">
        <f>VLOOKUP(Table4[[#This Row],[AGEN ID]],Reseller!A:E,5,0)</f>
        <v/>
      </c>
    </row>
    <row r="1165">
      <c r="A1165" t="inlineStr">
        <is>
          <t>OP11059</t>
        </is>
      </c>
      <c r="B1165">
        <f>VLOOKUP(A1165,Reseller!G:H,2,0)</f>
        <v/>
      </c>
      <c r="C1165" t="inlineStr">
        <is>
          <t>ONLINE</t>
        </is>
      </c>
      <c r="G1165" s="34">
        <f>VLOOKUP(Table4[[#This Row],[AGEN ID]],Reseller!A:E,5,0)</f>
        <v/>
      </c>
    </row>
    <row r="1166">
      <c r="A1166" t="inlineStr">
        <is>
          <t>OP11090</t>
        </is>
      </c>
      <c r="B1166">
        <f>VLOOKUP(A1166,Reseller!G:H,2,0)</f>
        <v/>
      </c>
      <c r="C1166" t="inlineStr">
        <is>
          <t>ONLINE</t>
        </is>
      </c>
      <c r="G1166" s="34">
        <f>VLOOKUP(Table4[[#This Row],[AGEN ID]],Reseller!A:E,5,0)</f>
        <v/>
      </c>
    </row>
    <row r="1167">
      <c r="A1167" t="inlineStr">
        <is>
          <t>OP11114</t>
        </is>
      </c>
      <c r="B1167">
        <f>VLOOKUP(A1167,Reseller!G:H,2,0)</f>
        <v/>
      </c>
      <c r="C1167" t="inlineStr">
        <is>
          <t>ONLINE</t>
        </is>
      </c>
      <c r="G1167" s="34">
        <f>VLOOKUP(Table4[[#This Row],[AGEN ID]],Reseller!A:E,5,0)</f>
        <v/>
      </c>
    </row>
    <row r="1168">
      <c r="A1168" t="inlineStr">
        <is>
          <t>OP11128</t>
        </is>
      </c>
      <c r="B1168">
        <f>VLOOKUP(A1168,Reseller!G:H,2,0)</f>
        <v/>
      </c>
      <c r="C1168" t="inlineStr">
        <is>
          <t>ONLINE</t>
        </is>
      </c>
      <c r="G1168" s="34">
        <f>VLOOKUP(Table4[[#This Row],[AGEN ID]],Reseller!A:E,5,0)</f>
        <v/>
      </c>
    </row>
    <row r="1169">
      <c r="A1169" t="inlineStr">
        <is>
          <t>OP11147</t>
        </is>
      </c>
      <c r="B1169">
        <f>VLOOKUP(A1169,Reseller!G:H,2,0)</f>
        <v/>
      </c>
      <c r="C1169" t="inlineStr">
        <is>
          <t>ONLINE</t>
        </is>
      </c>
      <c r="G1169" s="34">
        <f>VLOOKUP(Table4[[#This Row],[AGEN ID]],Reseller!A:E,5,0)</f>
        <v/>
      </c>
    </row>
    <row r="1170">
      <c r="A1170" t="inlineStr">
        <is>
          <t>OP11157</t>
        </is>
      </c>
      <c r="B1170">
        <f>VLOOKUP(A1170,Reseller!G:H,2,0)</f>
        <v/>
      </c>
      <c r="C1170" t="inlineStr">
        <is>
          <t>ONLINE</t>
        </is>
      </c>
      <c r="G1170" s="34">
        <f>VLOOKUP(Table4[[#This Row],[AGEN ID]],Reseller!A:E,5,0)</f>
        <v/>
      </c>
    </row>
    <row r="1171">
      <c r="A1171" t="inlineStr">
        <is>
          <t>OP11158</t>
        </is>
      </c>
      <c r="B1171">
        <f>VLOOKUP(A1171,Reseller!G:H,2,0)</f>
        <v/>
      </c>
      <c r="C1171" t="inlineStr">
        <is>
          <t>ONLINE</t>
        </is>
      </c>
      <c r="G1171" s="34">
        <f>VLOOKUP(Table4[[#This Row],[AGEN ID]],Reseller!A:E,5,0)</f>
        <v/>
      </c>
    </row>
    <row r="1172">
      <c r="A1172" t="inlineStr">
        <is>
          <t>OP11162</t>
        </is>
      </c>
      <c r="B1172">
        <f>VLOOKUP(A1172,Reseller!G:H,2,0)</f>
        <v/>
      </c>
      <c r="C1172" t="inlineStr">
        <is>
          <t>ONLINE</t>
        </is>
      </c>
      <c r="G1172" s="34">
        <f>VLOOKUP(Table4[[#This Row],[AGEN ID]],Reseller!A:E,5,0)</f>
        <v/>
      </c>
    </row>
    <row r="1173">
      <c r="A1173" t="inlineStr">
        <is>
          <t>OP11170</t>
        </is>
      </c>
      <c r="B1173">
        <f>VLOOKUP(A1173,Reseller!G:H,2,0)</f>
        <v/>
      </c>
      <c r="C1173" t="inlineStr">
        <is>
          <t>ONLINE</t>
        </is>
      </c>
      <c r="G1173" s="34">
        <f>VLOOKUP(Table4[[#This Row],[AGEN ID]],Reseller!A:E,5,0)</f>
        <v/>
      </c>
    </row>
    <row r="1174">
      <c r="A1174" t="inlineStr">
        <is>
          <t>OP11192</t>
        </is>
      </c>
      <c r="B1174">
        <f>VLOOKUP(A1174,Reseller!G:H,2,0)</f>
        <v/>
      </c>
      <c r="C1174" t="inlineStr">
        <is>
          <t>ONLINE</t>
        </is>
      </c>
      <c r="G1174" s="34">
        <f>VLOOKUP(Table4[[#This Row],[AGEN ID]],Reseller!A:E,5,0)</f>
        <v/>
      </c>
    </row>
    <row r="1175">
      <c r="A1175" t="inlineStr">
        <is>
          <t>OP11201</t>
        </is>
      </c>
      <c r="B1175">
        <f>VLOOKUP(A1175,Reseller!G:H,2,0)</f>
        <v/>
      </c>
      <c r="C1175" t="inlineStr">
        <is>
          <t>ONLINE</t>
        </is>
      </c>
      <c r="G1175" s="34">
        <f>VLOOKUP(Table4[[#This Row],[AGEN ID]],Reseller!A:E,5,0)</f>
        <v/>
      </c>
    </row>
    <row r="1176">
      <c r="A1176" t="inlineStr">
        <is>
          <t>OP11236</t>
        </is>
      </c>
      <c r="B1176">
        <f>VLOOKUP(A1176,Reseller!G:H,2,0)</f>
        <v/>
      </c>
      <c r="C1176" t="inlineStr">
        <is>
          <t>ONLINE</t>
        </is>
      </c>
      <c r="G1176" s="34">
        <f>VLOOKUP(Table4[[#This Row],[AGEN ID]],Reseller!A:E,5,0)</f>
        <v/>
      </c>
    </row>
    <row r="1177">
      <c r="A1177" t="inlineStr">
        <is>
          <t>OP11253</t>
        </is>
      </c>
      <c r="B1177">
        <f>VLOOKUP(A1177,Reseller!G:H,2,0)</f>
        <v/>
      </c>
      <c r="C1177" t="inlineStr">
        <is>
          <t>ONLINE</t>
        </is>
      </c>
      <c r="G1177" s="34">
        <f>VLOOKUP(Table4[[#This Row],[AGEN ID]],Reseller!A:E,5,0)</f>
        <v/>
      </c>
    </row>
    <row r="1178">
      <c r="A1178" t="inlineStr">
        <is>
          <t>OP11264</t>
        </is>
      </c>
      <c r="B1178">
        <f>VLOOKUP(A1178,Reseller!G:H,2,0)</f>
        <v/>
      </c>
      <c r="C1178" t="inlineStr">
        <is>
          <t>ONLINE</t>
        </is>
      </c>
      <c r="G1178" s="34">
        <f>VLOOKUP(Table4[[#This Row],[AGEN ID]],Reseller!A:E,5,0)</f>
        <v/>
      </c>
    </row>
    <row r="1179">
      <c r="A1179" s="32" t="inlineStr">
        <is>
          <t>OP11295</t>
        </is>
      </c>
      <c r="B1179">
        <f>VLOOKUP(A1179,Reseller!G:H,2,0)</f>
        <v/>
      </c>
      <c r="C1179" t="inlineStr">
        <is>
          <t>ONLINE</t>
        </is>
      </c>
      <c r="G1179" s="34">
        <f>VLOOKUP(Table4[[#This Row],[AGEN ID]],Reseller!A:E,5,0)</f>
        <v/>
      </c>
    </row>
    <row r="1180">
      <c r="A1180" t="inlineStr">
        <is>
          <t>OP11299</t>
        </is>
      </c>
      <c r="B1180">
        <f>VLOOKUP(A1180,Reseller!G:H,2,0)</f>
        <v/>
      </c>
      <c r="C1180" t="inlineStr">
        <is>
          <t>ONLINE</t>
        </is>
      </c>
      <c r="G1180" s="34">
        <f>VLOOKUP(Table4[[#This Row],[AGEN ID]],Reseller!A:E,5,0)</f>
        <v/>
      </c>
    </row>
    <row r="1181">
      <c r="A1181" t="inlineStr">
        <is>
          <t>OP11320</t>
        </is>
      </c>
      <c r="B1181">
        <f>VLOOKUP(A1181,Reseller!G:H,2,0)</f>
        <v/>
      </c>
      <c r="C1181" t="inlineStr">
        <is>
          <t>ONLINE</t>
        </is>
      </c>
      <c r="G1181" s="34">
        <f>VLOOKUP(Table4[[#This Row],[AGEN ID]],Reseller!A:E,5,0)</f>
        <v/>
      </c>
    </row>
    <row r="1182">
      <c r="A1182" t="inlineStr">
        <is>
          <t>OP11321</t>
        </is>
      </c>
      <c r="B1182">
        <f>VLOOKUP(A1182,Reseller!G:H,2,0)</f>
        <v/>
      </c>
      <c r="C1182" t="inlineStr">
        <is>
          <t>ONLINE</t>
        </is>
      </c>
      <c r="G1182" s="34">
        <f>VLOOKUP(Table4[[#This Row],[AGEN ID]],Reseller!A:E,5,0)</f>
        <v/>
      </c>
    </row>
    <row r="1183">
      <c r="A1183" t="inlineStr">
        <is>
          <t>OP11324</t>
        </is>
      </c>
      <c r="B1183">
        <f>VLOOKUP(A1183,Reseller!G:H,2,0)</f>
        <v/>
      </c>
      <c r="C1183" t="inlineStr">
        <is>
          <t>ONLINE</t>
        </is>
      </c>
      <c r="G1183" s="34">
        <f>VLOOKUP(Table4[[#This Row],[AGEN ID]],Reseller!A:E,5,0)</f>
        <v/>
      </c>
    </row>
    <row r="1184">
      <c r="A1184" t="inlineStr">
        <is>
          <t>OP11351</t>
        </is>
      </c>
      <c r="B1184">
        <f>VLOOKUP(A1184,Reseller!G:H,2,0)</f>
        <v/>
      </c>
      <c r="C1184" t="inlineStr">
        <is>
          <t>ONLINE</t>
        </is>
      </c>
      <c r="G1184" s="34">
        <f>VLOOKUP(Table4[[#This Row],[AGEN ID]],Reseller!A:E,5,0)</f>
        <v/>
      </c>
    </row>
    <row r="1185">
      <c r="A1185" t="inlineStr">
        <is>
          <t>OP11365</t>
        </is>
      </c>
      <c r="B1185">
        <f>VLOOKUP(A1185,Reseller!G:H,2,0)</f>
        <v/>
      </c>
      <c r="C1185" t="inlineStr">
        <is>
          <t>ONLINE</t>
        </is>
      </c>
      <c r="G1185" s="34">
        <f>VLOOKUP(Table4[[#This Row],[AGEN ID]],Reseller!A:E,5,0)</f>
        <v/>
      </c>
    </row>
    <row r="1186">
      <c r="A1186" t="inlineStr">
        <is>
          <t>OP11375</t>
        </is>
      </c>
      <c r="B1186">
        <f>VLOOKUP(A1186,Reseller!G:H,2,0)</f>
        <v/>
      </c>
      <c r="C1186" t="inlineStr">
        <is>
          <t>ONLINE</t>
        </is>
      </c>
      <c r="G1186" s="34">
        <f>VLOOKUP(Table4[[#This Row],[AGEN ID]],Reseller!A:E,5,0)</f>
        <v/>
      </c>
    </row>
    <row r="1187">
      <c r="A1187" t="inlineStr">
        <is>
          <t>OP11394</t>
        </is>
      </c>
      <c r="B1187">
        <f>VLOOKUP(A1187,Reseller!G:H,2,0)</f>
        <v/>
      </c>
      <c r="C1187" t="inlineStr">
        <is>
          <t>ONLINE</t>
        </is>
      </c>
      <c r="G1187" s="34">
        <f>VLOOKUP(Table4[[#This Row],[AGEN ID]],Reseller!A:E,5,0)</f>
        <v/>
      </c>
    </row>
    <row r="1188">
      <c r="A1188" t="inlineStr">
        <is>
          <t>OP11399</t>
        </is>
      </c>
      <c r="B1188">
        <f>VLOOKUP(A1188,Reseller!G:H,2,0)</f>
        <v/>
      </c>
      <c r="C1188" t="inlineStr">
        <is>
          <t>ONLINE</t>
        </is>
      </c>
      <c r="G1188" s="34">
        <f>VLOOKUP(Table4[[#This Row],[AGEN ID]],Reseller!A:E,5,0)</f>
        <v/>
      </c>
    </row>
    <row r="1189">
      <c r="A1189" t="inlineStr">
        <is>
          <t>OP11401</t>
        </is>
      </c>
      <c r="B1189">
        <f>VLOOKUP(A1189,Reseller!G:H,2,0)</f>
        <v/>
      </c>
      <c r="C1189" t="inlineStr">
        <is>
          <t>ONLINE</t>
        </is>
      </c>
      <c r="G1189" s="34">
        <f>VLOOKUP(Table4[[#This Row],[AGEN ID]],Reseller!A:E,5,0)</f>
        <v/>
      </c>
    </row>
    <row r="1190">
      <c r="A1190" t="inlineStr">
        <is>
          <t>OP11432</t>
        </is>
      </c>
      <c r="B1190">
        <f>VLOOKUP(A1190,Reseller!G:H,2,0)</f>
        <v/>
      </c>
      <c r="C1190" t="inlineStr">
        <is>
          <t>ONLINE</t>
        </is>
      </c>
      <c r="G1190" s="34">
        <f>VLOOKUP(Table4[[#This Row],[AGEN ID]],Reseller!A:E,5,0)</f>
        <v/>
      </c>
    </row>
    <row r="1191">
      <c r="A1191" t="inlineStr">
        <is>
          <t>OP11433</t>
        </is>
      </c>
      <c r="B1191">
        <f>VLOOKUP(A1191,Reseller!G:H,2,0)</f>
        <v/>
      </c>
      <c r="C1191" t="inlineStr">
        <is>
          <t>ONLINE</t>
        </is>
      </c>
      <c r="G1191" s="34">
        <f>VLOOKUP(Table4[[#This Row],[AGEN ID]],Reseller!A:E,5,0)</f>
        <v/>
      </c>
    </row>
    <row r="1192">
      <c r="A1192" t="inlineStr">
        <is>
          <t>OP11451</t>
        </is>
      </c>
      <c r="B1192">
        <f>VLOOKUP(A1192,Reseller!G:H,2,0)</f>
        <v/>
      </c>
      <c r="C1192" t="inlineStr">
        <is>
          <t>ONLINE</t>
        </is>
      </c>
      <c r="G1192" s="34">
        <f>VLOOKUP(Table4[[#This Row],[AGEN ID]],Reseller!A:E,5,0)</f>
        <v/>
      </c>
    </row>
    <row r="1193">
      <c r="A1193" t="inlineStr">
        <is>
          <t>OP11491</t>
        </is>
      </c>
      <c r="B1193">
        <f>VLOOKUP(A1193,Reseller!G:H,2,0)</f>
        <v/>
      </c>
      <c r="C1193" t="inlineStr">
        <is>
          <t>ONLINE</t>
        </is>
      </c>
      <c r="G1193" s="34">
        <f>VLOOKUP(Table4[[#This Row],[AGEN ID]],Reseller!A:E,5,0)</f>
        <v/>
      </c>
    </row>
    <row r="1194">
      <c r="A1194" t="inlineStr">
        <is>
          <t>OP11492</t>
        </is>
      </c>
      <c r="B1194">
        <f>VLOOKUP(A1194,Reseller!G:H,2,0)</f>
        <v/>
      </c>
      <c r="C1194" t="inlineStr">
        <is>
          <t>ONLINE</t>
        </is>
      </c>
      <c r="G1194" s="34">
        <f>VLOOKUP(Table4[[#This Row],[AGEN ID]],Reseller!A:E,5,0)</f>
        <v/>
      </c>
    </row>
    <row r="1195">
      <c r="A1195" t="inlineStr">
        <is>
          <t>OP11493</t>
        </is>
      </c>
      <c r="B1195">
        <f>VLOOKUP(A1195,Reseller!G:H,2,0)</f>
        <v/>
      </c>
      <c r="C1195" t="inlineStr">
        <is>
          <t>ONLINE</t>
        </is>
      </c>
      <c r="G1195" s="34">
        <f>VLOOKUP(Table4[[#This Row],[AGEN ID]],Reseller!A:E,5,0)</f>
        <v/>
      </c>
    </row>
    <row r="1196">
      <c r="A1196" t="inlineStr">
        <is>
          <t>OP11498</t>
        </is>
      </c>
      <c r="B1196">
        <f>VLOOKUP(A1196,Reseller!G:H,2,0)</f>
        <v/>
      </c>
      <c r="C1196" t="inlineStr">
        <is>
          <t>ONLINE</t>
        </is>
      </c>
      <c r="G1196" s="34">
        <f>VLOOKUP(Table4[[#This Row],[AGEN ID]],Reseller!A:E,5,0)</f>
        <v/>
      </c>
    </row>
    <row r="1197">
      <c r="A1197" t="inlineStr">
        <is>
          <t>OP11506</t>
        </is>
      </c>
      <c r="B1197">
        <f>VLOOKUP(A1197,Reseller!G:H,2,0)</f>
        <v/>
      </c>
      <c r="C1197" t="inlineStr">
        <is>
          <t>ONLINE</t>
        </is>
      </c>
      <c r="G1197" s="34">
        <f>VLOOKUP(Table4[[#This Row],[AGEN ID]],Reseller!A:E,5,0)</f>
        <v/>
      </c>
    </row>
    <row r="1198">
      <c r="A1198" t="inlineStr">
        <is>
          <t>OP11531</t>
        </is>
      </c>
      <c r="B1198">
        <f>VLOOKUP(A1198,Reseller!G:H,2,0)</f>
        <v/>
      </c>
      <c r="C1198" t="inlineStr">
        <is>
          <t>ONLINE</t>
        </is>
      </c>
      <c r="G1198" s="34">
        <f>VLOOKUP(Table4[[#This Row],[AGEN ID]],Reseller!A:E,5,0)</f>
        <v/>
      </c>
    </row>
    <row r="1199">
      <c r="A1199" t="inlineStr">
        <is>
          <t>OP11532</t>
        </is>
      </c>
      <c r="B1199">
        <f>VLOOKUP(A1199,Reseller!G:H,2,0)</f>
        <v/>
      </c>
      <c r="C1199" t="inlineStr">
        <is>
          <t>ONLINE</t>
        </is>
      </c>
      <c r="G1199" s="34">
        <f>VLOOKUP(Table4[[#This Row],[AGEN ID]],Reseller!A:E,5,0)</f>
        <v/>
      </c>
    </row>
    <row r="1200">
      <c r="A1200" t="inlineStr">
        <is>
          <t>OP11572</t>
        </is>
      </c>
      <c r="B1200">
        <f>VLOOKUP(A1200,Reseller!G:H,2,0)</f>
        <v/>
      </c>
      <c r="C1200" t="inlineStr">
        <is>
          <t>ONLINE</t>
        </is>
      </c>
      <c r="G1200" s="34">
        <f>VLOOKUP(Table4[[#This Row],[AGEN ID]],Reseller!A:E,5,0)</f>
        <v/>
      </c>
    </row>
    <row r="1201">
      <c r="A1201" t="inlineStr">
        <is>
          <t>OP11585</t>
        </is>
      </c>
      <c r="B1201">
        <f>VLOOKUP(A1201,Reseller!G:H,2,0)</f>
        <v/>
      </c>
      <c r="C1201" t="inlineStr">
        <is>
          <t>ONLINE</t>
        </is>
      </c>
      <c r="G1201" s="34">
        <f>VLOOKUP(Table4[[#This Row],[AGEN ID]],Reseller!A:E,5,0)</f>
        <v/>
      </c>
    </row>
    <row r="1202">
      <c r="A1202" t="inlineStr">
        <is>
          <t>OP11592</t>
        </is>
      </c>
      <c r="B1202">
        <f>VLOOKUP(A1202,Reseller!G:H,2,0)</f>
        <v/>
      </c>
      <c r="C1202" t="inlineStr">
        <is>
          <t>ONLINE</t>
        </is>
      </c>
      <c r="G1202" s="34">
        <f>VLOOKUP(Table4[[#This Row],[AGEN ID]],Reseller!A:E,5,0)</f>
        <v/>
      </c>
    </row>
    <row r="1203">
      <c r="A1203" t="inlineStr">
        <is>
          <t>OP11594</t>
        </is>
      </c>
      <c r="B1203">
        <f>VLOOKUP(A1203,Reseller!G:H,2,0)</f>
        <v/>
      </c>
      <c r="C1203" t="inlineStr">
        <is>
          <t>ONLINE</t>
        </is>
      </c>
      <c r="G1203" s="34">
        <f>VLOOKUP(Table4[[#This Row],[AGEN ID]],Reseller!A:E,5,0)</f>
        <v/>
      </c>
    </row>
    <row r="1204">
      <c r="A1204" t="inlineStr">
        <is>
          <t>OP11603</t>
        </is>
      </c>
      <c r="B1204">
        <f>VLOOKUP(A1204,Reseller!G:H,2,0)</f>
        <v/>
      </c>
      <c r="C1204" t="inlineStr">
        <is>
          <t>ONLINE</t>
        </is>
      </c>
      <c r="G1204" s="34">
        <f>VLOOKUP(Table4[[#This Row],[AGEN ID]],Reseller!A:E,5,0)</f>
        <v/>
      </c>
    </row>
    <row r="1205">
      <c r="A1205" t="inlineStr">
        <is>
          <t>OP11619</t>
        </is>
      </c>
      <c r="B1205">
        <f>VLOOKUP(A1205,Reseller!G:H,2,0)</f>
        <v/>
      </c>
      <c r="C1205" t="inlineStr">
        <is>
          <t>ONLINE</t>
        </is>
      </c>
      <c r="G1205" s="34">
        <f>VLOOKUP(Table4[[#This Row],[AGEN ID]],Reseller!A:E,5,0)</f>
        <v/>
      </c>
    </row>
    <row r="1206">
      <c r="A1206" s="32" t="inlineStr">
        <is>
          <t>OP11622</t>
        </is>
      </c>
      <c r="B1206">
        <f>VLOOKUP(A1206,Reseller!G:H,2,0)</f>
        <v/>
      </c>
      <c r="C1206" t="inlineStr">
        <is>
          <t>ONLINE</t>
        </is>
      </c>
      <c r="G1206" s="34">
        <f>VLOOKUP(Table4[[#This Row],[AGEN ID]],Reseller!A:E,5,0)</f>
        <v/>
      </c>
    </row>
    <row r="1207">
      <c r="A1207" t="inlineStr">
        <is>
          <t>OP11636</t>
        </is>
      </c>
      <c r="B1207">
        <f>VLOOKUP(A1207,Reseller!G:H,2,0)</f>
        <v/>
      </c>
      <c r="C1207" t="inlineStr">
        <is>
          <t>ONLINE</t>
        </is>
      </c>
      <c r="G1207" s="34">
        <f>VLOOKUP(Table4[[#This Row],[AGEN ID]],Reseller!A:E,5,0)</f>
        <v/>
      </c>
    </row>
    <row r="1208">
      <c r="A1208" t="inlineStr">
        <is>
          <t>OP11639</t>
        </is>
      </c>
      <c r="B1208">
        <f>VLOOKUP(A1208,Reseller!G:H,2,0)</f>
        <v/>
      </c>
      <c r="C1208" t="inlineStr">
        <is>
          <t>ONLINE</t>
        </is>
      </c>
      <c r="G1208" s="34">
        <f>VLOOKUP(Table4[[#This Row],[AGEN ID]],Reseller!A:E,5,0)</f>
        <v/>
      </c>
    </row>
    <row r="1209">
      <c r="A1209" t="inlineStr">
        <is>
          <t>OP11651</t>
        </is>
      </c>
      <c r="B1209">
        <f>VLOOKUP(A1209,Reseller!G:H,2,0)</f>
        <v/>
      </c>
      <c r="C1209" t="inlineStr">
        <is>
          <t>ONLINE</t>
        </is>
      </c>
      <c r="G1209" s="34">
        <f>VLOOKUP(Table4[[#This Row],[AGEN ID]],Reseller!A:E,5,0)</f>
        <v/>
      </c>
    </row>
    <row r="1210">
      <c r="A1210" t="inlineStr">
        <is>
          <t>OP11682</t>
        </is>
      </c>
      <c r="B1210">
        <f>VLOOKUP(A1210,Reseller!G:H,2,0)</f>
        <v/>
      </c>
      <c r="C1210" t="inlineStr">
        <is>
          <t>ONLINE</t>
        </is>
      </c>
      <c r="G1210" s="34">
        <f>VLOOKUP(Table4[[#This Row],[AGEN ID]],Reseller!A:E,5,0)</f>
        <v/>
      </c>
    </row>
    <row r="1211">
      <c r="A1211" t="inlineStr">
        <is>
          <t>OP11683</t>
        </is>
      </c>
      <c r="B1211">
        <f>VLOOKUP(A1211,Reseller!G:H,2,0)</f>
        <v/>
      </c>
      <c r="C1211" t="inlineStr">
        <is>
          <t>ONLINE</t>
        </is>
      </c>
      <c r="G1211" s="34">
        <f>VLOOKUP(Table4[[#This Row],[AGEN ID]],Reseller!A:E,5,0)</f>
        <v/>
      </c>
    </row>
    <row r="1212">
      <c r="A1212" t="inlineStr">
        <is>
          <t>OP11686</t>
        </is>
      </c>
      <c r="B1212">
        <f>VLOOKUP(A1212,Reseller!G:H,2,0)</f>
        <v/>
      </c>
      <c r="C1212" t="inlineStr">
        <is>
          <t>ONLINE</t>
        </is>
      </c>
      <c r="G1212" s="34">
        <f>VLOOKUP(Table4[[#This Row],[AGEN ID]],Reseller!A:E,5,0)</f>
        <v/>
      </c>
    </row>
    <row r="1213">
      <c r="A1213" t="inlineStr">
        <is>
          <t>OP11698</t>
        </is>
      </c>
      <c r="B1213">
        <f>VLOOKUP(A1213,Reseller!G:H,2,0)</f>
        <v/>
      </c>
      <c r="C1213" t="inlineStr">
        <is>
          <t>ONLINE</t>
        </is>
      </c>
      <c r="G1213" s="34">
        <f>VLOOKUP(Table4[[#This Row],[AGEN ID]],Reseller!A:E,5,0)</f>
        <v/>
      </c>
    </row>
    <row r="1214">
      <c r="A1214" t="inlineStr">
        <is>
          <t>OP11755</t>
        </is>
      </c>
      <c r="B1214">
        <f>VLOOKUP(A1214,Reseller!G:H,2,0)</f>
        <v/>
      </c>
      <c r="C1214" t="inlineStr">
        <is>
          <t>ONLINE</t>
        </is>
      </c>
      <c r="G1214" s="34">
        <f>VLOOKUP(Table4[[#This Row],[AGEN ID]],Reseller!A:E,5,0)</f>
        <v/>
      </c>
    </row>
    <row r="1215">
      <c r="A1215" t="inlineStr">
        <is>
          <t>OP11776</t>
        </is>
      </c>
      <c r="B1215">
        <f>VLOOKUP(A1215,Reseller!G:H,2,0)</f>
        <v/>
      </c>
      <c r="C1215" t="inlineStr">
        <is>
          <t>ONLINE</t>
        </is>
      </c>
      <c r="G1215" s="34">
        <f>VLOOKUP(Table4[[#This Row],[AGEN ID]],Reseller!A:E,5,0)</f>
        <v/>
      </c>
    </row>
    <row r="1216">
      <c r="A1216" t="inlineStr">
        <is>
          <t>OP11778</t>
        </is>
      </c>
      <c r="B1216">
        <f>VLOOKUP(A1216,Reseller!G:H,2,0)</f>
        <v/>
      </c>
      <c r="C1216" t="inlineStr">
        <is>
          <t>ONLINE</t>
        </is>
      </c>
      <c r="G1216" s="34">
        <f>VLOOKUP(Table4[[#This Row],[AGEN ID]],Reseller!A:E,5,0)</f>
        <v/>
      </c>
    </row>
    <row r="1217">
      <c r="A1217" t="inlineStr">
        <is>
          <t>OP11783</t>
        </is>
      </c>
      <c r="B1217">
        <f>VLOOKUP(A1217,Reseller!G:H,2,0)</f>
        <v/>
      </c>
      <c r="C1217" t="inlineStr">
        <is>
          <t>ONLINE</t>
        </is>
      </c>
      <c r="G1217" s="34">
        <f>VLOOKUP(Table4[[#This Row],[AGEN ID]],Reseller!A:E,5,0)</f>
        <v/>
      </c>
    </row>
    <row r="1218">
      <c r="A1218" t="inlineStr">
        <is>
          <t>OP11786</t>
        </is>
      </c>
      <c r="B1218">
        <f>VLOOKUP(A1218,Reseller!G:H,2,0)</f>
        <v/>
      </c>
      <c r="C1218" t="inlineStr">
        <is>
          <t>ONLINE</t>
        </is>
      </c>
      <c r="G1218" s="34">
        <f>VLOOKUP(Table4[[#This Row],[AGEN ID]],Reseller!A:E,5,0)</f>
        <v/>
      </c>
    </row>
    <row r="1219">
      <c r="A1219" t="inlineStr">
        <is>
          <t>OP11804</t>
        </is>
      </c>
      <c r="B1219">
        <f>VLOOKUP(A1219,Reseller!G:H,2,0)</f>
        <v/>
      </c>
      <c r="C1219" t="inlineStr">
        <is>
          <t>ONLINE</t>
        </is>
      </c>
      <c r="G1219" s="34">
        <f>VLOOKUP(Table4[[#This Row],[AGEN ID]],Reseller!A:E,5,0)</f>
        <v/>
      </c>
    </row>
    <row r="1220">
      <c r="A1220" t="inlineStr">
        <is>
          <t>OP11810</t>
        </is>
      </c>
      <c r="B1220">
        <f>VLOOKUP(A1220,Reseller!G:H,2,0)</f>
        <v/>
      </c>
      <c r="C1220" t="inlineStr">
        <is>
          <t>ONLINE</t>
        </is>
      </c>
      <c r="G1220" s="34">
        <f>VLOOKUP(Table4[[#This Row],[AGEN ID]],Reseller!A:E,5,0)</f>
        <v/>
      </c>
    </row>
    <row r="1221">
      <c r="A1221" t="inlineStr">
        <is>
          <t>OP11818</t>
        </is>
      </c>
      <c r="B1221">
        <f>VLOOKUP(A1221,Reseller!G:H,2,0)</f>
        <v/>
      </c>
      <c r="C1221" t="inlineStr">
        <is>
          <t>ONLINE</t>
        </is>
      </c>
      <c r="G1221" s="34">
        <f>VLOOKUP(Table4[[#This Row],[AGEN ID]],Reseller!A:E,5,0)</f>
        <v/>
      </c>
    </row>
    <row r="1222">
      <c r="A1222" t="inlineStr">
        <is>
          <t>OP11830</t>
        </is>
      </c>
      <c r="B1222">
        <f>VLOOKUP(A1222,Reseller!G:H,2,0)</f>
        <v/>
      </c>
      <c r="C1222" t="inlineStr">
        <is>
          <t>ONLINE</t>
        </is>
      </c>
      <c r="G1222" s="34">
        <f>VLOOKUP(Table4[[#This Row],[AGEN ID]],Reseller!A:E,5,0)</f>
        <v/>
      </c>
    </row>
    <row r="1223">
      <c r="A1223" t="inlineStr">
        <is>
          <t>OP11862</t>
        </is>
      </c>
      <c r="B1223">
        <f>VLOOKUP(A1223,Reseller!G:H,2,0)</f>
        <v/>
      </c>
      <c r="C1223" t="inlineStr">
        <is>
          <t>ONLINE</t>
        </is>
      </c>
      <c r="G1223" s="34">
        <f>VLOOKUP(Table4[[#This Row],[AGEN ID]],Reseller!A:E,5,0)</f>
        <v/>
      </c>
    </row>
    <row r="1224">
      <c r="A1224" t="inlineStr">
        <is>
          <t>OP11875</t>
        </is>
      </c>
      <c r="B1224">
        <f>VLOOKUP(A1224,Reseller!G:H,2,0)</f>
        <v/>
      </c>
      <c r="C1224" t="inlineStr">
        <is>
          <t>ONLINE</t>
        </is>
      </c>
      <c r="G1224" s="34">
        <f>VLOOKUP(Table4[[#This Row],[AGEN ID]],Reseller!A:E,5,0)</f>
        <v/>
      </c>
    </row>
    <row r="1225">
      <c r="A1225" s="32" t="inlineStr">
        <is>
          <t>OP11879</t>
        </is>
      </c>
      <c r="B1225">
        <f>VLOOKUP(A1225,Reseller!G:H,2,0)</f>
        <v/>
      </c>
      <c r="C1225" t="inlineStr">
        <is>
          <t>ONLINE</t>
        </is>
      </c>
      <c r="G1225" s="34">
        <f>VLOOKUP(Table4[[#This Row],[AGEN ID]],Reseller!A:E,5,0)</f>
        <v/>
      </c>
    </row>
    <row r="1226">
      <c r="A1226" t="inlineStr">
        <is>
          <t>OP11886</t>
        </is>
      </c>
      <c r="B1226">
        <f>VLOOKUP(A1226,Reseller!G:H,2,0)</f>
        <v/>
      </c>
      <c r="C1226" t="inlineStr">
        <is>
          <t>ONLINE</t>
        </is>
      </c>
      <c r="G1226" s="34">
        <f>VLOOKUP(Table4[[#This Row],[AGEN ID]],Reseller!A:E,5,0)</f>
        <v/>
      </c>
    </row>
    <row r="1227">
      <c r="A1227" t="inlineStr">
        <is>
          <t>OP11903</t>
        </is>
      </c>
      <c r="B1227">
        <f>VLOOKUP(A1227,Reseller!G:H,2,0)</f>
        <v/>
      </c>
      <c r="C1227" t="inlineStr">
        <is>
          <t>ONLINE</t>
        </is>
      </c>
      <c r="G1227" s="34">
        <f>VLOOKUP(Table4[[#This Row],[AGEN ID]],Reseller!A:E,5,0)</f>
        <v/>
      </c>
    </row>
    <row r="1228">
      <c r="A1228" t="inlineStr">
        <is>
          <t>OP11929</t>
        </is>
      </c>
      <c r="B1228">
        <f>VLOOKUP(A1228,Reseller!G:H,2,0)</f>
        <v/>
      </c>
      <c r="C1228" t="inlineStr">
        <is>
          <t>ONLINE</t>
        </is>
      </c>
      <c r="G1228" s="34">
        <f>VLOOKUP(Table4[[#This Row],[AGEN ID]],Reseller!A:E,5,0)</f>
        <v/>
      </c>
    </row>
    <row r="1229">
      <c r="A1229" t="inlineStr">
        <is>
          <t>OP11969</t>
        </is>
      </c>
      <c r="B1229">
        <f>VLOOKUP(A1229,Reseller!G:H,2,0)</f>
        <v/>
      </c>
      <c r="C1229" t="inlineStr">
        <is>
          <t>ONLINE</t>
        </is>
      </c>
      <c r="G1229" s="34">
        <f>VLOOKUP(Table4[[#This Row],[AGEN ID]],Reseller!A:E,5,0)</f>
        <v/>
      </c>
    </row>
    <row r="1230">
      <c r="A1230" t="inlineStr">
        <is>
          <t>OP11978</t>
        </is>
      </c>
      <c r="B1230">
        <f>VLOOKUP(A1230,Reseller!G:H,2,0)</f>
        <v/>
      </c>
      <c r="C1230" t="inlineStr">
        <is>
          <t>ONLINE</t>
        </is>
      </c>
      <c r="G1230" s="34">
        <f>VLOOKUP(Table4[[#This Row],[AGEN ID]],Reseller!A:E,5,0)</f>
        <v/>
      </c>
    </row>
    <row r="1231">
      <c r="A1231" t="inlineStr">
        <is>
          <t>OP12014</t>
        </is>
      </c>
      <c r="B1231">
        <f>VLOOKUP(A1231,Reseller!G:H,2,0)</f>
        <v/>
      </c>
      <c r="C1231" t="inlineStr">
        <is>
          <t>ONLINE</t>
        </is>
      </c>
      <c r="G1231" s="34">
        <f>VLOOKUP(Table4[[#This Row],[AGEN ID]],Reseller!A:E,5,0)</f>
        <v/>
      </c>
    </row>
    <row r="1232">
      <c r="A1232" t="inlineStr">
        <is>
          <t>OP12035</t>
        </is>
      </c>
      <c r="B1232">
        <f>VLOOKUP(A1232,Reseller!G:H,2,0)</f>
        <v/>
      </c>
      <c r="C1232" t="inlineStr">
        <is>
          <t>ONLINE</t>
        </is>
      </c>
      <c r="G1232" s="34">
        <f>VLOOKUP(Table4[[#This Row],[AGEN ID]],Reseller!A:E,5,0)</f>
        <v/>
      </c>
    </row>
    <row r="1233">
      <c r="A1233" t="inlineStr">
        <is>
          <t>OP12041</t>
        </is>
      </c>
      <c r="B1233">
        <f>VLOOKUP(A1233,Reseller!G:H,2,0)</f>
        <v/>
      </c>
      <c r="C1233" t="inlineStr">
        <is>
          <t>ONLINE</t>
        </is>
      </c>
      <c r="G1233" s="34">
        <f>VLOOKUP(Table4[[#This Row],[AGEN ID]],Reseller!A:E,5,0)</f>
        <v/>
      </c>
    </row>
    <row r="1234">
      <c r="A1234" t="inlineStr">
        <is>
          <t>OP12048</t>
        </is>
      </c>
      <c r="B1234">
        <f>VLOOKUP(A1234,Reseller!G:H,2,0)</f>
        <v/>
      </c>
      <c r="C1234" t="inlineStr">
        <is>
          <t>ONLINE</t>
        </is>
      </c>
      <c r="G1234" s="34">
        <f>VLOOKUP(Table4[[#This Row],[AGEN ID]],Reseller!A:E,5,0)</f>
        <v/>
      </c>
    </row>
    <row r="1235">
      <c r="A1235" t="inlineStr">
        <is>
          <t>OP12049</t>
        </is>
      </c>
      <c r="B1235">
        <f>VLOOKUP(A1235,Reseller!G:H,2,0)</f>
        <v/>
      </c>
      <c r="C1235" t="inlineStr">
        <is>
          <t>ONLINE</t>
        </is>
      </c>
      <c r="G1235" s="34">
        <f>VLOOKUP(Table4[[#This Row],[AGEN ID]],Reseller!A:E,5,0)</f>
        <v/>
      </c>
    </row>
    <row r="1236">
      <c r="A1236" t="inlineStr">
        <is>
          <t>OP12050</t>
        </is>
      </c>
      <c r="B1236">
        <f>VLOOKUP(A1236,Reseller!G:H,2,0)</f>
        <v/>
      </c>
      <c r="C1236" t="inlineStr">
        <is>
          <t>ONLINE</t>
        </is>
      </c>
      <c r="G1236" s="34">
        <f>VLOOKUP(Table4[[#This Row],[AGEN ID]],Reseller!A:E,5,0)</f>
        <v/>
      </c>
    </row>
    <row r="1237">
      <c r="A1237" t="inlineStr">
        <is>
          <t>OP12088</t>
        </is>
      </c>
      <c r="B1237">
        <f>VLOOKUP(A1237,Reseller!G:H,2,0)</f>
        <v/>
      </c>
      <c r="C1237" t="inlineStr">
        <is>
          <t>ONLINE</t>
        </is>
      </c>
      <c r="G1237" s="34">
        <f>VLOOKUP(Table4[[#This Row],[AGEN ID]],Reseller!A:E,5,0)</f>
        <v/>
      </c>
    </row>
    <row r="1238">
      <c r="A1238" t="inlineStr">
        <is>
          <t>OP12089</t>
        </is>
      </c>
      <c r="B1238">
        <f>VLOOKUP(A1238,Reseller!G:H,2,0)</f>
        <v/>
      </c>
      <c r="C1238" t="inlineStr">
        <is>
          <t>ONLINE</t>
        </is>
      </c>
      <c r="G1238" s="34">
        <f>VLOOKUP(Table4[[#This Row],[AGEN ID]],Reseller!A:E,5,0)</f>
        <v/>
      </c>
    </row>
    <row r="1239">
      <c r="A1239" t="inlineStr">
        <is>
          <t>OP12101</t>
        </is>
      </c>
      <c r="B1239">
        <f>VLOOKUP(A1239,Reseller!G:H,2,0)</f>
        <v/>
      </c>
      <c r="C1239" t="inlineStr">
        <is>
          <t>ONLINE</t>
        </is>
      </c>
      <c r="G1239" s="34">
        <f>VLOOKUP(Table4[[#This Row],[AGEN ID]],Reseller!A:E,5,0)</f>
        <v/>
      </c>
    </row>
    <row r="1240">
      <c r="A1240" t="inlineStr">
        <is>
          <t>OP12106</t>
        </is>
      </c>
      <c r="B1240">
        <f>VLOOKUP(A1240,Reseller!G:H,2,0)</f>
        <v/>
      </c>
      <c r="C1240" t="inlineStr">
        <is>
          <t>ONLINE</t>
        </is>
      </c>
      <c r="G1240" s="34">
        <f>VLOOKUP(Table4[[#This Row],[AGEN ID]],Reseller!A:E,5,0)</f>
        <v/>
      </c>
    </row>
    <row r="1241">
      <c r="A1241" t="inlineStr">
        <is>
          <t>OP12112</t>
        </is>
      </c>
      <c r="B1241">
        <f>VLOOKUP(A1241,Reseller!G:H,2,0)</f>
        <v/>
      </c>
      <c r="C1241" t="inlineStr">
        <is>
          <t>ONLINE</t>
        </is>
      </c>
      <c r="G1241" s="34">
        <f>VLOOKUP(Table4[[#This Row],[AGEN ID]],Reseller!A:E,5,0)</f>
        <v/>
      </c>
    </row>
    <row r="1242">
      <c r="A1242" t="inlineStr">
        <is>
          <t>OP12147</t>
        </is>
      </c>
      <c r="B1242">
        <f>VLOOKUP(A1242,Reseller!G:H,2,0)</f>
        <v/>
      </c>
      <c r="C1242" t="inlineStr">
        <is>
          <t>ONLINE</t>
        </is>
      </c>
      <c r="G1242" s="34">
        <f>VLOOKUP(Table4[[#This Row],[AGEN ID]],Reseller!A:E,5,0)</f>
        <v/>
      </c>
    </row>
    <row r="1243">
      <c r="A1243" t="inlineStr">
        <is>
          <t>OP12218</t>
        </is>
      </c>
      <c r="B1243">
        <f>VLOOKUP(A1243,Reseller!G:H,2,0)</f>
        <v/>
      </c>
      <c r="C1243" t="inlineStr">
        <is>
          <t>ONLINE</t>
        </is>
      </c>
      <c r="G1243" s="34">
        <f>VLOOKUP(Table4[[#This Row],[AGEN ID]],Reseller!A:E,5,0)</f>
        <v/>
      </c>
    </row>
    <row r="1244">
      <c r="A1244" t="inlineStr">
        <is>
          <t>OP12236</t>
        </is>
      </c>
      <c r="B1244">
        <f>VLOOKUP(A1244,Reseller!G:H,2,0)</f>
        <v/>
      </c>
      <c r="C1244" t="inlineStr">
        <is>
          <t>ONLINE</t>
        </is>
      </c>
      <c r="G1244" s="34">
        <f>VLOOKUP(Table4[[#This Row],[AGEN ID]],Reseller!A:E,5,0)</f>
        <v/>
      </c>
    </row>
    <row r="1245">
      <c r="A1245" t="inlineStr">
        <is>
          <t>OP12259</t>
        </is>
      </c>
      <c r="B1245">
        <f>VLOOKUP(A1245,Reseller!G:H,2,0)</f>
        <v/>
      </c>
      <c r="C1245" t="inlineStr">
        <is>
          <t>ONLINE</t>
        </is>
      </c>
      <c r="G1245" s="34">
        <f>VLOOKUP(Table4[[#This Row],[AGEN ID]],Reseller!A:E,5,0)</f>
        <v/>
      </c>
    </row>
    <row r="1246">
      <c r="A1246" t="inlineStr">
        <is>
          <t>OP12270</t>
        </is>
      </c>
      <c r="B1246">
        <f>VLOOKUP(A1246,Reseller!G:H,2,0)</f>
        <v/>
      </c>
      <c r="C1246" t="inlineStr">
        <is>
          <t>ONLINE</t>
        </is>
      </c>
      <c r="G1246" s="34">
        <f>VLOOKUP(Table4[[#This Row],[AGEN ID]],Reseller!A:E,5,0)</f>
        <v/>
      </c>
    </row>
    <row r="1247">
      <c r="A1247" t="inlineStr">
        <is>
          <t>OP12293</t>
        </is>
      </c>
      <c r="B1247">
        <f>VLOOKUP(A1247,Reseller!G:H,2,0)</f>
        <v/>
      </c>
      <c r="C1247" t="inlineStr">
        <is>
          <t>ONLINE</t>
        </is>
      </c>
      <c r="G1247" s="34">
        <f>VLOOKUP(Table4[[#This Row],[AGEN ID]],Reseller!A:E,5,0)</f>
        <v/>
      </c>
    </row>
    <row r="1248">
      <c r="A1248" t="inlineStr">
        <is>
          <t>OP12318</t>
        </is>
      </c>
      <c r="B1248">
        <f>VLOOKUP(A1248,Reseller!G:H,2,0)</f>
        <v/>
      </c>
      <c r="C1248" t="inlineStr">
        <is>
          <t>ONLINE</t>
        </is>
      </c>
      <c r="G1248" s="34">
        <f>VLOOKUP(Table4[[#This Row],[AGEN ID]],Reseller!A:E,5,0)</f>
        <v/>
      </c>
    </row>
    <row r="1249">
      <c r="A1249" t="inlineStr">
        <is>
          <t>OP12329</t>
        </is>
      </c>
      <c r="B1249">
        <f>VLOOKUP(A1249,Reseller!G:H,2,0)</f>
        <v/>
      </c>
      <c r="C1249" t="inlineStr">
        <is>
          <t>ONLINE</t>
        </is>
      </c>
      <c r="G1249" s="34">
        <f>VLOOKUP(Table4[[#This Row],[AGEN ID]],Reseller!A:E,5,0)</f>
        <v/>
      </c>
    </row>
    <row r="1250">
      <c r="A1250" t="inlineStr">
        <is>
          <t>OP12346</t>
        </is>
      </c>
      <c r="B1250">
        <f>VLOOKUP(A1250,Reseller!G:H,2,0)</f>
        <v/>
      </c>
      <c r="C1250" t="inlineStr">
        <is>
          <t>ONLINE</t>
        </is>
      </c>
      <c r="G1250" s="34">
        <f>VLOOKUP(Table4[[#This Row],[AGEN ID]],Reseller!A:E,5,0)</f>
        <v/>
      </c>
    </row>
    <row r="1251">
      <c r="A1251" t="inlineStr">
        <is>
          <t>OP12377</t>
        </is>
      </c>
      <c r="B1251">
        <f>VLOOKUP(A1251,Reseller!G:H,2,0)</f>
        <v/>
      </c>
      <c r="C1251" t="inlineStr">
        <is>
          <t>ONLINE</t>
        </is>
      </c>
      <c r="G1251" s="34">
        <f>VLOOKUP(Table4[[#This Row],[AGEN ID]],Reseller!A:E,5,0)</f>
        <v/>
      </c>
    </row>
    <row r="1252">
      <c r="A1252" t="inlineStr">
        <is>
          <t>OP12381</t>
        </is>
      </c>
      <c r="B1252">
        <f>VLOOKUP(A1252,Reseller!G:H,2,0)</f>
        <v/>
      </c>
      <c r="C1252" t="inlineStr">
        <is>
          <t>ONLINE</t>
        </is>
      </c>
      <c r="G1252" s="34">
        <f>VLOOKUP(Table4[[#This Row],[AGEN ID]],Reseller!A:E,5,0)</f>
        <v/>
      </c>
    </row>
    <row r="1253">
      <c r="A1253" t="inlineStr">
        <is>
          <t>OP12387</t>
        </is>
      </c>
      <c r="B1253">
        <f>VLOOKUP(A1253,Reseller!G:H,2,0)</f>
        <v/>
      </c>
      <c r="C1253" t="inlineStr">
        <is>
          <t>ONLINE</t>
        </is>
      </c>
      <c r="G1253" s="34">
        <f>VLOOKUP(Table4[[#This Row],[AGEN ID]],Reseller!A:E,5,0)</f>
        <v/>
      </c>
    </row>
    <row r="1254">
      <c r="A1254" t="inlineStr">
        <is>
          <t>OP12422</t>
        </is>
      </c>
      <c r="B1254">
        <f>VLOOKUP(A1254,Reseller!G:H,2,0)</f>
        <v/>
      </c>
      <c r="C1254" t="inlineStr">
        <is>
          <t>ONLINE</t>
        </is>
      </c>
      <c r="G1254" s="34">
        <f>VLOOKUP(Table4[[#This Row],[AGEN ID]],Reseller!A:E,5,0)</f>
        <v/>
      </c>
    </row>
    <row r="1255">
      <c r="A1255" t="inlineStr">
        <is>
          <t>OP12433</t>
        </is>
      </c>
      <c r="B1255">
        <f>VLOOKUP(A1255,Reseller!G:H,2,0)</f>
        <v/>
      </c>
      <c r="C1255" t="inlineStr">
        <is>
          <t>ONLINE</t>
        </is>
      </c>
      <c r="G1255" s="34">
        <f>VLOOKUP(Table4[[#This Row],[AGEN ID]],Reseller!A:E,5,0)</f>
        <v/>
      </c>
    </row>
    <row r="1256">
      <c r="A1256" t="inlineStr">
        <is>
          <t>OP12467</t>
        </is>
      </c>
      <c r="B1256">
        <f>VLOOKUP(A1256,Reseller!G:H,2,0)</f>
        <v/>
      </c>
      <c r="C1256" t="inlineStr">
        <is>
          <t>ONLINE</t>
        </is>
      </c>
      <c r="G1256" s="34">
        <f>VLOOKUP(Table4[[#This Row],[AGEN ID]],Reseller!A:E,5,0)</f>
        <v/>
      </c>
    </row>
    <row r="1257">
      <c r="A1257" t="inlineStr">
        <is>
          <t>OP12484</t>
        </is>
      </c>
      <c r="B1257">
        <f>VLOOKUP(A1257,Reseller!G:H,2,0)</f>
        <v/>
      </c>
      <c r="C1257" t="inlineStr">
        <is>
          <t>ONLINE</t>
        </is>
      </c>
      <c r="G1257" s="34">
        <f>VLOOKUP(Table4[[#This Row],[AGEN ID]],Reseller!A:E,5,0)</f>
        <v/>
      </c>
    </row>
    <row r="1258">
      <c r="A1258" t="inlineStr">
        <is>
          <t>OP12486</t>
        </is>
      </c>
      <c r="B1258">
        <f>VLOOKUP(A1258,Reseller!G:H,2,0)</f>
        <v/>
      </c>
      <c r="C1258" t="inlineStr">
        <is>
          <t>ONLINE</t>
        </is>
      </c>
      <c r="G1258" s="34">
        <f>VLOOKUP(Table4[[#This Row],[AGEN ID]],Reseller!A:E,5,0)</f>
        <v/>
      </c>
    </row>
    <row r="1259">
      <c r="A1259" t="inlineStr">
        <is>
          <t>OP12506</t>
        </is>
      </c>
      <c r="B1259">
        <f>VLOOKUP(A1259,Reseller!G:H,2,0)</f>
        <v/>
      </c>
      <c r="C1259" t="inlineStr">
        <is>
          <t>ONLINE</t>
        </is>
      </c>
      <c r="G1259" s="34">
        <f>VLOOKUP(Table4[[#This Row],[AGEN ID]],Reseller!A:E,5,0)</f>
        <v/>
      </c>
    </row>
    <row r="1260">
      <c r="A1260" t="inlineStr">
        <is>
          <t>OP12510</t>
        </is>
      </c>
      <c r="B1260">
        <f>VLOOKUP(A1260,Reseller!G:H,2,0)</f>
        <v/>
      </c>
      <c r="C1260" t="inlineStr">
        <is>
          <t>ONLINE</t>
        </is>
      </c>
      <c r="G1260" s="34">
        <f>VLOOKUP(Table4[[#This Row],[AGEN ID]],Reseller!A:E,5,0)</f>
        <v/>
      </c>
    </row>
    <row r="1261">
      <c r="A1261" t="inlineStr">
        <is>
          <t>OP12514</t>
        </is>
      </c>
      <c r="B1261">
        <f>VLOOKUP(A1261,Reseller!G:H,2,0)</f>
        <v/>
      </c>
      <c r="C1261" t="inlineStr">
        <is>
          <t>ONLINE</t>
        </is>
      </c>
      <c r="G1261" s="34">
        <f>VLOOKUP(Table4[[#This Row],[AGEN ID]],Reseller!A:E,5,0)</f>
        <v/>
      </c>
    </row>
    <row r="1262">
      <c r="A1262" t="inlineStr">
        <is>
          <t>OP12522</t>
        </is>
      </c>
      <c r="B1262">
        <f>VLOOKUP(A1262,Reseller!G:H,2,0)</f>
        <v/>
      </c>
      <c r="C1262" t="inlineStr">
        <is>
          <t>ONLINE</t>
        </is>
      </c>
      <c r="G1262" s="34">
        <f>VLOOKUP(Table4[[#This Row],[AGEN ID]],Reseller!A:E,5,0)</f>
        <v/>
      </c>
    </row>
    <row r="1263">
      <c r="A1263" t="inlineStr">
        <is>
          <t>OP12545</t>
        </is>
      </c>
      <c r="B1263">
        <f>VLOOKUP(A1263,Reseller!G:H,2,0)</f>
        <v/>
      </c>
      <c r="C1263" t="inlineStr">
        <is>
          <t>ONLINE</t>
        </is>
      </c>
      <c r="G1263" s="34">
        <f>VLOOKUP(Table4[[#This Row],[AGEN ID]],Reseller!A:E,5,0)</f>
        <v/>
      </c>
    </row>
    <row r="1264">
      <c r="A1264" t="inlineStr">
        <is>
          <t>OP12562</t>
        </is>
      </c>
      <c r="B1264">
        <f>VLOOKUP(A1264,Reseller!G:H,2,0)</f>
        <v/>
      </c>
      <c r="C1264" t="inlineStr">
        <is>
          <t>ONLINE</t>
        </is>
      </c>
      <c r="G1264" s="34">
        <f>VLOOKUP(Table4[[#This Row],[AGEN ID]],Reseller!A:E,5,0)</f>
        <v/>
      </c>
    </row>
    <row r="1265">
      <c r="A1265" t="inlineStr">
        <is>
          <t>OP12584</t>
        </is>
      </c>
      <c r="B1265">
        <f>VLOOKUP(A1265,Reseller!G:H,2,0)</f>
        <v/>
      </c>
      <c r="C1265" t="inlineStr">
        <is>
          <t>ONLINE</t>
        </is>
      </c>
      <c r="G1265" s="34">
        <f>VLOOKUP(Table4[[#This Row],[AGEN ID]],Reseller!A:E,5,0)</f>
        <v/>
      </c>
    </row>
    <row r="1266">
      <c r="A1266" t="inlineStr">
        <is>
          <t>OP12602</t>
        </is>
      </c>
      <c r="B1266">
        <f>VLOOKUP(A1266,Reseller!G:H,2,0)</f>
        <v/>
      </c>
      <c r="C1266" t="inlineStr">
        <is>
          <t>ONLINE</t>
        </is>
      </c>
      <c r="G1266" s="34">
        <f>VLOOKUP(Table4[[#This Row],[AGEN ID]],Reseller!A:E,5,0)</f>
        <v/>
      </c>
    </row>
    <row r="1267">
      <c r="A1267" t="inlineStr">
        <is>
          <t>OP12628</t>
        </is>
      </c>
      <c r="B1267">
        <f>VLOOKUP(A1267,Reseller!G:H,2,0)</f>
        <v/>
      </c>
      <c r="C1267" t="inlineStr">
        <is>
          <t>ONLINE</t>
        </is>
      </c>
      <c r="G1267" s="34">
        <f>VLOOKUP(Table4[[#This Row],[AGEN ID]],Reseller!A:E,5,0)</f>
        <v/>
      </c>
    </row>
    <row r="1268">
      <c r="A1268" t="inlineStr">
        <is>
          <t>OP12629</t>
        </is>
      </c>
      <c r="B1268">
        <f>VLOOKUP(A1268,Reseller!G:H,2,0)</f>
        <v/>
      </c>
      <c r="C1268" t="inlineStr">
        <is>
          <t>ONLINE</t>
        </is>
      </c>
      <c r="G1268" s="34">
        <f>VLOOKUP(Table4[[#This Row],[AGEN ID]],Reseller!A:E,5,0)</f>
        <v/>
      </c>
    </row>
    <row r="1269">
      <c r="A1269" t="inlineStr">
        <is>
          <t>OP12641</t>
        </is>
      </c>
      <c r="B1269">
        <f>VLOOKUP(A1269,Reseller!G:H,2,0)</f>
        <v/>
      </c>
      <c r="C1269" t="inlineStr">
        <is>
          <t>ONLINE</t>
        </is>
      </c>
      <c r="G1269" s="34">
        <f>VLOOKUP(Table4[[#This Row],[AGEN ID]],Reseller!A:E,5,0)</f>
        <v/>
      </c>
    </row>
    <row r="1270">
      <c r="A1270" t="inlineStr">
        <is>
          <t>OP12683</t>
        </is>
      </c>
      <c r="B1270">
        <f>VLOOKUP(A1270,Reseller!G:H,2,0)</f>
        <v/>
      </c>
      <c r="C1270" t="inlineStr">
        <is>
          <t>ONLINE</t>
        </is>
      </c>
      <c r="G1270" s="34">
        <f>VLOOKUP(Table4[[#This Row],[AGEN ID]],Reseller!A:E,5,0)</f>
        <v/>
      </c>
    </row>
    <row r="1271">
      <c r="A1271" t="inlineStr">
        <is>
          <t>OP12689</t>
        </is>
      </c>
      <c r="B1271">
        <f>VLOOKUP(A1271,Reseller!G:H,2,0)</f>
        <v/>
      </c>
      <c r="C1271" t="inlineStr">
        <is>
          <t>ONLINE</t>
        </is>
      </c>
      <c r="G1271" s="34">
        <f>VLOOKUP(Table4[[#This Row],[AGEN ID]],Reseller!A:E,5,0)</f>
        <v/>
      </c>
    </row>
    <row r="1272">
      <c r="A1272" t="inlineStr">
        <is>
          <t>OP12713</t>
        </is>
      </c>
      <c r="B1272">
        <f>VLOOKUP(A1272,Reseller!G:H,2,0)</f>
        <v/>
      </c>
      <c r="C1272" t="inlineStr">
        <is>
          <t>ONLINE</t>
        </is>
      </c>
      <c r="G1272" s="34">
        <f>VLOOKUP(Table4[[#This Row],[AGEN ID]],Reseller!A:E,5,0)</f>
        <v/>
      </c>
    </row>
    <row r="1273">
      <c r="A1273" t="inlineStr">
        <is>
          <t>OP12755</t>
        </is>
      </c>
      <c r="B1273">
        <f>VLOOKUP(A1273,Reseller!G:H,2,0)</f>
        <v/>
      </c>
      <c r="C1273" t="inlineStr">
        <is>
          <t>ONLINE</t>
        </is>
      </c>
      <c r="G1273" s="34">
        <f>VLOOKUP(Table4[[#This Row],[AGEN ID]],Reseller!A:E,5,0)</f>
        <v/>
      </c>
    </row>
    <row r="1274">
      <c r="A1274" t="inlineStr">
        <is>
          <t>OP12771</t>
        </is>
      </c>
      <c r="B1274">
        <f>VLOOKUP(A1274,Reseller!G:H,2,0)</f>
        <v/>
      </c>
      <c r="C1274" t="inlineStr">
        <is>
          <t>ONLINE</t>
        </is>
      </c>
      <c r="G1274" s="34">
        <f>VLOOKUP(Table4[[#This Row],[AGEN ID]],Reseller!A:E,5,0)</f>
        <v/>
      </c>
    </row>
    <row r="1275">
      <c r="A1275" t="inlineStr">
        <is>
          <t>OP12805</t>
        </is>
      </c>
      <c r="B1275">
        <f>VLOOKUP(A1275,Reseller!G:H,2,0)</f>
        <v/>
      </c>
      <c r="C1275" t="inlineStr">
        <is>
          <t>ONLINE</t>
        </is>
      </c>
      <c r="G1275" s="34">
        <f>VLOOKUP(Table4[[#This Row],[AGEN ID]],Reseller!A:E,5,0)</f>
        <v/>
      </c>
    </row>
    <row r="1276">
      <c r="A1276" t="inlineStr">
        <is>
          <t>OP12811</t>
        </is>
      </c>
      <c r="B1276">
        <f>VLOOKUP(A1276,Reseller!G:H,2,0)</f>
        <v/>
      </c>
      <c r="C1276" t="inlineStr">
        <is>
          <t>ONLINE</t>
        </is>
      </c>
      <c r="G1276" s="34">
        <f>VLOOKUP(Table4[[#This Row],[AGEN ID]],Reseller!A:E,5,0)</f>
        <v/>
      </c>
    </row>
    <row r="1277">
      <c r="A1277" t="inlineStr">
        <is>
          <t>OP12821</t>
        </is>
      </c>
      <c r="B1277">
        <f>VLOOKUP(A1277,Reseller!G:H,2,0)</f>
        <v/>
      </c>
      <c r="C1277" t="inlineStr">
        <is>
          <t>ONLINE</t>
        </is>
      </c>
      <c r="G1277" s="34">
        <f>VLOOKUP(Table4[[#This Row],[AGEN ID]],Reseller!A:E,5,0)</f>
        <v/>
      </c>
    </row>
    <row r="1278">
      <c r="A1278" t="inlineStr">
        <is>
          <t>OP12838</t>
        </is>
      </c>
      <c r="B1278">
        <f>VLOOKUP(A1278,Reseller!G:H,2,0)</f>
        <v/>
      </c>
      <c r="C1278" t="inlineStr">
        <is>
          <t>ONLINE</t>
        </is>
      </c>
      <c r="G1278" s="34">
        <f>VLOOKUP(Table4[[#This Row],[AGEN ID]],Reseller!A:E,5,0)</f>
        <v/>
      </c>
    </row>
    <row r="1279">
      <c r="A1279" t="inlineStr">
        <is>
          <t>OP12854</t>
        </is>
      </c>
      <c r="B1279">
        <f>VLOOKUP(A1279,Reseller!G:H,2,0)</f>
        <v/>
      </c>
      <c r="C1279" t="inlineStr">
        <is>
          <t>ONLINE</t>
        </is>
      </c>
      <c r="G1279" s="34">
        <f>VLOOKUP(Table4[[#This Row],[AGEN ID]],Reseller!A:E,5,0)</f>
        <v/>
      </c>
    </row>
    <row r="1280">
      <c r="A1280" t="inlineStr">
        <is>
          <t>OP12863</t>
        </is>
      </c>
      <c r="B1280">
        <f>VLOOKUP(A1280,Reseller!G:H,2,0)</f>
        <v/>
      </c>
      <c r="C1280" t="inlineStr">
        <is>
          <t>ONLINE</t>
        </is>
      </c>
      <c r="G1280" s="34">
        <f>VLOOKUP(Table4[[#This Row],[AGEN ID]],Reseller!A:E,5,0)</f>
        <v/>
      </c>
    </row>
    <row r="1281">
      <c r="A1281" t="inlineStr">
        <is>
          <t>OP12873</t>
        </is>
      </c>
      <c r="B1281">
        <f>VLOOKUP(A1281,Reseller!G:H,2,0)</f>
        <v/>
      </c>
      <c r="C1281" t="inlineStr">
        <is>
          <t>ONLINE</t>
        </is>
      </c>
      <c r="G1281" s="34">
        <f>VLOOKUP(Table4[[#This Row],[AGEN ID]],Reseller!A:E,5,0)</f>
        <v/>
      </c>
    </row>
    <row r="1282">
      <c r="A1282" t="inlineStr">
        <is>
          <t>OP12891</t>
        </is>
      </c>
      <c r="B1282">
        <f>VLOOKUP(A1282,Reseller!G:H,2,0)</f>
        <v/>
      </c>
      <c r="C1282" t="inlineStr">
        <is>
          <t>ONLINE</t>
        </is>
      </c>
      <c r="G1282" s="34">
        <f>VLOOKUP(Table4[[#This Row],[AGEN ID]],Reseller!A:E,5,0)</f>
        <v/>
      </c>
    </row>
    <row r="1283">
      <c r="A1283" t="inlineStr">
        <is>
          <t>OP12915</t>
        </is>
      </c>
      <c r="B1283">
        <f>VLOOKUP(A1283,Reseller!G:H,2,0)</f>
        <v/>
      </c>
      <c r="C1283" t="inlineStr">
        <is>
          <t>ONLINE</t>
        </is>
      </c>
      <c r="G1283" s="34">
        <f>VLOOKUP(Table4[[#This Row],[AGEN ID]],Reseller!A:E,5,0)</f>
        <v/>
      </c>
    </row>
    <row r="1284">
      <c r="A1284" t="inlineStr">
        <is>
          <t>OP12922</t>
        </is>
      </c>
      <c r="B1284">
        <f>VLOOKUP(A1284,Reseller!G:H,2,0)</f>
        <v/>
      </c>
      <c r="C1284" t="inlineStr">
        <is>
          <t>ONLINE</t>
        </is>
      </c>
      <c r="G1284" s="34">
        <f>VLOOKUP(Table4[[#This Row],[AGEN ID]],Reseller!A:E,5,0)</f>
        <v/>
      </c>
    </row>
    <row r="1285">
      <c r="A1285" t="inlineStr">
        <is>
          <t>OP12941</t>
        </is>
      </c>
      <c r="B1285">
        <f>VLOOKUP(A1285,Reseller!G:H,2,0)</f>
        <v/>
      </c>
      <c r="C1285" t="inlineStr">
        <is>
          <t>ONLINE</t>
        </is>
      </c>
      <c r="G1285" s="34">
        <f>VLOOKUP(Table4[[#This Row],[AGEN ID]],Reseller!A:E,5,0)</f>
        <v/>
      </c>
    </row>
    <row r="1286">
      <c r="A1286" t="inlineStr">
        <is>
          <t>OP12969</t>
        </is>
      </c>
      <c r="B1286">
        <f>VLOOKUP(A1286,Reseller!G:H,2,0)</f>
        <v/>
      </c>
      <c r="C1286" t="inlineStr">
        <is>
          <t>ONLINE</t>
        </is>
      </c>
      <c r="G1286" s="34">
        <f>VLOOKUP(Table4[[#This Row],[AGEN ID]],Reseller!A:E,5,0)</f>
        <v/>
      </c>
    </row>
    <row r="1287">
      <c r="A1287" t="inlineStr">
        <is>
          <t>OP12981</t>
        </is>
      </c>
      <c r="B1287">
        <f>VLOOKUP(A1287,Reseller!G:H,2,0)</f>
        <v/>
      </c>
      <c r="C1287" t="inlineStr">
        <is>
          <t>ONLINE</t>
        </is>
      </c>
      <c r="G1287" s="34">
        <f>VLOOKUP(Table4[[#This Row],[AGEN ID]],Reseller!A:E,5,0)</f>
        <v/>
      </c>
    </row>
    <row r="1288">
      <c r="A1288" t="inlineStr">
        <is>
          <t>OP12995</t>
        </is>
      </c>
      <c r="B1288">
        <f>VLOOKUP(A1288,Reseller!G:H,2,0)</f>
        <v/>
      </c>
      <c r="C1288" t="inlineStr">
        <is>
          <t>ONLINE</t>
        </is>
      </c>
      <c r="G1288" s="34">
        <f>VLOOKUP(Table4[[#This Row],[AGEN ID]],Reseller!A:E,5,0)</f>
        <v/>
      </c>
    </row>
    <row r="1289">
      <c r="A1289" t="inlineStr">
        <is>
          <t>OP13005</t>
        </is>
      </c>
      <c r="B1289">
        <f>VLOOKUP(A1289,Reseller!G:H,2,0)</f>
        <v/>
      </c>
      <c r="C1289" t="inlineStr">
        <is>
          <t>ONLINE</t>
        </is>
      </c>
      <c r="G1289" s="34">
        <f>VLOOKUP(Table4[[#This Row],[AGEN ID]],Reseller!A:E,5,0)</f>
        <v/>
      </c>
    </row>
    <row r="1290">
      <c r="A1290" t="inlineStr">
        <is>
          <t>OP13019</t>
        </is>
      </c>
      <c r="B1290">
        <f>VLOOKUP(A1290,Reseller!G:H,2,0)</f>
        <v/>
      </c>
      <c r="C1290" t="inlineStr">
        <is>
          <t>ONLINE</t>
        </is>
      </c>
      <c r="G1290" s="34">
        <f>VLOOKUP(Table4[[#This Row],[AGEN ID]],Reseller!A:E,5,0)</f>
        <v/>
      </c>
    </row>
    <row r="1291">
      <c r="A1291" t="inlineStr">
        <is>
          <t>OP13024</t>
        </is>
      </c>
      <c r="B1291">
        <f>VLOOKUP(A1291,Reseller!G:H,2,0)</f>
        <v/>
      </c>
      <c r="C1291" t="inlineStr">
        <is>
          <t>ONLINE</t>
        </is>
      </c>
      <c r="G1291" s="34">
        <f>VLOOKUP(Table4[[#This Row],[AGEN ID]],Reseller!A:E,5,0)</f>
        <v/>
      </c>
    </row>
    <row r="1292">
      <c r="A1292" t="inlineStr">
        <is>
          <t>OP13035</t>
        </is>
      </c>
      <c r="B1292">
        <f>VLOOKUP(A1292,Reseller!G:H,2,0)</f>
        <v/>
      </c>
      <c r="C1292" t="inlineStr">
        <is>
          <t>ONLINE</t>
        </is>
      </c>
      <c r="G1292" s="34">
        <f>VLOOKUP(Table4[[#This Row],[AGEN ID]],Reseller!A:E,5,0)</f>
        <v/>
      </c>
    </row>
    <row r="1293">
      <c r="A1293" t="inlineStr">
        <is>
          <t>OP13054</t>
        </is>
      </c>
      <c r="B1293">
        <f>VLOOKUP(A1293,Reseller!G:H,2,0)</f>
        <v/>
      </c>
      <c r="C1293" t="inlineStr">
        <is>
          <t>ONLINE</t>
        </is>
      </c>
      <c r="G1293" s="34">
        <f>VLOOKUP(Table4[[#This Row],[AGEN ID]],Reseller!A:E,5,0)</f>
        <v/>
      </c>
    </row>
    <row r="1294">
      <c r="A1294" t="inlineStr">
        <is>
          <t>OP13078</t>
        </is>
      </c>
      <c r="B1294">
        <f>VLOOKUP(A1294,Reseller!G:H,2,0)</f>
        <v/>
      </c>
      <c r="C1294" t="inlineStr">
        <is>
          <t>ONLINE</t>
        </is>
      </c>
      <c r="G1294" s="34">
        <f>VLOOKUP(Table4[[#This Row],[AGEN ID]],Reseller!A:E,5,0)</f>
        <v/>
      </c>
    </row>
    <row r="1295">
      <c r="A1295" t="inlineStr">
        <is>
          <t>OP13149</t>
        </is>
      </c>
      <c r="B1295">
        <f>VLOOKUP(A1295,Reseller!G:H,2,0)</f>
        <v/>
      </c>
      <c r="C1295" t="inlineStr">
        <is>
          <t>ONLINE</t>
        </is>
      </c>
      <c r="G1295" s="34">
        <f>VLOOKUP(Table4[[#This Row],[AGEN ID]],Reseller!A:E,5,0)</f>
        <v/>
      </c>
    </row>
    <row r="1296">
      <c r="A1296" t="inlineStr">
        <is>
          <t>OP13157</t>
        </is>
      </c>
      <c r="B1296">
        <f>VLOOKUP(A1296,Reseller!G:H,2,0)</f>
        <v/>
      </c>
      <c r="C1296" t="inlineStr">
        <is>
          <t>ONLINE</t>
        </is>
      </c>
      <c r="G1296" s="34">
        <f>VLOOKUP(Table4[[#This Row],[AGEN ID]],Reseller!A:E,5,0)</f>
        <v/>
      </c>
    </row>
    <row r="1297">
      <c r="A1297" t="inlineStr">
        <is>
          <t>OP13177</t>
        </is>
      </c>
      <c r="B1297">
        <f>VLOOKUP(A1297,Reseller!G:H,2,0)</f>
        <v/>
      </c>
      <c r="C1297" t="inlineStr">
        <is>
          <t>ONLINE</t>
        </is>
      </c>
      <c r="G1297" s="34">
        <f>VLOOKUP(Table4[[#This Row],[AGEN ID]],Reseller!A:E,5,0)</f>
        <v/>
      </c>
    </row>
    <row r="1298">
      <c r="A1298" t="inlineStr">
        <is>
          <t>OP13218</t>
        </is>
      </c>
      <c r="B1298">
        <f>VLOOKUP(A1298,Reseller!G:H,2,0)</f>
        <v/>
      </c>
      <c r="C1298" t="inlineStr">
        <is>
          <t>ONLINE</t>
        </is>
      </c>
      <c r="G1298" s="34">
        <f>VLOOKUP(Table4[[#This Row],[AGEN ID]],Reseller!A:E,5,0)</f>
        <v/>
      </c>
    </row>
    <row r="1299">
      <c r="A1299" t="inlineStr">
        <is>
          <t>OP13281</t>
        </is>
      </c>
      <c r="B1299">
        <f>VLOOKUP(A1299,Reseller!G:H,2,0)</f>
        <v/>
      </c>
      <c r="C1299" t="inlineStr">
        <is>
          <t>ONLINE</t>
        </is>
      </c>
      <c r="G1299" s="34">
        <f>VLOOKUP(Table4[[#This Row],[AGEN ID]],Reseller!A:E,5,0)</f>
        <v/>
      </c>
    </row>
    <row r="1300">
      <c r="A1300" t="inlineStr">
        <is>
          <t>OP13344</t>
        </is>
      </c>
      <c r="B1300">
        <f>VLOOKUP(A1300,Reseller!G:H,2,0)</f>
        <v/>
      </c>
      <c r="C1300" t="inlineStr">
        <is>
          <t>ONLINE</t>
        </is>
      </c>
      <c r="G1300" s="34">
        <f>VLOOKUP(Table4[[#This Row],[AGEN ID]],Reseller!A:E,5,0)</f>
        <v/>
      </c>
    </row>
    <row r="1301">
      <c r="A1301" t="inlineStr">
        <is>
          <t>OP13347</t>
        </is>
      </c>
      <c r="B1301">
        <f>VLOOKUP(A1301,Reseller!G:H,2,0)</f>
        <v/>
      </c>
      <c r="C1301" t="inlineStr">
        <is>
          <t>ONLINE</t>
        </is>
      </c>
      <c r="G1301" s="34">
        <f>VLOOKUP(Table4[[#This Row],[AGEN ID]],Reseller!A:E,5,0)</f>
        <v/>
      </c>
    </row>
    <row r="1302">
      <c r="A1302" t="inlineStr">
        <is>
          <t>OP13350</t>
        </is>
      </c>
      <c r="B1302">
        <f>VLOOKUP(A1302,Reseller!G:H,2,0)</f>
        <v/>
      </c>
      <c r="C1302" t="inlineStr">
        <is>
          <t>ONLINE</t>
        </is>
      </c>
      <c r="G1302" s="34">
        <f>VLOOKUP(Table4[[#This Row],[AGEN ID]],Reseller!A:E,5,0)</f>
        <v/>
      </c>
    </row>
    <row r="1303">
      <c r="A1303" t="inlineStr">
        <is>
          <t>OP13388</t>
        </is>
      </c>
      <c r="B1303">
        <f>VLOOKUP(A1303,Reseller!G:H,2,0)</f>
        <v/>
      </c>
      <c r="C1303" t="inlineStr">
        <is>
          <t>ONLINE</t>
        </is>
      </c>
      <c r="G1303" s="34">
        <f>VLOOKUP(Table4[[#This Row],[AGEN ID]],Reseller!A:E,5,0)</f>
        <v/>
      </c>
    </row>
    <row r="1304">
      <c r="A1304" s="32" t="inlineStr">
        <is>
          <t>OP13389</t>
        </is>
      </c>
      <c r="B1304">
        <f>VLOOKUP(A1304,Reseller!G:H,2,0)</f>
        <v/>
      </c>
      <c r="C1304" t="inlineStr">
        <is>
          <t>ONLINE</t>
        </is>
      </c>
      <c r="G1304" s="34">
        <f>VLOOKUP(Table4[[#This Row],[AGEN ID]],Reseller!A:E,5,0)</f>
        <v/>
      </c>
    </row>
    <row r="1305">
      <c r="A1305" t="inlineStr">
        <is>
          <t>OP13390</t>
        </is>
      </c>
      <c r="B1305">
        <f>VLOOKUP(A1305,Reseller!G:H,2,0)</f>
        <v/>
      </c>
      <c r="C1305" t="inlineStr">
        <is>
          <t>ONLINE</t>
        </is>
      </c>
      <c r="G1305" s="34">
        <f>VLOOKUP(Table4[[#This Row],[AGEN ID]],Reseller!A:E,5,0)</f>
        <v/>
      </c>
    </row>
    <row r="1306">
      <c r="A1306" t="inlineStr">
        <is>
          <t>OP13398</t>
        </is>
      </c>
      <c r="B1306">
        <f>VLOOKUP(A1306,Reseller!G:H,2,0)</f>
        <v/>
      </c>
      <c r="C1306" t="inlineStr">
        <is>
          <t>ONLINE</t>
        </is>
      </c>
      <c r="G1306" s="34">
        <f>VLOOKUP(Table4[[#This Row],[AGEN ID]],Reseller!A:E,5,0)</f>
        <v/>
      </c>
    </row>
    <row r="1307">
      <c r="A1307" t="inlineStr">
        <is>
          <t>OP13399</t>
        </is>
      </c>
      <c r="B1307">
        <f>VLOOKUP(A1307,Reseller!G:H,2,0)</f>
        <v/>
      </c>
      <c r="C1307" t="inlineStr">
        <is>
          <t>ONLINE</t>
        </is>
      </c>
      <c r="G1307" s="34">
        <f>VLOOKUP(Table4[[#This Row],[AGEN ID]],Reseller!A:E,5,0)</f>
        <v/>
      </c>
    </row>
    <row r="1308">
      <c r="A1308" t="inlineStr">
        <is>
          <t>OP13453</t>
        </is>
      </c>
      <c r="B1308">
        <f>VLOOKUP(A1308,Reseller!G:H,2,0)</f>
        <v/>
      </c>
      <c r="C1308" t="inlineStr">
        <is>
          <t>ONLINE</t>
        </is>
      </c>
      <c r="G1308" s="34">
        <f>VLOOKUP(Table4[[#This Row],[AGEN ID]],Reseller!A:E,5,0)</f>
        <v/>
      </c>
    </row>
    <row r="1309">
      <c r="A1309" t="inlineStr">
        <is>
          <t>OP13466</t>
        </is>
      </c>
      <c r="B1309">
        <f>VLOOKUP(A1309,Reseller!G:H,2,0)</f>
        <v/>
      </c>
      <c r="C1309" t="inlineStr">
        <is>
          <t>ONLINE</t>
        </is>
      </c>
      <c r="G1309" s="34">
        <f>VLOOKUP(Table4[[#This Row],[AGEN ID]],Reseller!A:E,5,0)</f>
        <v/>
      </c>
    </row>
    <row r="1310">
      <c r="A1310" t="inlineStr">
        <is>
          <t>OP13468</t>
        </is>
      </c>
      <c r="B1310">
        <f>VLOOKUP(A1310,Reseller!G:H,2,0)</f>
        <v/>
      </c>
      <c r="C1310" t="inlineStr">
        <is>
          <t>ONLINE</t>
        </is>
      </c>
      <c r="G1310" s="34">
        <f>VLOOKUP(Table4[[#This Row],[AGEN ID]],Reseller!A:E,5,0)</f>
        <v/>
      </c>
    </row>
    <row r="1311">
      <c r="A1311" t="inlineStr">
        <is>
          <t>OP13470</t>
        </is>
      </c>
      <c r="B1311">
        <f>VLOOKUP(A1311,Reseller!G:H,2,0)</f>
        <v/>
      </c>
      <c r="C1311" t="inlineStr">
        <is>
          <t>ONLINE</t>
        </is>
      </c>
      <c r="G1311" s="34">
        <f>VLOOKUP(Table4[[#This Row],[AGEN ID]],Reseller!A:E,5,0)</f>
        <v/>
      </c>
    </row>
    <row r="1312">
      <c r="A1312" t="inlineStr">
        <is>
          <t>OP13471</t>
        </is>
      </c>
      <c r="B1312">
        <f>VLOOKUP(A1312,Reseller!G:H,2,0)</f>
        <v/>
      </c>
      <c r="C1312" t="inlineStr">
        <is>
          <t>ONLINE</t>
        </is>
      </c>
      <c r="G1312" s="34">
        <f>VLOOKUP(Table4[[#This Row],[AGEN ID]],Reseller!A:E,5,0)</f>
        <v/>
      </c>
    </row>
    <row r="1313">
      <c r="A1313" t="inlineStr">
        <is>
          <t>OP13490</t>
        </is>
      </c>
      <c r="B1313">
        <f>VLOOKUP(A1313,Reseller!G:H,2,0)</f>
        <v/>
      </c>
      <c r="C1313" t="inlineStr">
        <is>
          <t>ONLINE</t>
        </is>
      </c>
      <c r="G1313" s="34">
        <f>VLOOKUP(Table4[[#This Row],[AGEN ID]],Reseller!A:E,5,0)</f>
        <v/>
      </c>
    </row>
    <row r="1314">
      <c r="A1314" t="inlineStr">
        <is>
          <t>OP13510</t>
        </is>
      </c>
      <c r="B1314">
        <f>VLOOKUP(A1314,Reseller!G:H,2,0)</f>
        <v/>
      </c>
      <c r="C1314" t="inlineStr">
        <is>
          <t>ONLINE</t>
        </is>
      </c>
      <c r="G1314" s="34">
        <f>VLOOKUP(Table4[[#This Row],[AGEN ID]],Reseller!A:E,5,0)</f>
        <v/>
      </c>
    </row>
    <row r="1315">
      <c r="A1315" t="inlineStr">
        <is>
          <t>OP13511</t>
        </is>
      </c>
      <c r="B1315">
        <f>VLOOKUP(A1315,Reseller!G:H,2,0)</f>
        <v/>
      </c>
      <c r="C1315" t="inlineStr">
        <is>
          <t>ONLINE</t>
        </is>
      </c>
      <c r="G1315" s="34">
        <f>VLOOKUP(Table4[[#This Row],[AGEN ID]],Reseller!A:E,5,0)</f>
        <v/>
      </c>
    </row>
    <row r="1316">
      <c r="A1316" t="inlineStr">
        <is>
          <t>OP13575</t>
        </is>
      </c>
      <c r="B1316">
        <f>VLOOKUP(A1316,Reseller!G:H,2,0)</f>
        <v/>
      </c>
      <c r="C1316" t="inlineStr">
        <is>
          <t>ONLINE</t>
        </is>
      </c>
      <c r="G1316" s="34">
        <f>VLOOKUP(Table4[[#This Row],[AGEN ID]],Reseller!A:E,5,0)</f>
        <v/>
      </c>
    </row>
    <row r="1317">
      <c r="A1317" t="inlineStr">
        <is>
          <t>OP13577</t>
        </is>
      </c>
      <c r="B1317">
        <f>VLOOKUP(A1317,Reseller!G:H,2,0)</f>
        <v/>
      </c>
      <c r="C1317" t="inlineStr">
        <is>
          <t>ONLINE</t>
        </is>
      </c>
      <c r="G1317" s="34">
        <f>VLOOKUP(Table4[[#This Row],[AGEN ID]],Reseller!A:E,5,0)</f>
        <v/>
      </c>
    </row>
    <row r="1318">
      <c r="A1318" t="inlineStr">
        <is>
          <t>OP13581</t>
        </is>
      </c>
      <c r="B1318">
        <f>VLOOKUP(A1318,Reseller!G:H,2,0)</f>
        <v/>
      </c>
      <c r="C1318" t="inlineStr">
        <is>
          <t>ONLINE</t>
        </is>
      </c>
      <c r="G1318" s="34">
        <f>VLOOKUP(Table4[[#This Row],[AGEN ID]],Reseller!A:E,5,0)</f>
        <v/>
      </c>
    </row>
    <row r="1319">
      <c r="A1319" t="inlineStr">
        <is>
          <t>OP13602</t>
        </is>
      </c>
      <c r="B1319">
        <f>VLOOKUP(A1319,Reseller!G:H,2,0)</f>
        <v/>
      </c>
      <c r="C1319" t="inlineStr">
        <is>
          <t>ONLINE</t>
        </is>
      </c>
      <c r="G1319" s="34">
        <f>VLOOKUP(Table4[[#This Row],[AGEN ID]],Reseller!A:E,5,0)</f>
        <v/>
      </c>
    </row>
    <row r="1320">
      <c r="A1320" s="32" t="inlineStr">
        <is>
          <t>OP13614</t>
        </is>
      </c>
      <c r="B1320">
        <f>VLOOKUP(A1320,Reseller!G:H,2,0)</f>
        <v/>
      </c>
      <c r="C1320" t="inlineStr">
        <is>
          <t>ONLINE</t>
        </is>
      </c>
      <c r="G1320" s="34">
        <f>VLOOKUP(Table4[[#This Row],[AGEN ID]],Reseller!A:E,5,0)</f>
        <v/>
      </c>
    </row>
    <row r="1321">
      <c r="A1321" t="inlineStr">
        <is>
          <t>OP13685</t>
        </is>
      </c>
      <c r="B1321">
        <f>VLOOKUP(A1321,Reseller!G:H,2,0)</f>
        <v/>
      </c>
      <c r="C1321" t="inlineStr">
        <is>
          <t>ONLINE</t>
        </is>
      </c>
      <c r="G1321" s="34">
        <f>VLOOKUP(Table4[[#This Row],[AGEN ID]],Reseller!A:E,5,0)</f>
        <v/>
      </c>
    </row>
    <row r="1322">
      <c r="A1322" t="inlineStr">
        <is>
          <t>OP13722</t>
        </is>
      </c>
      <c r="B1322">
        <f>VLOOKUP(A1322,Reseller!G:H,2,0)</f>
        <v/>
      </c>
      <c r="C1322" t="inlineStr">
        <is>
          <t>ONLINE</t>
        </is>
      </c>
      <c r="G1322" s="34">
        <f>VLOOKUP(Table4[[#This Row],[AGEN ID]],Reseller!A:E,5,0)</f>
        <v/>
      </c>
    </row>
    <row r="1323">
      <c r="A1323" s="32" t="inlineStr">
        <is>
          <t>OP13727</t>
        </is>
      </c>
      <c r="B1323">
        <f>VLOOKUP(A1323,Reseller!G:H,2,0)</f>
        <v/>
      </c>
      <c r="C1323" t="inlineStr">
        <is>
          <t>ONLINE</t>
        </is>
      </c>
      <c r="G1323" s="34">
        <f>VLOOKUP(Table4[[#This Row],[AGEN ID]],Reseller!A:E,5,0)</f>
        <v/>
      </c>
    </row>
    <row r="1324">
      <c r="A1324" t="inlineStr">
        <is>
          <t>OP13744</t>
        </is>
      </c>
      <c r="B1324">
        <f>VLOOKUP(A1324,Reseller!G:H,2,0)</f>
        <v/>
      </c>
      <c r="C1324" t="inlineStr">
        <is>
          <t>ONLINE</t>
        </is>
      </c>
      <c r="G1324" s="34">
        <f>VLOOKUP(Table4[[#This Row],[AGEN ID]],Reseller!A:E,5,0)</f>
        <v/>
      </c>
    </row>
    <row r="1325">
      <c r="A1325" t="inlineStr">
        <is>
          <t>OP13770</t>
        </is>
      </c>
      <c r="B1325">
        <f>VLOOKUP(A1325,Reseller!G:H,2,0)</f>
        <v/>
      </c>
      <c r="C1325" t="inlineStr">
        <is>
          <t>ONLINE</t>
        </is>
      </c>
      <c r="G1325" s="34">
        <f>VLOOKUP(Table4[[#This Row],[AGEN ID]],Reseller!A:E,5,0)</f>
        <v/>
      </c>
    </row>
    <row r="1326">
      <c r="A1326" t="inlineStr">
        <is>
          <t>OP13800</t>
        </is>
      </c>
      <c r="B1326">
        <f>VLOOKUP(A1326,Reseller!G:H,2,0)</f>
        <v/>
      </c>
      <c r="C1326" t="inlineStr">
        <is>
          <t>ONLINE</t>
        </is>
      </c>
      <c r="G1326" s="34">
        <f>VLOOKUP(Table4[[#This Row],[AGEN ID]],Reseller!A:E,5,0)</f>
        <v/>
      </c>
    </row>
    <row r="1327">
      <c r="A1327" t="inlineStr">
        <is>
          <t>OP13838</t>
        </is>
      </c>
      <c r="B1327">
        <f>VLOOKUP(A1327,Reseller!G:H,2,0)</f>
        <v/>
      </c>
      <c r="C1327" t="inlineStr">
        <is>
          <t>ONLINE</t>
        </is>
      </c>
      <c r="G1327" s="34">
        <f>VLOOKUP(Table4[[#This Row],[AGEN ID]],Reseller!A:E,5,0)</f>
        <v/>
      </c>
    </row>
    <row r="1328">
      <c r="A1328" t="inlineStr">
        <is>
          <t>OP13847</t>
        </is>
      </c>
      <c r="B1328">
        <f>VLOOKUP(A1328,Reseller!G:H,2,0)</f>
        <v/>
      </c>
      <c r="C1328" t="inlineStr">
        <is>
          <t>ONLINE</t>
        </is>
      </c>
      <c r="G1328" s="34">
        <f>VLOOKUP(Table4[[#This Row],[AGEN ID]],Reseller!A:E,5,0)</f>
        <v/>
      </c>
    </row>
    <row r="1329">
      <c r="A1329" t="inlineStr">
        <is>
          <t>OP13849</t>
        </is>
      </c>
      <c r="B1329">
        <f>VLOOKUP(A1329,Reseller!G:H,2,0)</f>
        <v/>
      </c>
      <c r="C1329" t="inlineStr">
        <is>
          <t>ONLINE</t>
        </is>
      </c>
      <c r="G1329" s="34">
        <f>VLOOKUP(Table4[[#This Row],[AGEN ID]],Reseller!A:E,5,0)</f>
        <v/>
      </c>
    </row>
    <row r="1330">
      <c r="A1330" t="inlineStr">
        <is>
          <t>OP13855</t>
        </is>
      </c>
      <c r="B1330">
        <f>VLOOKUP(A1330,Reseller!G:H,2,0)</f>
        <v/>
      </c>
      <c r="C1330" t="inlineStr">
        <is>
          <t>ONLINE</t>
        </is>
      </c>
      <c r="G1330" s="34">
        <f>VLOOKUP(Table4[[#This Row],[AGEN ID]],Reseller!A:E,5,0)</f>
        <v/>
      </c>
    </row>
    <row r="1331">
      <c r="A1331" t="inlineStr">
        <is>
          <t>OP13865</t>
        </is>
      </c>
      <c r="B1331">
        <f>VLOOKUP(A1331,Reseller!G:H,2,0)</f>
        <v/>
      </c>
      <c r="C1331" t="inlineStr">
        <is>
          <t>ONLINE</t>
        </is>
      </c>
      <c r="G1331" s="34">
        <f>VLOOKUP(Table4[[#This Row],[AGEN ID]],Reseller!A:E,5,0)</f>
        <v/>
      </c>
    </row>
    <row r="1332">
      <c r="A1332" t="inlineStr">
        <is>
          <t>OP13890</t>
        </is>
      </c>
      <c r="B1332">
        <f>VLOOKUP(A1332,Reseller!G:H,2,0)</f>
        <v/>
      </c>
      <c r="C1332" t="inlineStr">
        <is>
          <t>ONLINE</t>
        </is>
      </c>
      <c r="G1332" s="34">
        <f>VLOOKUP(Table4[[#This Row],[AGEN ID]],Reseller!A:E,5,0)</f>
        <v/>
      </c>
    </row>
    <row r="1333">
      <c r="A1333" t="inlineStr">
        <is>
          <t>OP13895</t>
        </is>
      </c>
      <c r="B1333">
        <f>VLOOKUP(A1333,Reseller!G:H,2,0)</f>
        <v/>
      </c>
      <c r="C1333" t="inlineStr">
        <is>
          <t>ONLINE</t>
        </is>
      </c>
      <c r="G1333" s="34">
        <f>VLOOKUP(Table4[[#This Row],[AGEN ID]],Reseller!A:E,5,0)</f>
        <v/>
      </c>
    </row>
    <row r="1334">
      <c r="A1334" t="inlineStr">
        <is>
          <t>OP13944</t>
        </is>
      </c>
      <c r="B1334">
        <f>VLOOKUP(A1334,Reseller!G:H,2,0)</f>
        <v/>
      </c>
      <c r="C1334" t="inlineStr">
        <is>
          <t>ONLINE</t>
        </is>
      </c>
      <c r="G1334" s="34">
        <f>VLOOKUP(Table4[[#This Row],[AGEN ID]],Reseller!A:E,5,0)</f>
        <v/>
      </c>
    </row>
    <row r="1335">
      <c r="A1335" t="inlineStr">
        <is>
          <t>OP13974</t>
        </is>
      </c>
      <c r="B1335">
        <f>VLOOKUP(A1335,Reseller!G:H,2,0)</f>
        <v/>
      </c>
      <c r="C1335" t="inlineStr">
        <is>
          <t>ONLINE</t>
        </is>
      </c>
      <c r="G1335" s="34">
        <f>VLOOKUP(Table4[[#This Row],[AGEN ID]],Reseller!A:E,5,0)</f>
        <v/>
      </c>
    </row>
    <row r="1336">
      <c r="A1336" t="inlineStr">
        <is>
          <t>OP13977</t>
        </is>
      </c>
      <c r="B1336">
        <f>VLOOKUP(A1336,Reseller!G:H,2,0)</f>
        <v/>
      </c>
      <c r="C1336" t="inlineStr">
        <is>
          <t>ONLINE</t>
        </is>
      </c>
      <c r="G1336" s="34">
        <f>VLOOKUP(Table4[[#This Row],[AGEN ID]],Reseller!A:E,5,0)</f>
        <v/>
      </c>
    </row>
    <row r="1337">
      <c r="A1337" t="inlineStr">
        <is>
          <t>OP13987</t>
        </is>
      </c>
      <c r="B1337">
        <f>VLOOKUP(A1337,Reseller!G:H,2,0)</f>
        <v/>
      </c>
      <c r="C1337" t="inlineStr">
        <is>
          <t>ONLINE</t>
        </is>
      </c>
      <c r="G1337" s="34">
        <f>VLOOKUP(Table4[[#This Row],[AGEN ID]],Reseller!A:E,5,0)</f>
        <v/>
      </c>
    </row>
    <row r="1338">
      <c r="A1338" s="32" t="inlineStr">
        <is>
          <t>OP13991</t>
        </is>
      </c>
      <c r="B1338">
        <f>VLOOKUP(A1338,Reseller!G:H,2,0)</f>
        <v/>
      </c>
      <c r="C1338" t="inlineStr">
        <is>
          <t>ONLINE</t>
        </is>
      </c>
      <c r="G1338" s="34">
        <f>VLOOKUP(Table4[[#This Row],[AGEN ID]],Reseller!A:E,5,0)</f>
        <v/>
      </c>
    </row>
    <row r="1339">
      <c r="A1339" s="32" t="inlineStr">
        <is>
          <t>OP14002</t>
        </is>
      </c>
      <c r="B1339">
        <f>VLOOKUP(A1339,Reseller!G:H,2,0)</f>
        <v/>
      </c>
      <c r="C1339" t="inlineStr">
        <is>
          <t>ONLINE</t>
        </is>
      </c>
      <c r="G1339" s="34">
        <f>VLOOKUP(Table4[[#This Row],[AGEN ID]],Reseller!A:E,5,0)</f>
        <v/>
      </c>
    </row>
    <row r="1340">
      <c r="A1340" t="inlineStr">
        <is>
          <t>OP14008</t>
        </is>
      </c>
      <c r="B1340">
        <f>VLOOKUP(A1340,Reseller!G:H,2,0)</f>
        <v/>
      </c>
      <c r="C1340" t="inlineStr">
        <is>
          <t>ONLINE</t>
        </is>
      </c>
      <c r="G1340" s="34">
        <f>VLOOKUP(Table4[[#This Row],[AGEN ID]],Reseller!A:E,5,0)</f>
        <v/>
      </c>
    </row>
    <row r="1341">
      <c r="A1341" t="inlineStr">
        <is>
          <t>OP14078</t>
        </is>
      </c>
      <c r="B1341">
        <f>VLOOKUP(A1341,Reseller!G:H,2,0)</f>
        <v/>
      </c>
      <c r="C1341" t="inlineStr">
        <is>
          <t>ONLINE</t>
        </is>
      </c>
      <c r="G1341" s="34">
        <f>VLOOKUP(Table4[[#This Row],[AGEN ID]],Reseller!A:E,5,0)</f>
        <v/>
      </c>
    </row>
    <row r="1342">
      <c r="A1342" t="inlineStr">
        <is>
          <t>OP14140</t>
        </is>
      </c>
      <c r="B1342">
        <f>VLOOKUP(A1342,Reseller!G:H,2,0)</f>
        <v/>
      </c>
      <c r="C1342" t="inlineStr">
        <is>
          <t>ONLINE</t>
        </is>
      </c>
      <c r="G1342" s="34">
        <f>VLOOKUP(Table4[[#This Row],[AGEN ID]],Reseller!A:E,5,0)</f>
        <v/>
      </c>
    </row>
    <row r="1343">
      <c r="A1343" t="inlineStr">
        <is>
          <t>OP14190</t>
        </is>
      </c>
      <c r="B1343">
        <f>VLOOKUP(A1343,Reseller!G:H,2,0)</f>
        <v/>
      </c>
      <c r="C1343" t="inlineStr">
        <is>
          <t>ONLINE</t>
        </is>
      </c>
      <c r="G1343" s="34">
        <f>VLOOKUP(Table4[[#This Row],[AGEN ID]],Reseller!A:E,5,0)</f>
        <v/>
      </c>
    </row>
    <row r="1344">
      <c r="A1344" t="inlineStr">
        <is>
          <t>OP14230</t>
        </is>
      </c>
      <c r="B1344">
        <f>VLOOKUP(A1344,Reseller!G:H,2,0)</f>
        <v/>
      </c>
      <c r="C1344" t="inlineStr">
        <is>
          <t>ONLINE</t>
        </is>
      </c>
      <c r="G1344" s="34">
        <f>VLOOKUP(Table4[[#This Row],[AGEN ID]],Reseller!A:E,5,0)</f>
        <v/>
      </c>
    </row>
    <row r="1345">
      <c r="A1345" t="inlineStr">
        <is>
          <t>OP14252</t>
        </is>
      </c>
      <c r="B1345">
        <f>VLOOKUP(A1345,Reseller!G:H,2,0)</f>
        <v/>
      </c>
      <c r="C1345" t="inlineStr">
        <is>
          <t>ONLINE</t>
        </is>
      </c>
      <c r="G1345" s="34">
        <f>VLOOKUP(Table4[[#This Row],[AGEN ID]],Reseller!A:E,5,0)</f>
        <v/>
      </c>
    </row>
    <row r="1346">
      <c r="A1346" t="inlineStr">
        <is>
          <t>OP14253</t>
        </is>
      </c>
      <c r="B1346">
        <f>VLOOKUP(A1346,Reseller!G:H,2,0)</f>
        <v/>
      </c>
      <c r="C1346" t="inlineStr">
        <is>
          <t>ONLINE</t>
        </is>
      </c>
      <c r="G1346" s="34">
        <f>VLOOKUP(Table4[[#This Row],[AGEN ID]],Reseller!A:E,5,0)</f>
        <v/>
      </c>
    </row>
    <row r="1347">
      <c r="A1347" t="inlineStr">
        <is>
          <t>OP14263</t>
        </is>
      </c>
      <c r="B1347">
        <f>VLOOKUP(A1347,Reseller!G:H,2,0)</f>
        <v/>
      </c>
      <c r="C1347" t="inlineStr">
        <is>
          <t>ONLINE</t>
        </is>
      </c>
      <c r="G1347" s="34">
        <f>VLOOKUP(Table4[[#This Row],[AGEN ID]],Reseller!A:E,5,0)</f>
        <v/>
      </c>
    </row>
    <row r="1348">
      <c r="A1348" t="inlineStr">
        <is>
          <t>OP14276</t>
        </is>
      </c>
      <c r="B1348">
        <f>VLOOKUP(A1348,Reseller!G:H,2,0)</f>
        <v/>
      </c>
      <c r="C1348" t="inlineStr">
        <is>
          <t>ONLINE</t>
        </is>
      </c>
      <c r="G1348" s="34">
        <f>VLOOKUP(Table4[[#This Row],[AGEN ID]],Reseller!A:E,5,0)</f>
        <v/>
      </c>
    </row>
    <row r="1349">
      <c r="A1349" s="32" t="inlineStr">
        <is>
          <t>OP14279</t>
        </is>
      </c>
      <c r="B1349">
        <f>VLOOKUP(A1349,Reseller!G:H,2,0)</f>
        <v/>
      </c>
      <c r="C1349" t="inlineStr">
        <is>
          <t>ONLINE</t>
        </is>
      </c>
      <c r="G1349" s="34">
        <f>VLOOKUP(Table4[[#This Row],[AGEN ID]],Reseller!A:E,5,0)</f>
        <v/>
      </c>
    </row>
    <row r="1350">
      <c r="A1350" t="inlineStr">
        <is>
          <t>OP14285</t>
        </is>
      </c>
      <c r="B1350">
        <f>VLOOKUP(A1350,Reseller!G:H,2,0)</f>
        <v/>
      </c>
      <c r="C1350" t="inlineStr">
        <is>
          <t>ONLINE</t>
        </is>
      </c>
      <c r="G1350" s="34">
        <f>VLOOKUP(Table4[[#This Row],[AGEN ID]],Reseller!A:E,5,0)</f>
        <v/>
      </c>
    </row>
    <row r="1351">
      <c r="A1351" t="inlineStr">
        <is>
          <t>OP14344</t>
        </is>
      </c>
      <c r="B1351">
        <f>VLOOKUP(A1351,Reseller!G:H,2,0)</f>
        <v/>
      </c>
      <c r="C1351" t="inlineStr">
        <is>
          <t>ONLINE</t>
        </is>
      </c>
      <c r="G1351" s="34">
        <f>VLOOKUP(Table4[[#This Row],[AGEN ID]],Reseller!A:E,5,0)</f>
        <v/>
      </c>
    </row>
    <row r="1352">
      <c r="A1352" t="inlineStr">
        <is>
          <t>OP14372</t>
        </is>
      </c>
      <c r="B1352">
        <f>VLOOKUP(A1352,Reseller!G:H,2,0)</f>
        <v/>
      </c>
      <c r="C1352" t="inlineStr">
        <is>
          <t>ONLINE</t>
        </is>
      </c>
      <c r="G1352" s="34">
        <f>VLOOKUP(Table4[[#This Row],[AGEN ID]],Reseller!A:E,5,0)</f>
        <v/>
      </c>
    </row>
    <row r="1353">
      <c r="A1353" t="inlineStr">
        <is>
          <t>OP14437</t>
        </is>
      </c>
      <c r="B1353">
        <f>VLOOKUP(A1353,Reseller!G:H,2,0)</f>
        <v/>
      </c>
      <c r="C1353" t="inlineStr">
        <is>
          <t>ONLINE</t>
        </is>
      </c>
      <c r="G1353" s="34">
        <f>VLOOKUP(Table4[[#This Row],[AGEN ID]],Reseller!A:E,5,0)</f>
        <v/>
      </c>
    </row>
    <row r="1354">
      <c r="A1354" t="inlineStr">
        <is>
          <t>OP14458</t>
        </is>
      </c>
      <c r="B1354">
        <f>VLOOKUP(A1354,Reseller!G:H,2,0)</f>
        <v/>
      </c>
      <c r="C1354" t="inlineStr">
        <is>
          <t>ONLINE</t>
        </is>
      </c>
      <c r="G1354" s="34">
        <f>VLOOKUP(Table4[[#This Row],[AGEN ID]],Reseller!A:E,5,0)</f>
        <v/>
      </c>
    </row>
    <row r="1355">
      <c r="A1355" t="inlineStr">
        <is>
          <t>OP14461</t>
        </is>
      </c>
      <c r="B1355">
        <f>VLOOKUP(A1355,Reseller!G:H,2,0)</f>
        <v/>
      </c>
      <c r="C1355" t="inlineStr">
        <is>
          <t>ONLINE</t>
        </is>
      </c>
      <c r="G1355" s="34">
        <f>VLOOKUP(Table4[[#This Row],[AGEN ID]],Reseller!A:E,5,0)</f>
        <v/>
      </c>
    </row>
    <row r="1356">
      <c r="A1356" t="inlineStr">
        <is>
          <t>OP14550</t>
        </is>
      </c>
      <c r="B1356">
        <f>VLOOKUP(A1356,Reseller!G:H,2,0)</f>
        <v/>
      </c>
      <c r="C1356" t="inlineStr">
        <is>
          <t>ONLINE</t>
        </is>
      </c>
      <c r="G1356" s="34">
        <f>VLOOKUP(Table4[[#This Row],[AGEN ID]],Reseller!A:E,5,0)</f>
        <v/>
      </c>
    </row>
    <row r="1357">
      <c r="A1357" t="inlineStr">
        <is>
          <t>OP14579</t>
        </is>
      </c>
      <c r="B1357">
        <f>VLOOKUP(A1357,Reseller!G:H,2,0)</f>
        <v/>
      </c>
      <c r="C1357" t="inlineStr">
        <is>
          <t>ONLINE</t>
        </is>
      </c>
      <c r="G1357" s="34">
        <f>VLOOKUP(Table4[[#This Row],[AGEN ID]],Reseller!A:E,5,0)</f>
        <v/>
      </c>
    </row>
    <row r="1358">
      <c r="A1358" t="inlineStr">
        <is>
          <t>OP14626</t>
        </is>
      </c>
      <c r="B1358">
        <f>VLOOKUP(A1358,Reseller!G:H,2,0)</f>
        <v/>
      </c>
      <c r="C1358" t="inlineStr">
        <is>
          <t>ONLINE</t>
        </is>
      </c>
      <c r="G1358" s="34">
        <f>VLOOKUP(Table4[[#This Row],[AGEN ID]],Reseller!A:E,5,0)</f>
        <v/>
      </c>
    </row>
    <row r="1359">
      <c r="A1359" t="inlineStr">
        <is>
          <t>OP14644</t>
        </is>
      </c>
      <c r="B1359">
        <f>VLOOKUP(A1359,Reseller!G:H,2,0)</f>
        <v/>
      </c>
      <c r="C1359" t="inlineStr">
        <is>
          <t>ONLINE</t>
        </is>
      </c>
      <c r="G1359" s="34">
        <f>VLOOKUP(Table4[[#This Row],[AGEN ID]],Reseller!A:E,5,0)</f>
        <v/>
      </c>
    </row>
    <row r="1360">
      <c r="A1360" t="inlineStr">
        <is>
          <t>OP14664</t>
        </is>
      </c>
      <c r="B1360">
        <f>VLOOKUP(A1360,Reseller!G:H,2,0)</f>
        <v/>
      </c>
      <c r="C1360" t="inlineStr">
        <is>
          <t>ONLINE</t>
        </is>
      </c>
      <c r="G1360" s="34">
        <f>VLOOKUP(Table4[[#This Row],[AGEN ID]],Reseller!A:E,5,0)</f>
        <v/>
      </c>
    </row>
    <row r="1361">
      <c r="A1361" t="inlineStr">
        <is>
          <t>OP14680</t>
        </is>
      </c>
      <c r="B1361">
        <f>VLOOKUP(A1361,Reseller!G:H,2,0)</f>
        <v/>
      </c>
      <c r="C1361" t="inlineStr">
        <is>
          <t>ONLINE</t>
        </is>
      </c>
      <c r="G1361" s="34">
        <f>VLOOKUP(Table4[[#This Row],[AGEN ID]],Reseller!A:E,5,0)</f>
        <v/>
      </c>
    </row>
    <row r="1362">
      <c r="A1362" t="inlineStr">
        <is>
          <t>OP14698</t>
        </is>
      </c>
      <c r="B1362">
        <f>VLOOKUP(A1362,Reseller!G:H,2,0)</f>
        <v/>
      </c>
      <c r="C1362" t="inlineStr">
        <is>
          <t>ONLINE</t>
        </is>
      </c>
      <c r="G1362" s="34">
        <f>VLOOKUP(Table4[[#This Row],[AGEN ID]],Reseller!A:E,5,0)</f>
        <v/>
      </c>
    </row>
    <row r="1363">
      <c r="A1363" t="inlineStr">
        <is>
          <t>OP14724</t>
        </is>
      </c>
      <c r="B1363">
        <f>VLOOKUP(A1363,Reseller!G:H,2,0)</f>
        <v/>
      </c>
      <c r="C1363" t="inlineStr">
        <is>
          <t>ONLINE</t>
        </is>
      </c>
      <c r="G1363" s="34">
        <f>VLOOKUP(Table4[[#This Row],[AGEN ID]],Reseller!A:E,5,0)</f>
        <v/>
      </c>
    </row>
    <row r="1364">
      <c r="A1364" t="inlineStr">
        <is>
          <t>OP14746</t>
        </is>
      </c>
      <c r="B1364">
        <f>VLOOKUP(A1364,Reseller!G:H,2,0)</f>
        <v/>
      </c>
      <c r="C1364" t="inlineStr">
        <is>
          <t>ONLINE</t>
        </is>
      </c>
      <c r="G1364" s="34">
        <f>VLOOKUP(Table4[[#This Row],[AGEN ID]],Reseller!A:E,5,0)</f>
        <v/>
      </c>
    </row>
    <row r="1365">
      <c r="A1365" t="inlineStr">
        <is>
          <t>OP14747</t>
        </is>
      </c>
      <c r="B1365">
        <f>VLOOKUP(A1365,Reseller!G:H,2,0)</f>
        <v/>
      </c>
      <c r="C1365" t="inlineStr">
        <is>
          <t>ONLINE</t>
        </is>
      </c>
      <c r="G1365" s="34">
        <f>VLOOKUP(Table4[[#This Row],[AGEN ID]],Reseller!A:E,5,0)</f>
        <v/>
      </c>
    </row>
    <row r="1366">
      <c r="A1366" t="inlineStr">
        <is>
          <t>OP14749</t>
        </is>
      </c>
      <c r="B1366">
        <f>VLOOKUP(A1366,Reseller!G:H,2,0)</f>
        <v/>
      </c>
      <c r="C1366" t="inlineStr">
        <is>
          <t>ONLINE</t>
        </is>
      </c>
      <c r="G1366" s="34">
        <f>VLOOKUP(Table4[[#This Row],[AGEN ID]],Reseller!A:E,5,0)</f>
        <v/>
      </c>
    </row>
    <row r="1367">
      <c r="A1367" t="inlineStr">
        <is>
          <t>OP14765</t>
        </is>
      </c>
      <c r="B1367">
        <f>VLOOKUP(A1367,Reseller!G:H,2,0)</f>
        <v/>
      </c>
      <c r="C1367" t="inlineStr">
        <is>
          <t>ONLINE</t>
        </is>
      </c>
      <c r="G1367" s="34">
        <f>VLOOKUP(Table4[[#This Row],[AGEN ID]],Reseller!A:E,5,0)</f>
        <v/>
      </c>
    </row>
    <row r="1368">
      <c r="A1368" t="inlineStr">
        <is>
          <t>OP14783</t>
        </is>
      </c>
      <c r="B1368">
        <f>VLOOKUP(A1368,Reseller!G:H,2,0)</f>
        <v/>
      </c>
      <c r="C1368" t="inlineStr">
        <is>
          <t>ONLINE</t>
        </is>
      </c>
      <c r="G1368" s="34">
        <f>VLOOKUP(Table4[[#This Row],[AGEN ID]],Reseller!A:E,5,0)</f>
        <v/>
      </c>
    </row>
    <row r="1369">
      <c r="A1369" s="32" t="inlineStr">
        <is>
          <t>OP14790</t>
        </is>
      </c>
      <c r="B1369">
        <f>VLOOKUP(A1369,Reseller!G:H,2,0)</f>
        <v/>
      </c>
      <c r="C1369" t="inlineStr">
        <is>
          <t>ONLINE</t>
        </is>
      </c>
      <c r="G1369" s="34">
        <f>VLOOKUP(Table4[[#This Row],[AGEN ID]],Reseller!A:E,5,0)</f>
        <v/>
      </c>
    </row>
    <row r="1370">
      <c r="A1370" t="inlineStr">
        <is>
          <t>OP14816</t>
        </is>
      </c>
      <c r="B1370">
        <f>VLOOKUP(A1370,Reseller!G:H,2,0)</f>
        <v/>
      </c>
      <c r="C1370" t="inlineStr">
        <is>
          <t>ONLINE</t>
        </is>
      </c>
      <c r="G1370" s="34">
        <f>VLOOKUP(Table4[[#This Row],[AGEN ID]],Reseller!A:E,5,0)</f>
        <v/>
      </c>
    </row>
    <row r="1371">
      <c r="A1371" t="inlineStr">
        <is>
          <t>OP14819</t>
        </is>
      </c>
      <c r="B1371">
        <f>VLOOKUP(A1371,Reseller!G:H,2,0)</f>
        <v/>
      </c>
      <c r="C1371" t="inlineStr">
        <is>
          <t>ONLINE</t>
        </is>
      </c>
      <c r="G1371" s="34">
        <f>VLOOKUP(Table4[[#This Row],[AGEN ID]],Reseller!A:E,5,0)</f>
        <v/>
      </c>
    </row>
    <row r="1372">
      <c r="A1372" t="inlineStr">
        <is>
          <t>OP14820</t>
        </is>
      </c>
      <c r="B1372">
        <f>VLOOKUP(A1372,Reseller!G:H,2,0)</f>
        <v/>
      </c>
      <c r="C1372" t="inlineStr">
        <is>
          <t>ONLINE</t>
        </is>
      </c>
      <c r="G1372" s="34">
        <f>VLOOKUP(Table4[[#This Row],[AGEN ID]],Reseller!A:E,5,0)</f>
        <v/>
      </c>
    </row>
    <row r="1373">
      <c r="A1373" t="inlineStr">
        <is>
          <t>OP14821</t>
        </is>
      </c>
      <c r="B1373">
        <f>VLOOKUP(A1373,Reseller!G:H,2,0)</f>
        <v/>
      </c>
      <c r="C1373" t="inlineStr">
        <is>
          <t>ONLINE</t>
        </is>
      </c>
      <c r="G1373" s="34">
        <f>VLOOKUP(Table4[[#This Row],[AGEN ID]],Reseller!A:E,5,0)</f>
        <v/>
      </c>
    </row>
    <row r="1374">
      <c r="A1374" t="inlineStr">
        <is>
          <t>OP14841</t>
        </is>
      </c>
      <c r="B1374">
        <f>VLOOKUP(A1374,Reseller!G:H,2,0)</f>
        <v/>
      </c>
      <c r="C1374" t="inlineStr">
        <is>
          <t>ONLINE</t>
        </is>
      </c>
      <c r="G1374" s="34">
        <f>VLOOKUP(Table4[[#This Row],[AGEN ID]],Reseller!A:E,5,0)</f>
        <v/>
      </c>
    </row>
    <row r="1375">
      <c r="A1375" t="inlineStr">
        <is>
          <t>OP14864</t>
        </is>
      </c>
      <c r="B1375">
        <f>VLOOKUP(A1375,Reseller!G:H,2,0)</f>
        <v/>
      </c>
      <c r="C1375" t="inlineStr">
        <is>
          <t>ONLINE</t>
        </is>
      </c>
      <c r="G1375" s="34">
        <f>VLOOKUP(Table4[[#This Row],[AGEN ID]],Reseller!A:E,5,0)</f>
        <v/>
      </c>
    </row>
    <row r="1376">
      <c r="A1376" t="inlineStr">
        <is>
          <t>OP14868</t>
        </is>
      </c>
      <c r="B1376">
        <f>VLOOKUP(A1376,Reseller!G:H,2,0)</f>
        <v/>
      </c>
      <c r="C1376" t="inlineStr">
        <is>
          <t>ONLINE</t>
        </is>
      </c>
      <c r="G1376" s="34">
        <f>VLOOKUP(Table4[[#This Row],[AGEN ID]],Reseller!A:E,5,0)</f>
        <v/>
      </c>
    </row>
    <row r="1377">
      <c r="A1377" t="inlineStr">
        <is>
          <t>OP14882</t>
        </is>
      </c>
      <c r="B1377">
        <f>VLOOKUP(A1377,Reseller!G:H,2,0)</f>
        <v/>
      </c>
      <c r="C1377" t="inlineStr">
        <is>
          <t>ONLINE</t>
        </is>
      </c>
      <c r="G1377" s="34">
        <f>VLOOKUP(Table4[[#This Row],[AGEN ID]],Reseller!A:E,5,0)</f>
        <v/>
      </c>
    </row>
    <row r="1378">
      <c r="A1378" t="inlineStr">
        <is>
          <t>OP14883</t>
        </is>
      </c>
      <c r="B1378">
        <f>VLOOKUP(A1378,Reseller!G:H,2,0)</f>
        <v/>
      </c>
      <c r="C1378" t="inlineStr">
        <is>
          <t>ONLINE</t>
        </is>
      </c>
      <c r="G1378" s="34">
        <f>VLOOKUP(Table4[[#This Row],[AGEN ID]],Reseller!A:E,5,0)</f>
        <v/>
      </c>
    </row>
    <row r="1379">
      <c r="A1379" t="inlineStr">
        <is>
          <t>OP14899</t>
        </is>
      </c>
      <c r="B1379">
        <f>VLOOKUP(A1379,Reseller!G:H,2,0)</f>
        <v/>
      </c>
      <c r="C1379" t="inlineStr">
        <is>
          <t>ONLINE</t>
        </is>
      </c>
      <c r="G1379" s="34">
        <f>VLOOKUP(Table4[[#This Row],[AGEN ID]],Reseller!A:E,5,0)</f>
        <v/>
      </c>
    </row>
    <row r="1380">
      <c r="A1380" t="inlineStr">
        <is>
          <t>OP14904</t>
        </is>
      </c>
      <c r="B1380">
        <f>VLOOKUP(A1380,Reseller!G:H,2,0)</f>
        <v/>
      </c>
      <c r="C1380" t="inlineStr">
        <is>
          <t>ONLINE</t>
        </is>
      </c>
      <c r="G1380" s="34">
        <f>VLOOKUP(Table4[[#This Row],[AGEN ID]],Reseller!A:E,5,0)</f>
        <v/>
      </c>
    </row>
    <row r="1381">
      <c r="A1381" t="inlineStr">
        <is>
          <t>OP14906</t>
        </is>
      </c>
      <c r="B1381">
        <f>VLOOKUP(A1381,Reseller!G:H,2,0)</f>
        <v/>
      </c>
      <c r="C1381" t="inlineStr">
        <is>
          <t>ONLINE</t>
        </is>
      </c>
      <c r="G1381" s="34">
        <f>VLOOKUP(Table4[[#This Row],[AGEN ID]],Reseller!A:E,5,0)</f>
        <v/>
      </c>
    </row>
    <row r="1382">
      <c r="A1382" t="inlineStr">
        <is>
          <t>OP14910</t>
        </is>
      </c>
      <c r="B1382">
        <f>VLOOKUP(A1382,Reseller!G:H,2,0)</f>
        <v/>
      </c>
      <c r="C1382" t="inlineStr">
        <is>
          <t>ONLINE</t>
        </is>
      </c>
      <c r="G1382" s="34">
        <f>VLOOKUP(Table4[[#This Row],[AGEN ID]],Reseller!A:E,5,0)</f>
        <v/>
      </c>
    </row>
    <row r="1383">
      <c r="A1383" t="inlineStr">
        <is>
          <t>OP14911</t>
        </is>
      </c>
      <c r="B1383">
        <f>VLOOKUP(A1383,Reseller!G:H,2,0)</f>
        <v/>
      </c>
      <c r="C1383" t="inlineStr">
        <is>
          <t>ONLINE</t>
        </is>
      </c>
      <c r="G1383" s="34">
        <f>VLOOKUP(Table4[[#This Row],[AGEN ID]],Reseller!A:E,5,0)</f>
        <v/>
      </c>
    </row>
    <row r="1384">
      <c r="A1384" t="inlineStr">
        <is>
          <t>OP14971</t>
        </is>
      </c>
      <c r="B1384">
        <f>VLOOKUP(A1384,Reseller!G:H,2,0)</f>
        <v/>
      </c>
      <c r="C1384" t="inlineStr">
        <is>
          <t>ONLINE</t>
        </is>
      </c>
      <c r="G1384" s="34">
        <f>VLOOKUP(Table4[[#This Row],[AGEN ID]],Reseller!A:E,5,0)</f>
        <v/>
      </c>
    </row>
    <row r="1385">
      <c r="A1385" t="inlineStr">
        <is>
          <t>OP15004</t>
        </is>
      </c>
      <c r="B1385">
        <f>VLOOKUP(A1385,Reseller!G:H,2,0)</f>
        <v/>
      </c>
      <c r="C1385" t="inlineStr">
        <is>
          <t>ONLINE</t>
        </is>
      </c>
      <c r="G1385" s="34">
        <f>VLOOKUP(Table4[[#This Row],[AGEN ID]],Reseller!A:E,5,0)</f>
        <v/>
      </c>
    </row>
    <row r="1386">
      <c r="A1386" t="inlineStr">
        <is>
          <t>OP15007</t>
        </is>
      </c>
      <c r="B1386">
        <f>VLOOKUP(A1386,Reseller!G:H,2,0)</f>
        <v/>
      </c>
      <c r="C1386" t="inlineStr">
        <is>
          <t>ONLINE</t>
        </is>
      </c>
      <c r="G1386" s="34">
        <f>VLOOKUP(Table4[[#This Row],[AGEN ID]],Reseller!A:E,5,0)</f>
        <v/>
      </c>
    </row>
    <row r="1387">
      <c r="A1387" t="inlineStr">
        <is>
          <t>OP15016</t>
        </is>
      </c>
      <c r="B1387">
        <f>VLOOKUP(A1387,Reseller!G:H,2,0)</f>
        <v/>
      </c>
      <c r="C1387" t="inlineStr">
        <is>
          <t>ONLINE</t>
        </is>
      </c>
      <c r="G1387" s="34">
        <f>VLOOKUP(Table4[[#This Row],[AGEN ID]],Reseller!A:E,5,0)</f>
        <v/>
      </c>
    </row>
    <row r="1388">
      <c r="A1388" t="inlineStr">
        <is>
          <t>OP15029</t>
        </is>
      </c>
      <c r="B1388">
        <f>VLOOKUP(A1388,Reseller!G:H,2,0)</f>
        <v/>
      </c>
      <c r="C1388" t="inlineStr">
        <is>
          <t>ONLINE</t>
        </is>
      </c>
      <c r="G1388" s="34">
        <f>VLOOKUP(Table4[[#This Row],[AGEN ID]],Reseller!A:E,5,0)</f>
        <v/>
      </c>
    </row>
    <row r="1389">
      <c r="A1389" t="inlineStr">
        <is>
          <t>OP15054</t>
        </is>
      </c>
      <c r="B1389">
        <f>VLOOKUP(A1389,Reseller!G:H,2,0)</f>
        <v/>
      </c>
      <c r="C1389" t="inlineStr">
        <is>
          <t>ONLINE</t>
        </is>
      </c>
      <c r="G1389" s="34">
        <f>VLOOKUP(Table4[[#This Row],[AGEN ID]],Reseller!A:E,5,0)</f>
        <v/>
      </c>
    </row>
    <row r="1390">
      <c r="A1390" t="inlineStr">
        <is>
          <t>OP15071</t>
        </is>
      </c>
      <c r="B1390">
        <f>VLOOKUP(A1390,Reseller!G:H,2,0)</f>
        <v/>
      </c>
      <c r="C1390" t="inlineStr">
        <is>
          <t>ONLINE</t>
        </is>
      </c>
      <c r="G1390" s="34">
        <f>VLOOKUP(Table4[[#This Row],[AGEN ID]],Reseller!A:E,5,0)</f>
        <v/>
      </c>
    </row>
    <row r="1391">
      <c r="A1391" t="inlineStr">
        <is>
          <t>OP15074</t>
        </is>
      </c>
      <c r="B1391">
        <f>VLOOKUP(A1391,Reseller!G:H,2,0)</f>
        <v/>
      </c>
      <c r="C1391" t="inlineStr">
        <is>
          <t>ONLINE</t>
        </is>
      </c>
      <c r="G1391" s="34">
        <f>VLOOKUP(Table4[[#This Row],[AGEN ID]],Reseller!A:E,5,0)</f>
        <v/>
      </c>
    </row>
    <row r="1392">
      <c r="A1392" t="inlineStr">
        <is>
          <t>OP15121</t>
        </is>
      </c>
      <c r="B1392">
        <f>VLOOKUP(A1392,Reseller!G:H,2,0)</f>
        <v/>
      </c>
      <c r="C1392" t="inlineStr">
        <is>
          <t>ONLINE</t>
        </is>
      </c>
      <c r="G1392" s="34">
        <f>VLOOKUP(Table4[[#This Row],[AGEN ID]],Reseller!A:E,5,0)</f>
        <v/>
      </c>
    </row>
    <row r="1393">
      <c r="A1393" t="inlineStr">
        <is>
          <t>OP15123</t>
        </is>
      </c>
      <c r="B1393">
        <f>VLOOKUP(A1393,Reseller!G:H,2,0)</f>
        <v/>
      </c>
      <c r="C1393" t="inlineStr">
        <is>
          <t>ONLINE</t>
        </is>
      </c>
      <c r="G1393" s="34">
        <f>VLOOKUP(Table4[[#This Row],[AGEN ID]],Reseller!A:E,5,0)</f>
        <v/>
      </c>
    </row>
    <row r="1394">
      <c r="A1394" t="inlineStr">
        <is>
          <t>OP15132</t>
        </is>
      </c>
      <c r="B1394">
        <f>VLOOKUP(A1394,Reseller!G:H,2,0)</f>
        <v/>
      </c>
      <c r="C1394" t="inlineStr">
        <is>
          <t>ONLINE</t>
        </is>
      </c>
      <c r="G1394" s="34">
        <f>VLOOKUP(Table4[[#This Row],[AGEN ID]],Reseller!A:E,5,0)</f>
        <v/>
      </c>
    </row>
    <row r="1395">
      <c r="A1395" t="inlineStr">
        <is>
          <t>OP15149</t>
        </is>
      </c>
      <c r="B1395">
        <f>VLOOKUP(A1395,Reseller!G:H,2,0)</f>
        <v/>
      </c>
      <c r="C1395" t="inlineStr">
        <is>
          <t>ONLINE</t>
        </is>
      </c>
      <c r="G1395" s="34">
        <f>VLOOKUP(Table4[[#This Row],[AGEN ID]],Reseller!A:E,5,0)</f>
        <v/>
      </c>
    </row>
    <row r="1396">
      <c r="A1396" t="inlineStr">
        <is>
          <t>OP15175</t>
        </is>
      </c>
      <c r="B1396">
        <f>VLOOKUP(A1396,Reseller!G:H,2,0)</f>
        <v/>
      </c>
      <c r="C1396" t="inlineStr">
        <is>
          <t>ONLINE</t>
        </is>
      </c>
      <c r="G1396" s="34">
        <f>VLOOKUP(Table4[[#This Row],[AGEN ID]],Reseller!A:E,5,0)</f>
        <v/>
      </c>
    </row>
    <row r="1397">
      <c r="A1397" s="32" t="inlineStr">
        <is>
          <t>OP15176</t>
        </is>
      </c>
      <c r="B1397">
        <f>VLOOKUP(A1397,Reseller!G:H,2,0)</f>
        <v/>
      </c>
      <c r="C1397" t="inlineStr">
        <is>
          <t>ONLINE</t>
        </is>
      </c>
      <c r="G1397" s="34">
        <f>VLOOKUP(Table4[[#This Row],[AGEN ID]],Reseller!A:E,5,0)</f>
        <v/>
      </c>
    </row>
    <row r="1398">
      <c r="A1398" t="inlineStr">
        <is>
          <t>OP15179</t>
        </is>
      </c>
      <c r="B1398">
        <f>VLOOKUP(A1398,Reseller!G:H,2,0)</f>
        <v/>
      </c>
      <c r="C1398" t="inlineStr">
        <is>
          <t>ONLINE</t>
        </is>
      </c>
      <c r="G1398" s="34">
        <f>VLOOKUP(Table4[[#This Row],[AGEN ID]],Reseller!A:E,5,0)</f>
        <v/>
      </c>
    </row>
    <row r="1399">
      <c r="A1399" t="inlineStr">
        <is>
          <t>OP15198</t>
        </is>
      </c>
      <c r="B1399">
        <f>VLOOKUP(A1399,Reseller!G:H,2,0)</f>
        <v/>
      </c>
      <c r="C1399" t="inlineStr">
        <is>
          <t>ONLINE</t>
        </is>
      </c>
      <c r="G1399" s="34">
        <f>VLOOKUP(Table4[[#This Row],[AGEN ID]],Reseller!A:E,5,0)</f>
        <v/>
      </c>
    </row>
    <row r="1400">
      <c r="A1400" s="32" t="inlineStr">
        <is>
          <t>OP15214</t>
        </is>
      </c>
      <c r="B1400">
        <f>VLOOKUP(A1400,Reseller!G:H,2,0)</f>
        <v/>
      </c>
      <c r="C1400" t="inlineStr">
        <is>
          <t>ONLINE</t>
        </is>
      </c>
      <c r="G1400" s="34">
        <f>VLOOKUP(Table4[[#This Row],[AGEN ID]],Reseller!A:E,5,0)</f>
        <v/>
      </c>
    </row>
    <row r="1401">
      <c r="A1401" t="inlineStr">
        <is>
          <t>OP15215</t>
        </is>
      </c>
      <c r="B1401">
        <f>VLOOKUP(A1401,Reseller!G:H,2,0)</f>
        <v/>
      </c>
      <c r="C1401" t="inlineStr">
        <is>
          <t>ONLINE</t>
        </is>
      </c>
      <c r="G1401" s="34">
        <f>VLOOKUP(Table4[[#This Row],[AGEN ID]],Reseller!A:E,5,0)</f>
        <v/>
      </c>
    </row>
    <row r="1402">
      <c r="A1402" t="inlineStr">
        <is>
          <t>OP15241</t>
        </is>
      </c>
      <c r="B1402">
        <f>VLOOKUP(A1402,Reseller!G:H,2,0)</f>
        <v/>
      </c>
      <c r="C1402" t="inlineStr">
        <is>
          <t>ONLINE</t>
        </is>
      </c>
      <c r="G1402" s="34">
        <f>VLOOKUP(Table4[[#This Row],[AGEN ID]],Reseller!A:E,5,0)</f>
        <v/>
      </c>
    </row>
    <row r="1403">
      <c r="A1403" s="32" t="inlineStr">
        <is>
          <t>OP15251</t>
        </is>
      </c>
      <c r="B1403">
        <f>VLOOKUP(A1403,Reseller!G:H,2,0)</f>
        <v/>
      </c>
      <c r="C1403" t="inlineStr">
        <is>
          <t>ONLINE</t>
        </is>
      </c>
      <c r="G1403" s="34">
        <f>VLOOKUP(Table4[[#This Row],[AGEN ID]],Reseller!A:E,5,0)</f>
        <v/>
      </c>
    </row>
    <row r="1404">
      <c r="A1404" t="inlineStr">
        <is>
          <t>OP15254</t>
        </is>
      </c>
      <c r="B1404">
        <f>VLOOKUP(A1404,Reseller!G:H,2,0)</f>
        <v/>
      </c>
      <c r="C1404" t="inlineStr">
        <is>
          <t>ONLINE</t>
        </is>
      </c>
      <c r="G1404" s="34">
        <f>VLOOKUP(Table4[[#This Row],[AGEN ID]],Reseller!A:E,5,0)</f>
        <v/>
      </c>
    </row>
    <row r="1405">
      <c r="A1405" s="32" t="inlineStr">
        <is>
          <t>OP15331</t>
        </is>
      </c>
      <c r="B1405">
        <f>VLOOKUP(A1405,Reseller!G:H,2,0)</f>
        <v/>
      </c>
      <c r="C1405" t="inlineStr">
        <is>
          <t>ONLINE</t>
        </is>
      </c>
      <c r="G1405" s="34">
        <f>VLOOKUP(Table4[[#This Row],[AGEN ID]],Reseller!A:E,5,0)</f>
        <v/>
      </c>
    </row>
    <row r="1406">
      <c r="A1406" t="inlineStr">
        <is>
          <t>OP15351</t>
        </is>
      </c>
      <c r="B1406">
        <f>VLOOKUP(A1406,Reseller!G:H,2,0)</f>
        <v/>
      </c>
      <c r="C1406" t="inlineStr">
        <is>
          <t>ONLINE</t>
        </is>
      </c>
      <c r="G1406" s="34">
        <f>VLOOKUP(Table4[[#This Row],[AGEN ID]],Reseller!A:E,5,0)</f>
        <v/>
      </c>
    </row>
    <row r="1407">
      <c r="A1407" s="32" t="inlineStr">
        <is>
          <t>OP15359</t>
        </is>
      </c>
      <c r="B1407">
        <f>VLOOKUP(A1407,Reseller!G:H,2,0)</f>
        <v/>
      </c>
      <c r="C1407" t="inlineStr">
        <is>
          <t>ONLINE</t>
        </is>
      </c>
      <c r="G1407" s="34">
        <f>VLOOKUP(Table4[[#This Row],[AGEN ID]],Reseller!A:E,5,0)</f>
        <v/>
      </c>
    </row>
    <row r="1408">
      <c r="A1408" s="32" t="inlineStr">
        <is>
          <t>OP15370</t>
        </is>
      </c>
      <c r="B1408">
        <f>VLOOKUP(A1408,Reseller!G:H,2,0)</f>
        <v/>
      </c>
      <c r="C1408" t="inlineStr">
        <is>
          <t>ONLINE</t>
        </is>
      </c>
      <c r="G1408" s="34">
        <f>VLOOKUP(Table4[[#This Row],[AGEN ID]],Reseller!A:E,5,0)</f>
        <v/>
      </c>
    </row>
    <row r="1409">
      <c r="A1409" s="32" t="inlineStr">
        <is>
          <t>OP15378</t>
        </is>
      </c>
      <c r="B1409">
        <f>VLOOKUP(A1409,Reseller!G:H,2,0)</f>
        <v/>
      </c>
      <c r="C1409" t="inlineStr">
        <is>
          <t>ONLINE</t>
        </is>
      </c>
      <c r="G1409" s="34">
        <f>VLOOKUP(Table4[[#This Row],[AGEN ID]],Reseller!A:E,5,0)</f>
        <v/>
      </c>
    </row>
    <row r="1410">
      <c r="A1410" t="inlineStr">
        <is>
          <t>OP15384</t>
        </is>
      </c>
      <c r="B1410">
        <f>VLOOKUP(A1410,Reseller!G:H,2,0)</f>
        <v/>
      </c>
      <c r="C1410" t="inlineStr">
        <is>
          <t>ONLINE</t>
        </is>
      </c>
      <c r="G1410" s="34">
        <f>VLOOKUP(Table4[[#This Row],[AGEN ID]],Reseller!A:E,5,0)</f>
        <v/>
      </c>
    </row>
    <row r="1411">
      <c r="A1411" t="inlineStr">
        <is>
          <t>OP15396</t>
        </is>
      </c>
      <c r="B1411">
        <f>VLOOKUP(A1411,Reseller!G:H,2,0)</f>
        <v/>
      </c>
      <c r="C1411" t="inlineStr">
        <is>
          <t>ONLINE</t>
        </is>
      </c>
      <c r="G1411" s="34">
        <f>VLOOKUP(Table4[[#This Row],[AGEN ID]],Reseller!A:E,5,0)</f>
        <v/>
      </c>
    </row>
    <row r="1412">
      <c r="A1412" s="32" t="inlineStr">
        <is>
          <t>OP15429</t>
        </is>
      </c>
      <c r="B1412">
        <f>VLOOKUP(A1412,Reseller!G:H,2,0)</f>
        <v/>
      </c>
      <c r="C1412" t="inlineStr">
        <is>
          <t>ONLINE</t>
        </is>
      </c>
      <c r="G1412" s="34">
        <f>VLOOKUP(Table4[[#This Row],[AGEN ID]],Reseller!A:E,5,0)</f>
        <v/>
      </c>
    </row>
    <row r="1413">
      <c r="A1413" s="32" t="inlineStr">
        <is>
          <t>OP15442</t>
        </is>
      </c>
      <c r="B1413">
        <f>VLOOKUP(A1413,Reseller!G:H,2,0)</f>
        <v/>
      </c>
      <c r="C1413" t="inlineStr">
        <is>
          <t>ONLINE</t>
        </is>
      </c>
      <c r="G1413" s="34">
        <f>VLOOKUP(Table4[[#This Row],[AGEN ID]],Reseller!A:E,5,0)</f>
        <v/>
      </c>
    </row>
    <row r="1414">
      <c r="A1414" s="32" t="inlineStr">
        <is>
          <t>OP15578</t>
        </is>
      </c>
      <c r="B1414">
        <f>VLOOKUP(A1414,Reseller!G:H,2,0)</f>
        <v/>
      </c>
      <c r="C1414" t="inlineStr">
        <is>
          <t>ONLINE</t>
        </is>
      </c>
      <c r="G1414" s="34">
        <f>VLOOKUP(Table4[[#This Row],[AGEN ID]],Reseller!A:E,5,0)</f>
        <v/>
      </c>
    </row>
    <row r="1415">
      <c r="A1415" t="inlineStr">
        <is>
          <t>OP15658</t>
        </is>
      </c>
      <c r="B1415">
        <f>VLOOKUP(A1415,Reseller!G:H,2,0)</f>
        <v/>
      </c>
      <c r="C1415" t="inlineStr">
        <is>
          <t>ONLINE</t>
        </is>
      </c>
      <c r="G1415" s="34">
        <f>VLOOKUP(Table4[[#This Row],[AGEN ID]],Reseller!A:E,5,0)</f>
        <v/>
      </c>
    </row>
    <row r="1416">
      <c r="A1416" t="inlineStr">
        <is>
          <t>OP15668</t>
        </is>
      </c>
      <c r="B1416">
        <f>VLOOKUP(A1416,Reseller!G:H,2,0)</f>
        <v/>
      </c>
      <c r="C1416" t="inlineStr">
        <is>
          <t>ONLINE</t>
        </is>
      </c>
      <c r="G1416" s="34">
        <f>VLOOKUP(Table4[[#This Row],[AGEN ID]],Reseller!A:E,5,0)</f>
        <v/>
      </c>
    </row>
    <row r="1417">
      <c r="A1417" s="32" t="inlineStr">
        <is>
          <t>OP15782</t>
        </is>
      </c>
      <c r="B1417">
        <f>VLOOKUP(A1417,Reseller!G:H,2,0)</f>
        <v/>
      </c>
      <c r="C1417" t="inlineStr">
        <is>
          <t>ONLINE</t>
        </is>
      </c>
      <c r="G1417" s="34">
        <f>VLOOKUP(Table4[[#This Row],[AGEN ID]],Reseller!A:E,5,0)</f>
        <v/>
      </c>
    </row>
    <row r="1418">
      <c r="A1418" s="32" t="inlineStr">
        <is>
          <t>OP15790</t>
        </is>
      </c>
      <c r="B1418">
        <f>VLOOKUP(A1418,Reseller!G:H,2,0)</f>
        <v/>
      </c>
      <c r="C1418" t="inlineStr">
        <is>
          <t>ONLINE</t>
        </is>
      </c>
      <c r="G1418" s="34">
        <f>VLOOKUP(Table4[[#This Row],[AGEN ID]],Reseller!A:E,5,0)</f>
        <v/>
      </c>
    </row>
    <row r="1419">
      <c r="A1419" t="inlineStr">
        <is>
          <t>OP15797</t>
        </is>
      </c>
      <c r="B1419">
        <f>VLOOKUP(A1419,Reseller!G:H,2,0)</f>
        <v/>
      </c>
      <c r="C1419" t="inlineStr">
        <is>
          <t>ONLINE</t>
        </is>
      </c>
      <c r="G1419" s="34">
        <f>VLOOKUP(Table4[[#This Row],[AGEN ID]],Reseller!A:E,5,0)</f>
        <v/>
      </c>
    </row>
    <row r="1420">
      <c r="A1420" t="inlineStr">
        <is>
          <t>OP15807</t>
        </is>
      </c>
      <c r="B1420">
        <f>VLOOKUP(A1420,Reseller!G:H,2,0)</f>
        <v/>
      </c>
      <c r="C1420" t="inlineStr">
        <is>
          <t>ONLINE</t>
        </is>
      </c>
      <c r="G1420" s="34">
        <f>VLOOKUP(Table4[[#This Row],[AGEN ID]],Reseller!A:E,5,0)</f>
        <v/>
      </c>
    </row>
    <row r="1421">
      <c r="A1421" s="32" t="inlineStr">
        <is>
          <t>OP15841</t>
        </is>
      </c>
      <c r="B1421">
        <f>VLOOKUP(A1421,Reseller!G:H,2,0)</f>
        <v/>
      </c>
      <c r="C1421" t="inlineStr">
        <is>
          <t>ONLINE</t>
        </is>
      </c>
      <c r="G1421" s="34">
        <f>VLOOKUP(Table4[[#This Row],[AGEN ID]],Reseller!A:E,5,0)</f>
        <v/>
      </c>
    </row>
    <row r="1422">
      <c r="A1422" s="32" t="inlineStr">
        <is>
          <t>OP15853</t>
        </is>
      </c>
      <c r="B1422">
        <f>VLOOKUP(A1422,Reseller!G:H,2,0)</f>
        <v/>
      </c>
      <c r="C1422" t="inlineStr">
        <is>
          <t>ONLINE</t>
        </is>
      </c>
      <c r="G1422" s="34">
        <f>VLOOKUP(Table4[[#This Row],[AGEN ID]],Reseller!A:E,5,0)</f>
        <v/>
      </c>
    </row>
    <row r="1423">
      <c r="A1423" t="inlineStr">
        <is>
          <t>OP15905</t>
        </is>
      </c>
      <c r="B1423">
        <f>VLOOKUP(A1423,Reseller!G:H,2,0)</f>
        <v/>
      </c>
      <c r="C1423" t="inlineStr">
        <is>
          <t>ONLINE</t>
        </is>
      </c>
      <c r="G1423" s="34">
        <f>VLOOKUP(Table4[[#This Row],[AGEN ID]],Reseller!A:E,5,0)</f>
        <v/>
      </c>
    </row>
    <row r="1424">
      <c r="A1424" t="inlineStr">
        <is>
          <t>OP15969</t>
        </is>
      </c>
      <c r="B1424">
        <f>VLOOKUP(A1424,Reseller!G:H,2,0)</f>
        <v/>
      </c>
      <c r="C1424" t="inlineStr">
        <is>
          <t>ONLINE</t>
        </is>
      </c>
      <c r="G1424" s="34">
        <f>VLOOKUP(Table4[[#This Row],[AGEN ID]],Reseller!A:E,5,0)</f>
        <v/>
      </c>
    </row>
    <row r="1425">
      <c r="A1425" t="inlineStr">
        <is>
          <t>OP15972</t>
        </is>
      </c>
      <c r="B1425">
        <f>VLOOKUP(A1425,Reseller!G:H,2,0)</f>
        <v/>
      </c>
      <c r="C1425" t="inlineStr">
        <is>
          <t>ONLINE</t>
        </is>
      </c>
      <c r="G1425" s="34">
        <f>VLOOKUP(Table4[[#This Row],[AGEN ID]],Reseller!A:E,5,0)</f>
        <v/>
      </c>
    </row>
    <row r="1426">
      <c r="A1426" t="inlineStr">
        <is>
          <t>OP15995</t>
        </is>
      </c>
      <c r="B1426">
        <f>VLOOKUP(A1426,Reseller!G:H,2,0)</f>
        <v/>
      </c>
      <c r="C1426" t="inlineStr">
        <is>
          <t>ONLINE</t>
        </is>
      </c>
      <c r="G1426" s="34">
        <f>VLOOKUP(Table4[[#This Row],[AGEN ID]],Reseller!A:E,5,0)</f>
        <v/>
      </c>
    </row>
    <row r="1427">
      <c r="A1427" t="inlineStr">
        <is>
          <t>OP15996</t>
        </is>
      </c>
      <c r="B1427">
        <f>VLOOKUP(A1427,Reseller!G:H,2,0)</f>
        <v/>
      </c>
      <c r="C1427" t="inlineStr">
        <is>
          <t>ONLINE</t>
        </is>
      </c>
      <c r="G1427" s="34">
        <f>VLOOKUP(Table4[[#This Row],[AGEN ID]],Reseller!A:E,5,0)</f>
        <v/>
      </c>
    </row>
    <row r="1428">
      <c r="A1428" t="inlineStr">
        <is>
          <t>OP16000</t>
        </is>
      </c>
      <c r="B1428">
        <f>VLOOKUP(A1428,Reseller!G:H,2,0)</f>
        <v/>
      </c>
      <c r="C1428" t="inlineStr">
        <is>
          <t>ONLINE</t>
        </is>
      </c>
      <c r="G1428" s="34">
        <f>VLOOKUP(Table4[[#This Row],[AGEN ID]],Reseller!A:E,5,0)</f>
        <v/>
      </c>
    </row>
    <row r="1429">
      <c r="A1429" t="inlineStr">
        <is>
          <t>OP16008</t>
        </is>
      </c>
      <c r="B1429">
        <f>VLOOKUP(A1429,Reseller!G:H,2,0)</f>
        <v/>
      </c>
      <c r="C1429" t="inlineStr">
        <is>
          <t>ONLINE</t>
        </is>
      </c>
      <c r="G1429" s="34">
        <f>VLOOKUP(Table4[[#This Row],[AGEN ID]],Reseller!A:E,5,0)</f>
        <v/>
      </c>
    </row>
    <row r="1430">
      <c r="A1430" t="inlineStr">
        <is>
          <t>OP16010</t>
        </is>
      </c>
      <c r="B1430">
        <f>VLOOKUP(A1430,Reseller!G:H,2,0)</f>
        <v/>
      </c>
      <c r="C1430" t="inlineStr">
        <is>
          <t>ONLINE</t>
        </is>
      </c>
      <c r="G1430" s="34">
        <f>VLOOKUP(Table4[[#This Row],[AGEN ID]],Reseller!A:E,5,0)</f>
        <v/>
      </c>
    </row>
    <row r="1431">
      <c r="A1431" s="32" t="inlineStr">
        <is>
          <t>OP16021</t>
        </is>
      </c>
      <c r="B1431">
        <f>VLOOKUP(A1431,Reseller!G:H,2,0)</f>
        <v/>
      </c>
      <c r="C1431" t="inlineStr">
        <is>
          <t>ONLINE</t>
        </is>
      </c>
      <c r="G1431" s="34">
        <f>VLOOKUP(Table4[[#This Row],[AGEN ID]],Reseller!A:E,5,0)</f>
        <v/>
      </c>
    </row>
    <row r="1432">
      <c r="A1432" t="inlineStr">
        <is>
          <t>OP16030</t>
        </is>
      </c>
      <c r="B1432">
        <f>VLOOKUP(A1432,Reseller!G:H,2,0)</f>
        <v/>
      </c>
      <c r="C1432" t="inlineStr">
        <is>
          <t>ONLINE</t>
        </is>
      </c>
      <c r="G1432" s="34">
        <f>VLOOKUP(Table4[[#This Row],[AGEN ID]],Reseller!A:E,5,0)</f>
        <v/>
      </c>
    </row>
    <row r="1433">
      <c r="A1433" t="inlineStr">
        <is>
          <t>OP16031</t>
        </is>
      </c>
      <c r="B1433">
        <f>VLOOKUP(A1433,Reseller!G:H,2,0)</f>
        <v/>
      </c>
      <c r="C1433" t="inlineStr">
        <is>
          <t>ONLINE</t>
        </is>
      </c>
      <c r="G1433" s="34">
        <f>VLOOKUP(Table4[[#This Row],[AGEN ID]],Reseller!A:E,5,0)</f>
        <v/>
      </c>
    </row>
    <row r="1434">
      <c r="A1434" t="inlineStr">
        <is>
          <t>OP16033</t>
        </is>
      </c>
      <c r="B1434">
        <f>VLOOKUP(A1434,Reseller!G:H,2,0)</f>
        <v/>
      </c>
      <c r="C1434" t="inlineStr">
        <is>
          <t>ONLINE</t>
        </is>
      </c>
      <c r="G1434" s="34">
        <f>VLOOKUP(Table4[[#This Row],[AGEN ID]],Reseller!A:E,5,0)</f>
        <v/>
      </c>
    </row>
    <row r="1435">
      <c r="A1435" t="inlineStr">
        <is>
          <t>OP16034</t>
        </is>
      </c>
      <c r="B1435">
        <f>VLOOKUP(A1435,Reseller!G:H,2,0)</f>
        <v/>
      </c>
      <c r="C1435" t="inlineStr">
        <is>
          <t>ONLINE</t>
        </is>
      </c>
      <c r="G1435" s="34">
        <f>VLOOKUP(Table4[[#This Row],[AGEN ID]],Reseller!A:E,5,0)</f>
        <v/>
      </c>
    </row>
    <row r="1436">
      <c r="A1436" t="inlineStr">
        <is>
          <t>OP16036</t>
        </is>
      </c>
      <c r="B1436">
        <f>VLOOKUP(A1436,Reseller!G:H,2,0)</f>
        <v/>
      </c>
      <c r="C1436" t="inlineStr">
        <is>
          <t>ONLINE</t>
        </is>
      </c>
      <c r="G1436" s="34">
        <f>VLOOKUP(Table4[[#This Row],[AGEN ID]],Reseller!A:E,5,0)</f>
        <v/>
      </c>
    </row>
    <row r="1437">
      <c r="A1437" t="inlineStr">
        <is>
          <t>OP16038</t>
        </is>
      </c>
      <c r="B1437">
        <f>VLOOKUP(A1437,Reseller!G:H,2,0)</f>
        <v/>
      </c>
      <c r="C1437" t="inlineStr">
        <is>
          <t>ONLINE</t>
        </is>
      </c>
      <c r="G1437" s="34">
        <f>VLOOKUP(Table4[[#This Row],[AGEN ID]],Reseller!A:E,5,0)</f>
        <v/>
      </c>
    </row>
    <row r="1438">
      <c r="A1438" t="inlineStr">
        <is>
          <t>OP16039</t>
        </is>
      </c>
      <c r="B1438">
        <f>VLOOKUP(A1438,Reseller!G:H,2,0)</f>
        <v/>
      </c>
      <c r="C1438" t="inlineStr">
        <is>
          <t>ONLINE</t>
        </is>
      </c>
      <c r="G1438" s="34">
        <f>VLOOKUP(Table4[[#This Row],[AGEN ID]],Reseller!A:E,5,0)</f>
        <v/>
      </c>
    </row>
    <row r="1439">
      <c r="A1439" t="inlineStr">
        <is>
          <t>OP16040</t>
        </is>
      </c>
      <c r="B1439">
        <f>VLOOKUP(A1439,Reseller!G:H,2,0)</f>
        <v/>
      </c>
      <c r="C1439" t="inlineStr">
        <is>
          <t>ONLINE</t>
        </is>
      </c>
      <c r="G1439" s="34">
        <f>VLOOKUP(Table4[[#This Row],[AGEN ID]],Reseller!A:E,5,0)</f>
        <v/>
      </c>
    </row>
    <row r="1440">
      <c r="A1440" t="inlineStr">
        <is>
          <t>OP16041</t>
        </is>
      </c>
      <c r="B1440">
        <f>VLOOKUP(A1440,Reseller!G:H,2,0)</f>
        <v/>
      </c>
      <c r="C1440" t="inlineStr">
        <is>
          <t>ONLINE</t>
        </is>
      </c>
      <c r="G1440" s="34">
        <f>VLOOKUP(Table4[[#This Row],[AGEN ID]],Reseller!A:E,5,0)</f>
        <v/>
      </c>
    </row>
    <row r="1441">
      <c r="A1441" t="inlineStr">
        <is>
          <t>OP16042</t>
        </is>
      </c>
      <c r="B1441">
        <f>VLOOKUP(A1441,Reseller!G:H,2,0)</f>
        <v/>
      </c>
      <c r="C1441" t="inlineStr">
        <is>
          <t>ONLINE</t>
        </is>
      </c>
      <c r="G1441" s="34">
        <f>VLOOKUP(Table4[[#This Row],[AGEN ID]],Reseller!A:E,5,0)</f>
        <v/>
      </c>
    </row>
    <row r="1442">
      <c r="A1442" t="inlineStr">
        <is>
          <t>OP16045</t>
        </is>
      </c>
      <c r="B1442">
        <f>VLOOKUP(A1442,Reseller!G:H,2,0)</f>
        <v/>
      </c>
      <c r="C1442" t="inlineStr">
        <is>
          <t>ONLINE</t>
        </is>
      </c>
      <c r="G1442" s="34">
        <f>VLOOKUP(Table4[[#This Row],[AGEN ID]],Reseller!A:E,5,0)</f>
        <v/>
      </c>
    </row>
    <row r="1443">
      <c r="A1443" t="inlineStr">
        <is>
          <t>OP16046</t>
        </is>
      </c>
      <c r="B1443">
        <f>VLOOKUP(A1443,Reseller!G:H,2,0)</f>
        <v/>
      </c>
      <c r="C1443" t="inlineStr">
        <is>
          <t>ONLINE</t>
        </is>
      </c>
      <c r="G1443" s="34">
        <f>VLOOKUP(Table4[[#This Row],[AGEN ID]],Reseller!A:E,5,0)</f>
        <v/>
      </c>
    </row>
    <row r="1444">
      <c r="A1444" t="inlineStr">
        <is>
          <t>OP16047</t>
        </is>
      </c>
      <c r="B1444">
        <f>VLOOKUP(A1444,Reseller!G:H,2,0)</f>
        <v/>
      </c>
      <c r="C1444" t="inlineStr">
        <is>
          <t>ONLINE</t>
        </is>
      </c>
      <c r="G1444" s="34">
        <f>VLOOKUP(Table4[[#This Row],[AGEN ID]],Reseller!A:E,5,0)</f>
        <v/>
      </c>
    </row>
    <row r="1445">
      <c r="A1445" t="inlineStr">
        <is>
          <t>OP16048</t>
        </is>
      </c>
      <c r="B1445">
        <f>VLOOKUP(A1445,Reseller!G:H,2,0)</f>
        <v/>
      </c>
      <c r="C1445" t="inlineStr">
        <is>
          <t>ONLINE</t>
        </is>
      </c>
      <c r="G1445" s="34">
        <f>VLOOKUP(Table4[[#This Row],[AGEN ID]],Reseller!A:E,5,0)</f>
        <v/>
      </c>
    </row>
    <row r="1446">
      <c r="A1446" t="inlineStr">
        <is>
          <t>OP16050</t>
        </is>
      </c>
      <c r="B1446">
        <f>VLOOKUP(A1446,Reseller!G:H,2,0)</f>
        <v/>
      </c>
      <c r="C1446" t="inlineStr">
        <is>
          <t>ONLINE</t>
        </is>
      </c>
      <c r="G1446" s="34">
        <f>VLOOKUP(Table4[[#This Row],[AGEN ID]],Reseller!A:E,5,0)</f>
        <v/>
      </c>
    </row>
    <row r="1447">
      <c r="A1447" t="inlineStr">
        <is>
          <t>OP16051</t>
        </is>
      </c>
      <c r="B1447">
        <f>VLOOKUP(A1447,Reseller!G:H,2,0)</f>
        <v/>
      </c>
      <c r="C1447" t="inlineStr">
        <is>
          <t>ONLINE</t>
        </is>
      </c>
      <c r="G1447" s="34">
        <f>VLOOKUP(Table4[[#This Row],[AGEN ID]],Reseller!A:E,5,0)</f>
        <v/>
      </c>
    </row>
    <row r="1448">
      <c r="A1448" t="inlineStr">
        <is>
          <t>OP16052</t>
        </is>
      </c>
      <c r="B1448">
        <f>VLOOKUP(A1448,Reseller!G:H,2,0)</f>
        <v/>
      </c>
      <c r="C1448" t="inlineStr">
        <is>
          <t>ONLINE</t>
        </is>
      </c>
      <c r="G1448" s="34">
        <f>VLOOKUP(Table4[[#This Row],[AGEN ID]],Reseller!A:E,5,0)</f>
        <v/>
      </c>
    </row>
    <row r="1449">
      <c r="A1449" t="inlineStr">
        <is>
          <t>OP16053</t>
        </is>
      </c>
      <c r="B1449">
        <f>VLOOKUP(A1449,Reseller!G:H,2,0)</f>
        <v/>
      </c>
      <c r="C1449" t="inlineStr">
        <is>
          <t>ONLINE</t>
        </is>
      </c>
      <c r="G1449" s="34">
        <f>VLOOKUP(Table4[[#This Row],[AGEN ID]],Reseller!A:E,5,0)</f>
        <v/>
      </c>
    </row>
    <row r="1450">
      <c r="A1450" t="inlineStr">
        <is>
          <t>OP16054</t>
        </is>
      </c>
      <c r="B1450">
        <f>VLOOKUP(A1450,Reseller!G:H,2,0)</f>
        <v/>
      </c>
      <c r="C1450" t="inlineStr">
        <is>
          <t>ONLINE</t>
        </is>
      </c>
      <c r="G1450" s="34">
        <f>VLOOKUP(Table4[[#This Row],[AGEN ID]],Reseller!A:E,5,0)</f>
        <v/>
      </c>
    </row>
    <row r="1451">
      <c r="A1451" t="inlineStr">
        <is>
          <t>OP16055</t>
        </is>
      </c>
      <c r="B1451">
        <f>VLOOKUP(A1451,Reseller!G:H,2,0)</f>
        <v/>
      </c>
      <c r="C1451" t="inlineStr">
        <is>
          <t>ONLINE</t>
        </is>
      </c>
      <c r="G1451" s="34">
        <f>VLOOKUP(Table4[[#This Row],[AGEN ID]],Reseller!A:E,5,0)</f>
        <v/>
      </c>
    </row>
    <row r="1452">
      <c r="A1452" t="inlineStr">
        <is>
          <t>OP16056</t>
        </is>
      </c>
      <c r="B1452">
        <f>VLOOKUP(A1452,Reseller!G:H,2,0)</f>
        <v/>
      </c>
      <c r="C1452" t="inlineStr">
        <is>
          <t>ONLINE</t>
        </is>
      </c>
      <c r="G1452" s="34">
        <f>VLOOKUP(Table4[[#This Row],[AGEN ID]],Reseller!A:E,5,0)</f>
        <v/>
      </c>
    </row>
    <row r="1453">
      <c r="A1453" t="inlineStr">
        <is>
          <t>OP16059</t>
        </is>
      </c>
      <c r="B1453">
        <f>VLOOKUP(A1453,Reseller!G:H,2,0)</f>
        <v/>
      </c>
      <c r="C1453" t="inlineStr">
        <is>
          <t>ONLINE</t>
        </is>
      </c>
      <c r="G1453" s="34">
        <f>VLOOKUP(Table4[[#This Row],[AGEN ID]],Reseller!A:E,5,0)</f>
        <v/>
      </c>
    </row>
    <row r="1454">
      <c r="A1454" s="32" t="inlineStr">
        <is>
          <t>OP16067</t>
        </is>
      </c>
      <c r="B1454">
        <f>VLOOKUP(A1454,Reseller!G:H,2,0)</f>
        <v/>
      </c>
      <c r="C1454" t="inlineStr">
        <is>
          <t>ONLINE</t>
        </is>
      </c>
      <c r="G1454" s="34">
        <f>VLOOKUP(Table4[[#This Row],[AGEN ID]],Reseller!A:E,5,0)</f>
        <v/>
      </c>
    </row>
    <row r="1455">
      <c r="A1455" t="inlineStr">
        <is>
          <t>OP16125</t>
        </is>
      </c>
      <c r="B1455">
        <f>VLOOKUP(A1455,Reseller!G:H,2,0)</f>
        <v/>
      </c>
      <c r="C1455" t="inlineStr">
        <is>
          <t>ONLINE</t>
        </is>
      </c>
      <c r="G1455" s="34">
        <f>VLOOKUP(Table4[[#This Row],[AGEN ID]],Reseller!A:E,5,0)</f>
        <v/>
      </c>
    </row>
    <row r="1456">
      <c r="A1456" s="32" t="inlineStr">
        <is>
          <t>OP16159</t>
        </is>
      </c>
      <c r="B1456">
        <f>VLOOKUP(A1456,Reseller!G:H,2,0)</f>
        <v/>
      </c>
      <c r="C1456" t="inlineStr">
        <is>
          <t>ONLINE</t>
        </is>
      </c>
      <c r="G1456" s="34">
        <f>VLOOKUP(Table4[[#This Row],[AGEN ID]],Reseller!A:E,5,0)</f>
        <v/>
      </c>
    </row>
    <row r="1457">
      <c r="A1457" t="inlineStr">
        <is>
          <t>OP16178</t>
        </is>
      </c>
      <c r="B1457">
        <f>VLOOKUP(A1457,Reseller!G:H,2,0)</f>
        <v/>
      </c>
      <c r="C1457" t="inlineStr">
        <is>
          <t>ONLINE</t>
        </is>
      </c>
      <c r="G1457" s="34">
        <f>VLOOKUP(Table4[[#This Row],[AGEN ID]],Reseller!A:E,5,0)</f>
        <v/>
      </c>
    </row>
    <row r="1458">
      <c r="A1458" s="32" t="inlineStr">
        <is>
          <t>OP16187</t>
        </is>
      </c>
      <c r="B1458">
        <f>VLOOKUP(A1458,Reseller!G:H,2,0)</f>
        <v/>
      </c>
      <c r="C1458" t="inlineStr">
        <is>
          <t>ONLINE</t>
        </is>
      </c>
      <c r="G1458" s="34">
        <f>VLOOKUP(Table4[[#This Row],[AGEN ID]],Reseller!A:E,5,0)</f>
        <v/>
      </c>
    </row>
    <row r="1459">
      <c r="A1459" s="32" t="inlineStr">
        <is>
          <t>OP16290</t>
        </is>
      </c>
      <c r="B1459">
        <f>VLOOKUP(A1459,Reseller!G:H,2,0)</f>
        <v/>
      </c>
      <c r="C1459" t="inlineStr">
        <is>
          <t>ONLINE</t>
        </is>
      </c>
      <c r="G1459" s="34">
        <f>VLOOKUP(Table4[[#This Row],[AGEN ID]],Reseller!A:E,5,0)</f>
        <v/>
      </c>
    </row>
    <row r="1460">
      <c r="A1460" s="32" t="inlineStr">
        <is>
          <t>OP16323</t>
        </is>
      </c>
      <c r="B1460">
        <f>VLOOKUP(A1460,Reseller!G:H,2,0)</f>
        <v/>
      </c>
      <c r="C1460" t="inlineStr">
        <is>
          <t>ONLINE</t>
        </is>
      </c>
      <c r="G1460" s="34">
        <f>VLOOKUP(Table4[[#This Row],[AGEN ID]],Reseller!A:E,5,0)</f>
        <v/>
      </c>
    </row>
    <row r="1461">
      <c r="A1461" t="inlineStr">
        <is>
          <t>OP16403</t>
        </is>
      </c>
      <c r="B1461">
        <f>VLOOKUP(A1461,Reseller!G:H,2,0)</f>
        <v/>
      </c>
      <c r="C1461" t="inlineStr">
        <is>
          <t>ONLINE</t>
        </is>
      </c>
      <c r="G1461" s="34">
        <f>VLOOKUP(Table4[[#This Row],[AGEN ID]],Reseller!A:E,5,0)</f>
        <v/>
      </c>
    </row>
    <row r="1462">
      <c r="A1462" s="32" t="inlineStr">
        <is>
          <t>OP16448</t>
        </is>
      </c>
      <c r="B1462">
        <f>VLOOKUP(A1462,Reseller!G:H,2,0)</f>
        <v/>
      </c>
      <c r="C1462" t="inlineStr">
        <is>
          <t>ONLINE</t>
        </is>
      </c>
      <c r="G1462" s="34">
        <f>VLOOKUP(Table4[[#This Row],[AGEN ID]],Reseller!A:E,5,0)</f>
        <v/>
      </c>
    </row>
    <row r="1463">
      <c r="A1463" t="inlineStr">
        <is>
          <t>OP16529</t>
        </is>
      </c>
      <c r="B1463">
        <f>VLOOKUP(A1463,Reseller!G:H,2,0)</f>
        <v/>
      </c>
      <c r="C1463" t="inlineStr">
        <is>
          <t>ONLINE</t>
        </is>
      </c>
      <c r="G1463" s="34">
        <f>VLOOKUP(Table4[[#This Row],[AGEN ID]],Reseller!A:E,5,0)</f>
        <v/>
      </c>
    </row>
    <row r="1464">
      <c r="A1464" s="32" t="inlineStr">
        <is>
          <t>OP16663</t>
        </is>
      </c>
      <c r="B1464">
        <f>VLOOKUP(A1464,Reseller!G:H,2,0)</f>
        <v/>
      </c>
      <c r="C1464" t="inlineStr">
        <is>
          <t>ONLINE</t>
        </is>
      </c>
      <c r="G1464" s="34">
        <f>VLOOKUP(Table4[[#This Row],[AGEN ID]],Reseller!A:E,5,0)</f>
        <v/>
      </c>
    </row>
    <row r="1465">
      <c r="A1465" s="32" t="inlineStr">
        <is>
          <t>OP16735</t>
        </is>
      </c>
      <c r="B1465">
        <f>VLOOKUP(A1465,Reseller!G:H,2,0)</f>
        <v/>
      </c>
      <c r="C1465" t="inlineStr">
        <is>
          <t>ONLINE</t>
        </is>
      </c>
      <c r="G1465" s="34">
        <f>VLOOKUP(Table4[[#This Row],[AGEN ID]],Reseller!A:E,5,0)</f>
        <v/>
      </c>
    </row>
    <row r="1466">
      <c r="A1466" s="32" t="inlineStr">
        <is>
          <t>OP16760</t>
        </is>
      </c>
      <c r="B1466">
        <f>VLOOKUP(A1466,Reseller!G:H,2,0)</f>
        <v/>
      </c>
      <c r="C1466" t="inlineStr">
        <is>
          <t>ONLINE</t>
        </is>
      </c>
      <c r="G1466" s="34">
        <f>VLOOKUP(Table4[[#This Row],[AGEN ID]],Reseller!A:E,5,0)</f>
        <v/>
      </c>
    </row>
    <row r="1467">
      <c r="A1467" s="32" t="inlineStr">
        <is>
          <t>OP16765</t>
        </is>
      </c>
      <c r="B1467">
        <f>VLOOKUP(A1467,Reseller!G:H,2,0)</f>
        <v/>
      </c>
      <c r="C1467" t="inlineStr">
        <is>
          <t>ONLINE</t>
        </is>
      </c>
      <c r="G1467" s="34">
        <f>VLOOKUP(Table4[[#This Row],[AGEN ID]],Reseller!A:E,5,0)</f>
        <v/>
      </c>
    </row>
    <row r="1468">
      <c r="A1468" s="32" t="inlineStr">
        <is>
          <t>OP16832</t>
        </is>
      </c>
      <c r="B1468">
        <f>VLOOKUP(A1468,Reseller!G:H,2,0)</f>
        <v/>
      </c>
      <c r="C1468" t="inlineStr">
        <is>
          <t>ONLINE</t>
        </is>
      </c>
      <c r="G1468" s="34">
        <f>VLOOKUP(Table4[[#This Row],[AGEN ID]],Reseller!A:E,5,0)</f>
        <v/>
      </c>
    </row>
    <row r="1469">
      <c r="A1469" s="32" t="inlineStr">
        <is>
          <t>OP16925</t>
        </is>
      </c>
      <c r="B1469">
        <f>VLOOKUP(A1469,Reseller!G:H,2,0)</f>
        <v/>
      </c>
      <c r="C1469" t="inlineStr">
        <is>
          <t>ONLINE</t>
        </is>
      </c>
      <c r="G1469" s="34">
        <f>VLOOKUP(Table4[[#This Row],[AGEN ID]],Reseller!A:E,5,0)</f>
        <v/>
      </c>
    </row>
    <row r="1470">
      <c r="A1470" s="32" t="inlineStr">
        <is>
          <t>OP16949</t>
        </is>
      </c>
      <c r="B1470">
        <f>VLOOKUP(A1470,Reseller!G:H,2,0)</f>
        <v/>
      </c>
      <c r="C1470" t="inlineStr">
        <is>
          <t>ONLINE</t>
        </is>
      </c>
      <c r="G1470" s="34">
        <f>VLOOKUP(Table4[[#This Row],[AGEN ID]],Reseller!A:E,5,0)</f>
        <v/>
      </c>
    </row>
    <row r="1471">
      <c r="A1471" s="32" t="inlineStr">
        <is>
          <t>OP17016</t>
        </is>
      </c>
      <c r="B1471">
        <f>VLOOKUP(A1471,Reseller!G:H,2,0)</f>
        <v/>
      </c>
      <c r="C1471" t="inlineStr">
        <is>
          <t>ONLINE</t>
        </is>
      </c>
      <c r="G1471" s="34">
        <f>VLOOKUP(Table4[[#This Row],[AGEN ID]],Reseller!A:E,5,0)</f>
        <v/>
      </c>
    </row>
    <row r="1472">
      <c r="A1472" t="inlineStr">
        <is>
          <t>OP17019</t>
        </is>
      </c>
      <c r="B1472">
        <f>VLOOKUP(A1472,Reseller!G:H,2,0)</f>
        <v/>
      </c>
      <c r="C1472" t="inlineStr">
        <is>
          <t>ONLINE</t>
        </is>
      </c>
      <c r="G1472" s="34">
        <f>VLOOKUP(Table4[[#This Row],[AGEN ID]],Reseller!A:E,5,0)</f>
        <v/>
      </c>
    </row>
    <row r="1473">
      <c r="A1473" t="inlineStr">
        <is>
          <t>OP17042</t>
        </is>
      </c>
      <c r="B1473">
        <f>VLOOKUP(A1473,Reseller!G:H,2,0)</f>
        <v/>
      </c>
      <c r="C1473" t="inlineStr">
        <is>
          <t>ONLINE</t>
        </is>
      </c>
      <c r="G1473" s="34">
        <f>VLOOKUP(Table4[[#This Row],[AGEN ID]],Reseller!A:E,5,0)</f>
        <v/>
      </c>
    </row>
    <row r="1474">
      <c r="A1474" s="32" t="inlineStr">
        <is>
          <t>OP17057</t>
        </is>
      </c>
      <c r="B1474">
        <f>VLOOKUP(A1474,Reseller!G:H,2,0)</f>
        <v/>
      </c>
      <c r="C1474" t="inlineStr">
        <is>
          <t>ONLINE</t>
        </is>
      </c>
      <c r="G1474" s="34">
        <f>VLOOKUP(Table4[[#This Row],[AGEN ID]],Reseller!A:E,5,0)</f>
        <v/>
      </c>
    </row>
    <row r="1475">
      <c r="A1475" s="32" t="inlineStr">
        <is>
          <t>OP17074</t>
        </is>
      </c>
      <c r="B1475">
        <f>VLOOKUP(A1475,Reseller!G:H,2,0)</f>
        <v/>
      </c>
      <c r="C1475" t="inlineStr">
        <is>
          <t>ONLINE</t>
        </is>
      </c>
      <c r="G1475" s="34">
        <f>VLOOKUP(Table4[[#This Row],[AGEN ID]],Reseller!A:E,5,0)</f>
        <v/>
      </c>
    </row>
    <row r="1476">
      <c r="A1476" s="32" t="inlineStr">
        <is>
          <t>OP17105</t>
        </is>
      </c>
      <c r="B1476">
        <f>VLOOKUP(A1476,Reseller!G:H,2,0)</f>
        <v/>
      </c>
      <c r="C1476" t="inlineStr">
        <is>
          <t>ONLINE</t>
        </is>
      </c>
      <c r="G1476" s="34">
        <f>VLOOKUP(Table4[[#This Row],[AGEN ID]],Reseller!A:E,5,0)</f>
        <v/>
      </c>
    </row>
    <row r="1477">
      <c r="A1477" t="inlineStr">
        <is>
          <t>OP17115</t>
        </is>
      </c>
      <c r="B1477">
        <f>VLOOKUP(A1477,Reseller!G:H,2,0)</f>
        <v/>
      </c>
      <c r="C1477" t="inlineStr">
        <is>
          <t>ONLINE</t>
        </is>
      </c>
      <c r="G1477" s="34">
        <f>VLOOKUP(Table4[[#This Row],[AGEN ID]],Reseller!A:E,5,0)</f>
        <v/>
      </c>
    </row>
    <row r="1478">
      <c r="A1478" t="inlineStr">
        <is>
          <t>OP17159</t>
        </is>
      </c>
      <c r="B1478">
        <f>VLOOKUP(A1478,Reseller!G:H,2,0)</f>
        <v/>
      </c>
      <c r="C1478" t="inlineStr">
        <is>
          <t>ONLINE</t>
        </is>
      </c>
      <c r="G1478" s="34">
        <f>VLOOKUP(Table4[[#This Row],[AGEN ID]],Reseller!A:E,5,0)</f>
        <v/>
      </c>
    </row>
    <row r="1479">
      <c r="A1479" t="inlineStr">
        <is>
          <t>OP17384</t>
        </is>
      </c>
      <c r="B1479">
        <f>VLOOKUP(A1479,Reseller!G:H,2,0)</f>
        <v/>
      </c>
      <c r="C1479" t="inlineStr">
        <is>
          <t>ONLINE</t>
        </is>
      </c>
      <c r="G1479" s="34">
        <f>VLOOKUP(Table4[[#This Row],[AGEN ID]],Reseller!A:E,5,0)</f>
        <v/>
      </c>
    </row>
    <row r="1480">
      <c r="A1480" s="32" t="inlineStr">
        <is>
          <t>OP17440</t>
        </is>
      </c>
      <c r="B1480">
        <f>VLOOKUP(A1480,Reseller!G:H,2,0)</f>
        <v/>
      </c>
      <c r="C1480" t="inlineStr">
        <is>
          <t>ONLINE</t>
        </is>
      </c>
      <c r="G1480" s="34">
        <f>VLOOKUP(Table4[[#This Row],[AGEN ID]],Reseller!A:E,5,0)</f>
        <v/>
      </c>
    </row>
    <row r="1481">
      <c r="A1481" s="32" t="inlineStr">
        <is>
          <t>OP17443</t>
        </is>
      </c>
      <c r="B1481">
        <f>VLOOKUP(A1481,Reseller!G:H,2,0)</f>
        <v/>
      </c>
      <c r="C1481" t="inlineStr">
        <is>
          <t>ONLINE</t>
        </is>
      </c>
      <c r="G1481" s="34">
        <f>VLOOKUP(Table4[[#This Row],[AGEN ID]],Reseller!A:E,5,0)</f>
        <v/>
      </c>
    </row>
    <row r="1482">
      <c r="A1482" s="32" t="inlineStr">
        <is>
          <t>OP17530</t>
        </is>
      </c>
      <c r="B1482">
        <f>VLOOKUP(A1482,Reseller!G:H,2,0)</f>
        <v/>
      </c>
      <c r="C1482" t="inlineStr">
        <is>
          <t>ONLINE</t>
        </is>
      </c>
      <c r="G1482" s="34">
        <f>VLOOKUP(Table4[[#This Row],[AGEN ID]],Reseller!A:E,5,0)</f>
        <v/>
      </c>
    </row>
    <row r="1483">
      <c r="A1483" s="32" t="inlineStr">
        <is>
          <t>OP17688</t>
        </is>
      </c>
      <c r="B1483">
        <f>VLOOKUP(A1483,Reseller!G:H,2,0)</f>
        <v/>
      </c>
      <c r="C1483" t="inlineStr">
        <is>
          <t>ONLINE</t>
        </is>
      </c>
      <c r="G1483" s="34">
        <f>VLOOKUP(Table4[[#This Row],[AGEN ID]],Reseller!A:E,5,0)</f>
        <v/>
      </c>
    </row>
    <row r="1484">
      <c r="A1484" s="32" t="inlineStr">
        <is>
          <t>OP17758</t>
        </is>
      </c>
      <c r="B1484">
        <f>VLOOKUP(A1484,Reseller!G:H,2,0)</f>
        <v/>
      </c>
      <c r="C1484" t="inlineStr">
        <is>
          <t>ONLINE</t>
        </is>
      </c>
      <c r="G1484" s="34">
        <f>VLOOKUP(Table4[[#This Row],[AGEN ID]],Reseller!A:E,5,0)</f>
        <v/>
      </c>
    </row>
    <row r="1485">
      <c r="A1485" s="32" t="inlineStr">
        <is>
          <t>OP17774</t>
        </is>
      </c>
      <c r="B1485">
        <f>VLOOKUP(A1485,Reseller!G:H,2,0)</f>
        <v/>
      </c>
      <c r="C1485" t="inlineStr">
        <is>
          <t>ONLINE</t>
        </is>
      </c>
      <c r="G1485" s="34">
        <f>VLOOKUP(Table4[[#This Row],[AGEN ID]],Reseller!A:E,5,0)</f>
        <v/>
      </c>
    </row>
    <row r="1486">
      <c r="A1486" s="32" t="inlineStr">
        <is>
          <t>OP17776</t>
        </is>
      </c>
      <c r="B1486">
        <f>VLOOKUP(A1486,Reseller!G:H,2,0)</f>
        <v/>
      </c>
      <c r="C1486" t="inlineStr">
        <is>
          <t>ONLINE</t>
        </is>
      </c>
      <c r="G1486" s="34">
        <f>VLOOKUP(Table4[[#This Row],[AGEN ID]],Reseller!A:E,5,0)</f>
        <v/>
      </c>
    </row>
    <row r="1487">
      <c r="A1487" t="inlineStr">
        <is>
          <t>OP17818</t>
        </is>
      </c>
      <c r="B1487">
        <f>VLOOKUP(A1487,Reseller!G:H,2,0)</f>
        <v/>
      </c>
      <c r="C1487" t="inlineStr">
        <is>
          <t>ONLINE</t>
        </is>
      </c>
      <c r="G1487" s="34">
        <f>VLOOKUP(Table4[[#This Row],[AGEN ID]],Reseller!A:E,5,0)</f>
        <v/>
      </c>
    </row>
    <row r="1488">
      <c r="A1488" s="32" t="inlineStr">
        <is>
          <t>OP17931</t>
        </is>
      </c>
      <c r="B1488">
        <f>VLOOKUP(A1488,Reseller!G:H,2,0)</f>
        <v/>
      </c>
      <c r="C1488" t="inlineStr">
        <is>
          <t>ONLINE</t>
        </is>
      </c>
      <c r="G1488" s="34">
        <f>VLOOKUP(Table4[[#This Row],[AGEN ID]],Reseller!A:E,5,0)</f>
        <v/>
      </c>
    </row>
    <row r="1489">
      <c r="A1489" s="32" t="inlineStr">
        <is>
          <t>OP17977</t>
        </is>
      </c>
      <c r="B1489">
        <f>VLOOKUP(A1489,Reseller!G:H,2,0)</f>
        <v/>
      </c>
      <c r="C1489" t="inlineStr">
        <is>
          <t>ONLINE</t>
        </is>
      </c>
      <c r="G1489" s="34">
        <f>VLOOKUP(Table4[[#This Row],[AGEN ID]],Reseller!A:E,5,0)</f>
        <v/>
      </c>
    </row>
    <row r="1490">
      <c r="A1490" t="inlineStr">
        <is>
          <t>OP18089</t>
        </is>
      </c>
      <c r="B1490">
        <f>VLOOKUP(A1490,Reseller!G:H,2,0)</f>
        <v/>
      </c>
      <c r="C1490" t="inlineStr">
        <is>
          <t>ONLINE</t>
        </is>
      </c>
      <c r="G1490" s="34">
        <f>VLOOKUP(Table4[[#This Row],[AGEN ID]],Reseller!A:E,5,0)</f>
        <v/>
      </c>
    </row>
    <row r="1491">
      <c r="A1491" s="32" t="inlineStr">
        <is>
          <t>OP18104</t>
        </is>
      </c>
      <c r="B1491">
        <f>VLOOKUP(A1491,Reseller!G:H,2,0)</f>
        <v/>
      </c>
      <c r="C1491" t="inlineStr">
        <is>
          <t>ONLINE</t>
        </is>
      </c>
      <c r="G1491" s="34">
        <f>VLOOKUP(Table4[[#This Row],[AGEN ID]],Reseller!A:E,5,0)</f>
        <v/>
      </c>
    </row>
    <row r="1492">
      <c r="A1492" s="32" t="inlineStr">
        <is>
          <t>OP18108</t>
        </is>
      </c>
      <c r="B1492">
        <f>VLOOKUP(A1492,Reseller!G:H,2,0)</f>
        <v/>
      </c>
      <c r="C1492" t="inlineStr">
        <is>
          <t>ONLINE</t>
        </is>
      </c>
      <c r="G1492" s="34">
        <f>VLOOKUP(Table4[[#This Row],[AGEN ID]],Reseller!A:E,5,0)</f>
        <v/>
      </c>
    </row>
    <row r="1493">
      <c r="A1493" s="32" t="inlineStr">
        <is>
          <t>OP18127</t>
        </is>
      </c>
      <c r="B1493">
        <f>VLOOKUP(A1493,Reseller!G:H,2,0)</f>
        <v/>
      </c>
      <c r="C1493" t="inlineStr">
        <is>
          <t>ONLINE</t>
        </is>
      </c>
      <c r="G1493" s="34">
        <f>VLOOKUP(Table4[[#This Row],[AGEN ID]],Reseller!A:E,5,0)</f>
        <v/>
      </c>
    </row>
    <row r="1494">
      <c r="A1494" s="32" t="inlineStr">
        <is>
          <t>OP18164</t>
        </is>
      </c>
      <c r="B1494">
        <f>VLOOKUP(A1494,Reseller!G:H,2,0)</f>
        <v/>
      </c>
      <c r="C1494" t="inlineStr">
        <is>
          <t>ONLINE</t>
        </is>
      </c>
      <c r="G1494" s="34">
        <f>VLOOKUP(Table4[[#This Row],[AGEN ID]],Reseller!A:E,5,0)</f>
        <v/>
      </c>
    </row>
    <row r="1495">
      <c r="A1495" t="inlineStr">
        <is>
          <t>OP18169</t>
        </is>
      </c>
      <c r="B1495">
        <f>VLOOKUP(A1495,Reseller!G:H,2,0)</f>
        <v/>
      </c>
      <c r="C1495" t="inlineStr">
        <is>
          <t>ONLINE</t>
        </is>
      </c>
      <c r="G1495" s="34">
        <f>VLOOKUP(Table4[[#This Row],[AGEN ID]],Reseller!A:E,5,0)</f>
        <v/>
      </c>
    </row>
    <row r="1496">
      <c r="A1496" t="inlineStr">
        <is>
          <t>OP18171</t>
        </is>
      </c>
      <c r="B1496">
        <f>VLOOKUP(A1496,Reseller!G:H,2,0)</f>
        <v/>
      </c>
      <c r="C1496" t="inlineStr">
        <is>
          <t>ONLINE</t>
        </is>
      </c>
      <c r="G1496" s="34">
        <f>VLOOKUP(Table4[[#This Row],[AGEN ID]],Reseller!A:E,5,0)</f>
        <v/>
      </c>
    </row>
    <row r="1497">
      <c r="A1497" t="inlineStr">
        <is>
          <t>OP18175</t>
        </is>
      </c>
      <c r="B1497">
        <f>VLOOKUP(A1497,Reseller!G:H,2,0)</f>
        <v/>
      </c>
      <c r="C1497" t="inlineStr">
        <is>
          <t>ONLINE</t>
        </is>
      </c>
      <c r="G1497" s="34">
        <f>VLOOKUP(Table4[[#This Row],[AGEN ID]],Reseller!A:E,5,0)</f>
        <v/>
      </c>
    </row>
    <row r="1498">
      <c r="A1498" s="32" t="inlineStr">
        <is>
          <t>OP18189</t>
        </is>
      </c>
      <c r="B1498">
        <f>VLOOKUP(A1498,Reseller!G:H,2,0)</f>
        <v/>
      </c>
      <c r="C1498" t="inlineStr">
        <is>
          <t>ONLINE</t>
        </is>
      </c>
      <c r="G1498" s="34">
        <f>VLOOKUP(Table4[[#This Row],[AGEN ID]],Reseller!A:E,5,0)</f>
        <v/>
      </c>
    </row>
    <row r="1499">
      <c r="A1499" s="32" t="inlineStr">
        <is>
          <t>OP18228</t>
        </is>
      </c>
      <c r="B1499">
        <f>VLOOKUP(A1499,Reseller!G:H,2,0)</f>
        <v/>
      </c>
      <c r="C1499" t="inlineStr">
        <is>
          <t>ONLINE</t>
        </is>
      </c>
      <c r="G1499" s="34">
        <f>VLOOKUP(Table4[[#This Row],[AGEN ID]],Reseller!A:E,5,0)</f>
        <v/>
      </c>
    </row>
    <row r="1500">
      <c r="A1500" s="32" t="inlineStr">
        <is>
          <t>OP18231</t>
        </is>
      </c>
      <c r="B1500">
        <f>VLOOKUP(A1500,Reseller!G:H,2,0)</f>
        <v/>
      </c>
      <c r="C1500" t="inlineStr">
        <is>
          <t>ONLINE</t>
        </is>
      </c>
      <c r="G1500" s="34">
        <f>VLOOKUP(Table4[[#This Row],[AGEN ID]],Reseller!A:E,5,0)</f>
        <v/>
      </c>
    </row>
    <row r="1501">
      <c r="A1501" s="32" t="inlineStr">
        <is>
          <t>OP18232</t>
        </is>
      </c>
      <c r="B1501">
        <f>VLOOKUP(A1501,Reseller!G:H,2,0)</f>
        <v/>
      </c>
      <c r="C1501" t="inlineStr">
        <is>
          <t>ONLINE</t>
        </is>
      </c>
      <c r="G1501" s="34">
        <f>VLOOKUP(Table4[[#This Row],[AGEN ID]],Reseller!A:E,5,0)</f>
        <v/>
      </c>
    </row>
    <row r="1502">
      <c r="A1502" s="32" t="inlineStr">
        <is>
          <t>OP18291</t>
        </is>
      </c>
      <c r="B1502">
        <f>VLOOKUP(A1502,Reseller!G:H,2,0)</f>
        <v/>
      </c>
      <c r="C1502" t="inlineStr">
        <is>
          <t>ONLINE</t>
        </is>
      </c>
      <c r="G1502" s="34">
        <f>VLOOKUP(Table4[[#This Row],[AGEN ID]],Reseller!A:E,5,0)</f>
        <v/>
      </c>
    </row>
    <row r="1503">
      <c r="A1503" t="inlineStr">
        <is>
          <t>OP18329</t>
        </is>
      </c>
      <c r="B1503">
        <f>VLOOKUP(A1503,Reseller!G:H,2,0)</f>
        <v/>
      </c>
      <c r="C1503" t="inlineStr">
        <is>
          <t>ONLINE</t>
        </is>
      </c>
      <c r="G1503" s="34">
        <f>VLOOKUP(Table4[[#This Row],[AGEN ID]],Reseller!A:E,5,0)</f>
        <v/>
      </c>
    </row>
    <row r="1504">
      <c r="A1504" t="inlineStr">
        <is>
          <t>OP18337</t>
        </is>
      </c>
      <c r="B1504">
        <f>VLOOKUP(A1504,Reseller!G:H,2,0)</f>
        <v/>
      </c>
      <c r="C1504" t="inlineStr">
        <is>
          <t>ONLINE</t>
        </is>
      </c>
      <c r="G1504" s="34">
        <f>VLOOKUP(Table4[[#This Row],[AGEN ID]],Reseller!A:E,5,0)</f>
        <v/>
      </c>
    </row>
    <row r="1505">
      <c r="A1505" s="32" t="inlineStr">
        <is>
          <t>OP18392</t>
        </is>
      </c>
      <c r="B1505">
        <f>VLOOKUP(A1505,Reseller!G:H,2,0)</f>
        <v/>
      </c>
      <c r="C1505" t="inlineStr">
        <is>
          <t>ONLINE</t>
        </is>
      </c>
      <c r="G1505" s="34">
        <f>VLOOKUP(Table4[[#This Row],[AGEN ID]],Reseller!A:E,5,0)</f>
        <v/>
      </c>
    </row>
    <row r="1506">
      <c r="A1506" s="32" t="inlineStr">
        <is>
          <t>OP18454</t>
        </is>
      </c>
      <c r="B1506">
        <f>VLOOKUP(A1506,Reseller!G:H,2,0)</f>
        <v/>
      </c>
      <c r="C1506" t="inlineStr">
        <is>
          <t>ONLINE</t>
        </is>
      </c>
      <c r="G1506" s="34">
        <f>VLOOKUP(Table4[[#This Row],[AGEN ID]],Reseller!A:E,5,0)</f>
        <v/>
      </c>
    </row>
    <row r="1507">
      <c r="A1507" t="inlineStr">
        <is>
          <t>OP18469</t>
        </is>
      </c>
      <c r="B1507">
        <f>VLOOKUP(A1507,Reseller!G:H,2,0)</f>
        <v/>
      </c>
      <c r="C1507" t="inlineStr">
        <is>
          <t>ONLINE</t>
        </is>
      </c>
      <c r="G1507" s="34">
        <f>VLOOKUP(Table4[[#This Row],[AGEN ID]],Reseller!A:E,5,0)</f>
        <v/>
      </c>
    </row>
    <row r="1508">
      <c r="A1508" t="inlineStr">
        <is>
          <t>OP18479</t>
        </is>
      </c>
      <c r="B1508">
        <f>VLOOKUP(A1508,Reseller!G:H,2,0)</f>
        <v/>
      </c>
      <c r="C1508" t="inlineStr">
        <is>
          <t>ONLINE</t>
        </is>
      </c>
      <c r="G1508" s="34">
        <f>VLOOKUP(Table4[[#This Row],[AGEN ID]],Reseller!A:E,5,0)</f>
        <v/>
      </c>
    </row>
    <row r="1509">
      <c r="A1509" s="32" t="inlineStr">
        <is>
          <t>OP18504</t>
        </is>
      </c>
      <c r="B1509">
        <f>VLOOKUP(A1509,Reseller!G:H,2,0)</f>
        <v/>
      </c>
      <c r="C1509" t="inlineStr">
        <is>
          <t>ONLINE</t>
        </is>
      </c>
      <c r="G1509" s="34">
        <f>VLOOKUP(Table4[[#This Row],[AGEN ID]],Reseller!A:E,5,0)</f>
        <v/>
      </c>
    </row>
    <row r="1510">
      <c r="A1510" s="32" t="inlineStr">
        <is>
          <t>OP18511</t>
        </is>
      </c>
      <c r="B1510">
        <f>VLOOKUP(A1510,Reseller!G:H,2,0)</f>
        <v/>
      </c>
      <c r="C1510" t="inlineStr">
        <is>
          <t>ONLINE</t>
        </is>
      </c>
      <c r="G1510" s="34">
        <f>VLOOKUP(Table4[[#This Row],[AGEN ID]],Reseller!A:E,5,0)</f>
        <v/>
      </c>
    </row>
    <row r="1511">
      <c r="A1511" s="32" t="inlineStr">
        <is>
          <t>OP18513</t>
        </is>
      </c>
      <c r="B1511">
        <f>VLOOKUP(A1511,Reseller!G:H,2,0)</f>
        <v/>
      </c>
      <c r="C1511" t="inlineStr">
        <is>
          <t>ONLINE</t>
        </is>
      </c>
      <c r="G1511" s="34">
        <f>VLOOKUP(Table4[[#This Row],[AGEN ID]],Reseller!A:E,5,0)</f>
        <v/>
      </c>
    </row>
    <row r="1512">
      <c r="A1512" s="32" t="inlineStr">
        <is>
          <t>OP18525</t>
        </is>
      </c>
      <c r="B1512">
        <f>VLOOKUP(A1512,Reseller!G:H,2,0)</f>
        <v/>
      </c>
      <c r="C1512" t="inlineStr">
        <is>
          <t>ONLINE</t>
        </is>
      </c>
      <c r="G1512" s="34">
        <f>VLOOKUP(Table4[[#This Row],[AGEN ID]],Reseller!A:E,5,0)</f>
        <v/>
      </c>
    </row>
    <row r="1513">
      <c r="A1513" s="32" t="inlineStr">
        <is>
          <t>OP18539</t>
        </is>
      </c>
      <c r="B1513">
        <f>VLOOKUP(A1513,Reseller!G:H,2,0)</f>
        <v/>
      </c>
      <c r="C1513" t="inlineStr">
        <is>
          <t>ONLINE</t>
        </is>
      </c>
      <c r="G1513" s="34">
        <f>VLOOKUP(Table4[[#This Row],[AGEN ID]],Reseller!A:E,5,0)</f>
        <v/>
      </c>
    </row>
    <row r="1514">
      <c r="A1514" t="inlineStr">
        <is>
          <t>OP18546</t>
        </is>
      </c>
      <c r="B1514">
        <f>VLOOKUP(A1514,Reseller!G:H,2,0)</f>
        <v/>
      </c>
      <c r="C1514" t="inlineStr">
        <is>
          <t>ONLINE</t>
        </is>
      </c>
      <c r="G1514" s="34">
        <f>VLOOKUP(Table4[[#This Row],[AGEN ID]],Reseller!A:E,5,0)</f>
        <v/>
      </c>
    </row>
    <row r="1515">
      <c r="A1515" s="32" t="inlineStr">
        <is>
          <t>OP18577</t>
        </is>
      </c>
      <c r="B1515">
        <f>VLOOKUP(A1515,Reseller!G:H,2,0)</f>
        <v/>
      </c>
      <c r="C1515" t="inlineStr">
        <is>
          <t>ONLINE</t>
        </is>
      </c>
      <c r="G1515" s="34">
        <f>VLOOKUP(Table4[[#This Row],[AGEN ID]],Reseller!A:E,5,0)</f>
        <v/>
      </c>
    </row>
    <row r="1516">
      <c r="A1516" s="32" t="inlineStr">
        <is>
          <t>OP18595</t>
        </is>
      </c>
      <c r="B1516">
        <f>VLOOKUP(A1516,Reseller!G:H,2,0)</f>
        <v/>
      </c>
      <c r="C1516" t="inlineStr">
        <is>
          <t>ONLINE</t>
        </is>
      </c>
      <c r="G1516" s="34">
        <f>VLOOKUP(Table4[[#This Row],[AGEN ID]],Reseller!A:E,5,0)</f>
        <v/>
      </c>
    </row>
    <row r="1517">
      <c r="A1517" t="inlineStr">
        <is>
          <t>OP18607</t>
        </is>
      </c>
      <c r="B1517">
        <f>VLOOKUP(A1517,Reseller!G:H,2,0)</f>
        <v/>
      </c>
      <c r="C1517" t="inlineStr">
        <is>
          <t>ONLINE</t>
        </is>
      </c>
      <c r="G1517" s="34">
        <f>VLOOKUP(Table4[[#This Row],[AGEN ID]],Reseller!A:E,5,0)</f>
        <v/>
      </c>
    </row>
    <row r="1518">
      <c r="A1518" t="inlineStr">
        <is>
          <t>OP18610</t>
        </is>
      </c>
      <c r="B1518">
        <f>VLOOKUP(A1518,Reseller!G:H,2,0)</f>
        <v/>
      </c>
      <c r="C1518" t="inlineStr">
        <is>
          <t>ONLINE</t>
        </is>
      </c>
      <c r="G1518" s="34">
        <f>VLOOKUP(Table4[[#This Row],[AGEN ID]],Reseller!A:E,5,0)</f>
        <v/>
      </c>
    </row>
    <row r="1519">
      <c r="A1519" s="32" t="inlineStr">
        <is>
          <t>OP18617</t>
        </is>
      </c>
      <c r="B1519">
        <f>VLOOKUP(A1519,Reseller!G:H,2,0)</f>
        <v/>
      </c>
      <c r="C1519" t="inlineStr">
        <is>
          <t>ONLINE</t>
        </is>
      </c>
      <c r="G1519" s="34">
        <f>VLOOKUP(Table4[[#This Row],[AGEN ID]],Reseller!A:E,5,0)</f>
        <v/>
      </c>
    </row>
    <row r="1520">
      <c r="A1520" s="32" t="inlineStr">
        <is>
          <t>OP18652</t>
        </is>
      </c>
      <c r="B1520">
        <f>VLOOKUP(A1520,Reseller!G:H,2,0)</f>
        <v/>
      </c>
      <c r="C1520" t="inlineStr">
        <is>
          <t>ONLINE</t>
        </is>
      </c>
      <c r="G1520" s="34">
        <f>VLOOKUP(Table4[[#This Row],[AGEN ID]],Reseller!A:E,5,0)</f>
        <v/>
      </c>
    </row>
    <row r="1521">
      <c r="A1521" s="32" t="inlineStr">
        <is>
          <t>OP18653</t>
        </is>
      </c>
      <c r="B1521">
        <f>VLOOKUP(A1521,Reseller!G:H,2,0)</f>
        <v/>
      </c>
      <c r="C1521" t="inlineStr">
        <is>
          <t>ONLINE</t>
        </is>
      </c>
      <c r="G1521" s="34">
        <f>VLOOKUP(Table4[[#This Row],[AGEN ID]],Reseller!A:E,5,0)</f>
        <v/>
      </c>
    </row>
    <row r="1522">
      <c r="A1522" s="32" t="inlineStr">
        <is>
          <t>OP18670</t>
        </is>
      </c>
      <c r="B1522">
        <f>VLOOKUP(A1522,Reseller!G:H,2,0)</f>
        <v/>
      </c>
      <c r="C1522" t="inlineStr">
        <is>
          <t>ONLINE</t>
        </is>
      </c>
      <c r="G1522" s="34">
        <f>VLOOKUP(Table4[[#This Row],[AGEN ID]],Reseller!A:E,5,0)</f>
        <v/>
      </c>
    </row>
    <row r="1523">
      <c r="A1523" t="inlineStr">
        <is>
          <t>OP18682</t>
        </is>
      </c>
      <c r="B1523">
        <f>VLOOKUP(A1523,Reseller!G:H,2,0)</f>
        <v/>
      </c>
      <c r="C1523" t="inlineStr">
        <is>
          <t>ONLINE</t>
        </is>
      </c>
      <c r="G1523" s="34">
        <f>VLOOKUP(Table4[[#This Row],[AGEN ID]],Reseller!A:E,5,0)</f>
        <v/>
      </c>
    </row>
    <row r="1524">
      <c r="A1524" t="inlineStr">
        <is>
          <t>OP18689</t>
        </is>
      </c>
      <c r="B1524">
        <f>VLOOKUP(A1524,Reseller!G:H,2,0)</f>
        <v/>
      </c>
      <c r="C1524" t="inlineStr">
        <is>
          <t>ONLINE</t>
        </is>
      </c>
      <c r="G1524" s="34">
        <f>VLOOKUP(Table4[[#This Row],[AGEN ID]],Reseller!A:E,5,0)</f>
        <v/>
      </c>
    </row>
    <row r="1525">
      <c r="A1525" s="32" t="inlineStr">
        <is>
          <t>OP18701</t>
        </is>
      </c>
      <c r="B1525">
        <f>VLOOKUP(A1525,Reseller!G:H,2,0)</f>
        <v/>
      </c>
      <c r="C1525" t="inlineStr">
        <is>
          <t>ONLINE</t>
        </is>
      </c>
      <c r="G1525" s="34">
        <f>VLOOKUP(Table4[[#This Row],[AGEN ID]],Reseller!A:E,5,0)</f>
        <v/>
      </c>
    </row>
    <row r="1526">
      <c r="A1526" s="32" t="inlineStr">
        <is>
          <t>OP18704</t>
        </is>
      </c>
      <c r="B1526">
        <f>VLOOKUP(A1526,Reseller!G:H,2,0)</f>
        <v/>
      </c>
      <c r="C1526" t="inlineStr">
        <is>
          <t>ONLINE</t>
        </is>
      </c>
      <c r="G1526" s="34">
        <f>VLOOKUP(Table4[[#This Row],[AGEN ID]],Reseller!A:E,5,0)</f>
        <v/>
      </c>
    </row>
    <row r="1527">
      <c r="A1527" s="32" t="inlineStr">
        <is>
          <t>OP18726</t>
        </is>
      </c>
      <c r="B1527">
        <f>VLOOKUP(A1527,Reseller!G:H,2,0)</f>
        <v/>
      </c>
      <c r="C1527" t="inlineStr">
        <is>
          <t>ONLINE</t>
        </is>
      </c>
      <c r="G1527" s="34">
        <f>VLOOKUP(Table4[[#This Row],[AGEN ID]],Reseller!A:E,5,0)</f>
        <v/>
      </c>
    </row>
    <row r="1528">
      <c r="A1528" s="32" t="inlineStr">
        <is>
          <t>OP18727</t>
        </is>
      </c>
      <c r="B1528">
        <f>VLOOKUP(A1528,Reseller!G:H,2,0)</f>
        <v/>
      </c>
      <c r="C1528" t="inlineStr">
        <is>
          <t>ONLINE</t>
        </is>
      </c>
      <c r="G1528" s="34">
        <f>VLOOKUP(Table4[[#This Row],[AGEN ID]],Reseller!A:E,5,0)</f>
        <v/>
      </c>
    </row>
    <row r="1529">
      <c r="A1529" s="32" t="inlineStr">
        <is>
          <t>OP18739</t>
        </is>
      </c>
      <c r="B1529">
        <f>VLOOKUP(A1529,Reseller!G:H,2,0)</f>
        <v/>
      </c>
      <c r="C1529" t="inlineStr">
        <is>
          <t>ONLINE</t>
        </is>
      </c>
      <c r="G1529" s="34">
        <f>VLOOKUP(Table4[[#This Row],[AGEN ID]],Reseller!A:E,5,0)</f>
        <v/>
      </c>
    </row>
    <row r="1530">
      <c r="A1530" s="32" t="inlineStr">
        <is>
          <t>OP18743</t>
        </is>
      </c>
      <c r="B1530">
        <f>VLOOKUP(A1530,Reseller!G:H,2,0)</f>
        <v/>
      </c>
      <c r="C1530" t="inlineStr">
        <is>
          <t>ONLINE</t>
        </is>
      </c>
      <c r="G1530" s="34">
        <f>VLOOKUP(Table4[[#This Row],[AGEN ID]],Reseller!A:E,5,0)</f>
        <v/>
      </c>
    </row>
    <row r="1531">
      <c r="A1531" t="inlineStr">
        <is>
          <t>OP18746</t>
        </is>
      </c>
      <c r="B1531">
        <f>VLOOKUP(A1531,Reseller!G:H,2,0)</f>
        <v/>
      </c>
      <c r="C1531" t="inlineStr">
        <is>
          <t>ONLINE</t>
        </is>
      </c>
      <c r="G1531" s="34">
        <f>VLOOKUP(Table4[[#This Row],[AGEN ID]],Reseller!A:E,5,0)</f>
        <v/>
      </c>
    </row>
    <row r="1532">
      <c r="A1532" s="32" t="inlineStr">
        <is>
          <t>OP18748</t>
        </is>
      </c>
      <c r="B1532">
        <f>VLOOKUP(A1532,Reseller!G:H,2,0)</f>
        <v/>
      </c>
      <c r="C1532" t="inlineStr">
        <is>
          <t>ONLINE</t>
        </is>
      </c>
      <c r="G1532" s="34">
        <f>VLOOKUP(Table4[[#This Row],[AGEN ID]],Reseller!A:E,5,0)</f>
        <v/>
      </c>
    </row>
    <row r="1533">
      <c r="A1533" t="inlineStr">
        <is>
          <t>OP18760</t>
        </is>
      </c>
      <c r="B1533">
        <f>VLOOKUP(A1533,Reseller!G:H,2,0)</f>
        <v/>
      </c>
      <c r="C1533" t="inlineStr">
        <is>
          <t>ONLINE</t>
        </is>
      </c>
      <c r="G1533" s="34">
        <f>VLOOKUP(Table4[[#This Row],[AGEN ID]],Reseller!A:E,5,0)</f>
        <v/>
      </c>
    </row>
    <row r="1534">
      <c r="A1534" s="33" t="inlineStr">
        <is>
          <t>OP18766</t>
        </is>
      </c>
      <c r="B1534">
        <f>VLOOKUP(A1534,Reseller!G:H,2,0)</f>
        <v/>
      </c>
      <c r="C1534" t="inlineStr">
        <is>
          <t>ONLINE</t>
        </is>
      </c>
      <c r="G1534" s="34">
        <f>VLOOKUP(Table4[[#This Row],[AGEN ID]],Reseller!A:E,5,0)</f>
        <v/>
      </c>
    </row>
    <row r="1535">
      <c r="A1535" s="32" t="inlineStr">
        <is>
          <t>OP18769</t>
        </is>
      </c>
      <c r="B1535">
        <f>VLOOKUP(A1535,Reseller!G:H,2,0)</f>
        <v/>
      </c>
      <c r="C1535" t="inlineStr">
        <is>
          <t>ONLINE</t>
        </is>
      </c>
      <c r="G1535" s="34">
        <f>VLOOKUP(Table4[[#This Row],[AGEN ID]],Reseller!A:E,5,0)</f>
        <v/>
      </c>
    </row>
    <row r="1536">
      <c r="A1536" s="32" t="inlineStr">
        <is>
          <t>OP18770</t>
        </is>
      </c>
      <c r="B1536">
        <f>VLOOKUP(A1536,Reseller!G:H,2,0)</f>
        <v/>
      </c>
      <c r="C1536" t="inlineStr">
        <is>
          <t>ONLINE</t>
        </is>
      </c>
      <c r="G1536" s="34">
        <f>VLOOKUP(Table4[[#This Row],[AGEN ID]],Reseller!A:E,5,0)</f>
        <v/>
      </c>
    </row>
    <row r="1537">
      <c r="A1537" s="33" t="inlineStr">
        <is>
          <t>OP18777</t>
        </is>
      </c>
      <c r="B1537">
        <f>VLOOKUP(A1537,Reseller!G:H,2,0)</f>
        <v/>
      </c>
      <c r="C1537" t="inlineStr">
        <is>
          <t>ONLINE</t>
        </is>
      </c>
      <c r="G1537" s="34">
        <f>VLOOKUP(Table4[[#This Row],[AGEN ID]],Reseller!A:E,5,0)</f>
        <v/>
      </c>
    </row>
    <row r="1538">
      <c r="A1538" s="33" t="inlineStr">
        <is>
          <t>OP18781</t>
        </is>
      </c>
      <c r="B1538">
        <f>VLOOKUP(A1538,Reseller!G:H,2,0)</f>
        <v/>
      </c>
      <c r="C1538" t="inlineStr">
        <is>
          <t>ONLINE</t>
        </is>
      </c>
      <c r="G1538" s="34">
        <f>VLOOKUP(Table4[[#This Row],[AGEN ID]],Reseller!A:E,5,0)</f>
        <v/>
      </c>
    </row>
    <row r="1539">
      <c r="A1539" s="33" t="inlineStr">
        <is>
          <t>OP18797</t>
        </is>
      </c>
      <c r="B1539">
        <f>VLOOKUP(A1539,Reseller!G:H,2,0)</f>
        <v/>
      </c>
      <c r="C1539" t="inlineStr">
        <is>
          <t>ONLINE</t>
        </is>
      </c>
      <c r="G1539" s="34">
        <f>VLOOKUP(Table4[[#This Row],[AGEN ID]],Reseller!A:E,5,0)</f>
        <v/>
      </c>
    </row>
    <row r="1540">
      <c r="A1540" s="32" t="inlineStr">
        <is>
          <t>OP18810</t>
        </is>
      </c>
      <c r="B1540">
        <f>VLOOKUP(A1540,Reseller!G:H,2,0)</f>
        <v/>
      </c>
      <c r="C1540" t="inlineStr">
        <is>
          <t>ONLINE</t>
        </is>
      </c>
      <c r="G1540" s="34">
        <f>VLOOKUP(Table4[[#This Row],[AGEN ID]],Reseller!A:E,5,0)</f>
        <v/>
      </c>
    </row>
    <row r="1541">
      <c r="A1541" s="33" t="inlineStr">
        <is>
          <t>OP18812</t>
        </is>
      </c>
      <c r="B1541">
        <f>VLOOKUP(A1541,Reseller!G:H,2,0)</f>
        <v/>
      </c>
      <c r="C1541" t="inlineStr">
        <is>
          <t>ONLINE</t>
        </is>
      </c>
      <c r="G1541" s="34">
        <f>VLOOKUP(Table4[[#This Row],[AGEN ID]],Reseller!A:E,5,0)</f>
        <v/>
      </c>
    </row>
    <row r="1542">
      <c r="A1542" s="33" t="inlineStr">
        <is>
          <t>OP18813</t>
        </is>
      </c>
      <c r="B1542">
        <f>VLOOKUP(A1542,Reseller!G:H,2,0)</f>
        <v/>
      </c>
      <c r="C1542" t="inlineStr">
        <is>
          <t>ONLINE</t>
        </is>
      </c>
      <c r="G1542" s="34">
        <f>VLOOKUP(Table4[[#This Row],[AGEN ID]],Reseller!A:E,5,0)</f>
        <v/>
      </c>
    </row>
    <row r="1543">
      <c r="A1543" t="inlineStr">
        <is>
          <t>OP18814</t>
        </is>
      </c>
      <c r="B1543">
        <f>VLOOKUP(A1543,Reseller!G:H,2,0)</f>
        <v/>
      </c>
      <c r="C1543" t="inlineStr">
        <is>
          <t>ONLINE</t>
        </is>
      </c>
      <c r="G1543" s="34">
        <f>VLOOKUP(Table4[[#This Row],[AGEN ID]],Reseller!A:E,5,0)</f>
        <v/>
      </c>
    </row>
    <row r="1544">
      <c r="A1544" t="inlineStr">
        <is>
          <t>OP18815</t>
        </is>
      </c>
      <c r="B1544">
        <f>VLOOKUP(A1544,Reseller!G:H,2,0)</f>
        <v/>
      </c>
      <c r="C1544" t="inlineStr">
        <is>
          <t>ONLINE</t>
        </is>
      </c>
      <c r="G1544" s="34">
        <f>VLOOKUP(Table4[[#This Row],[AGEN ID]],Reseller!A:E,5,0)</f>
        <v/>
      </c>
    </row>
    <row r="1545">
      <c r="A1545" t="inlineStr">
        <is>
          <t>OP18822</t>
        </is>
      </c>
      <c r="B1545">
        <f>VLOOKUP(A1545,Reseller!G:H,2,0)</f>
        <v/>
      </c>
      <c r="C1545" t="inlineStr">
        <is>
          <t>ONLINE</t>
        </is>
      </c>
      <c r="G1545" s="34">
        <f>VLOOKUP(Table4[[#This Row],[AGEN ID]],Reseller!A:E,5,0)</f>
        <v/>
      </c>
    </row>
    <row r="1546">
      <c r="A1546" s="32" t="inlineStr">
        <is>
          <t>OP18844</t>
        </is>
      </c>
      <c r="B1546">
        <f>VLOOKUP(A1546,Reseller!G:H,2,0)</f>
        <v/>
      </c>
      <c r="C1546" t="inlineStr">
        <is>
          <t>ONLINE</t>
        </is>
      </c>
      <c r="G1546" s="34">
        <f>VLOOKUP(Table4[[#This Row],[AGEN ID]],Reseller!A:E,5,0)</f>
        <v/>
      </c>
    </row>
    <row r="1547">
      <c r="A1547" t="inlineStr">
        <is>
          <t>OP18850</t>
        </is>
      </c>
      <c r="B1547">
        <f>VLOOKUP(A1547,Reseller!G:H,2,0)</f>
        <v/>
      </c>
      <c r="C1547" t="inlineStr">
        <is>
          <t>ONLINE</t>
        </is>
      </c>
      <c r="G1547" s="34">
        <f>VLOOKUP(Table4[[#This Row],[AGEN ID]],Reseller!A:E,5,0)</f>
        <v/>
      </c>
    </row>
    <row r="1548">
      <c r="A1548" t="inlineStr">
        <is>
          <t>OP18862</t>
        </is>
      </c>
      <c r="B1548">
        <f>VLOOKUP(A1548,Reseller!G:H,2,0)</f>
        <v/>
      </c>
      <c r="C1548" t="inlineStr">
        <is>
          <t>ONLINE</t>
        </is>
      </c>
      <c r="G1548" s="34">
        <f>VLOOKUP(Table4[[#This Row],[AGEN ID]],Reseller!A:E,5,0)</f>
        <v/>
      </c>
    </row>
    <row r="1549">
      <c r="A1549" t="inlineStr">
        <is>
          <t>OP18882</t>
        </is>
      </c>
      <c r="B1549">
        <f>VLOOKUP(A1549,Reseller!G:H,2,0)</f>
        <v/>
      </c>
      <c r="C1549" t="inlineStr">
        <is>
          <t>ONLINE</t>
        </is>
      </c>
      <c r="G1549" s="34">
        <f>VLOOKUP(Table4[[#This Row],[AGEN ID]],Reseller!A:E,5,0)</f>
        <v/>
      </c>
    </row>
    <row r="1550">
      <c r="A1550" s="32" t="inlineStr">
        <is>
          <t>OP18883</t>
        </is>
      </c>
      <c r="B1550">
        <f>VLOOKUP(A1550,Reseller!G:H,2,0)</f>
        <v/>
      </c>
      <c r="C1550" t="inlineStr">
        <is>
          <t>ONLINE</t>
        </is>
      </c>
      <c r="G1550" s="34">
        <f>VLOOKUP(Table4[[#This Row],[AGEN ID]],Reseller!A:E,5,0)</f>
        <v/>
      </c>
    </row>
    <row r="1551">
      <c r="A1551" s="32" t="inlineStr">
        <is>
          <t>OP18887</t>
        </is>
      </c>
      <c r="B1551">
        <f>VLOOKUP(A1551,Reseller!G:H,2,0)</f>
        <v/>
      </c>
      <c r="C1551" t="inlineStr">
        <is>
          <t>ONLINE</t>
        </is>
      </c>
      <c r="G1551" s="34">
        <f>VLOOKUP(Table4[[#This Row],[AGEN ID]],Reseller!A:E,5,0)</f>
        <v/>
      </c>
    </row>
    <row r="1552">
      <c r="A1552" s="32" t="inlineStr">
        <is>
          <t>OP18888</t>
        </is>
      </c>
      <c r="B1552">
        <f>VLOOKUP(A1552,Reseller!G:H,2,0)</f>
        <v/>
      </c>
      <c r="C1552" t="inlineStr">
        <is>
          <t>ONLINE</t>
        </is>
      </c>
      <c r="G1552" s="34">
        <f>VLOOKUP(Table4[[#This Row],[AGEN ID]],Reseller!A:E,5,0)</f>
        <v/>
      </c>
    </row>
    <row r="1553">
      <c r="A1553" s="32" t="inlineStr">
        <is>
          <t>OP18892</t>
        </is>
      </c>
      <c r="B1553">
        <f>VLOOKUP(A1553,Reseller!G:H,2,0)</f>
        <v/>
      </c>
      <c r="C1553" t="inlineStr">
        <is>
          <t>ONLINE</t>
        </is>
      </c>
      <c r="G1553" s="34">
        <f>VLOOKUP(Table4[[#This Row],[AGEN ID]],Reseller!A:E,5,0)</f>
        <v/>
      </c>
    </row>
    <row r="1554">
      <c r="A1554" s="32" t="inlineStr">
        <is>
          <t>OP18895</t>
        </is>
      </c>
      <c r="B1554">
        <f>VLOOKUP(A1554,Reseller!G:H,2,0)</f>
        <v/>
      </c>
      <c r="C1554" t="inlineStr">
        <is>
          <t>ONLINE</t>
        </is>
      </c>
      <c r="G1554" s="34">
        <f>VLOOKUP(Table4[[#This Row],[AGEN ID]],Reseller!A:E,5,0)</f>
        <v/>
      </c>
    </row>
    <row r="1555">
      <c r="A1555" t="inlineStr">
        <is>
          <t>OP18896</t>
        </is>
      </c>
      <c r="B1555">
        <f>VLOOKUP(A1555,Reseller!G:H,2,0)</f>
        <v/>
      </c>
      <c r="C1555" t="inlineStr">
        <is>
          <t>ONLINE</t>
        </is>
      </c>
      <c r="G1555" s="34">
        <f>VLOOKUP(Table4[[#This Row],[AGEN ID]],Reseller!A:E,5,0)</f>
        <v/>
      </c>
    </row>
    <row r="1556">
      <c r="A1556" t="inlineStr">
        <is>
          <t>OP18897</t>
        </is>
      </c>
      <c r="B1556">
        <f>VLOOKUP(A1556,Reseller!G:H,2,0)</f>
        <v/>
      </c>
      <c r="C1556" t="inlineStr">
        <is>
          <t>ONLINE</t>
        </is>
      </c>
      <c r="G1556" s="34">
        <f>VLOOKUP(Table4[[#This Row],[AGEN ID]],Reseller!A:E,5,0)</f>
        <v/>
      </c>
    </row>
    <row r="1557">
      <c r="A1557" t="inlineStr">
        <is>
          <t>OP18921</t>
        </is>
      </c>
      <c r="B1557">
        <f>VLOOKUP(A1557,Reseller!G:H,2,0)</f>
        <v/>
      </c>
      <c r="C1557" t="inlineStr">
        <is>
          <t>ONLINE</t>
        </is>
      </c>
      <c r="G1557" s="34">
        <f>VLOOKUP(Table4[[#This Row],[AGEN ID]],Reseller!A:E,5,0)</f>
        <v/>
      </c>
    </row>
    <row r="1558">
      <c r="A1558" t="inlineStr">
        <is>
          <t>OP18934</t>
        </is>
      </c>
      <c r="B1558">
        <f>VLOOKUP(A1558,Reseller!G:H,2,0)</f>
        <v/>
      </c>
      <c r="C1558" t="inlineStr">
        <is>
          <t>ONLINE</t>
        </is>
      </c>
      <c r="G1558" s="34">
        <f>VLOOKUP(Table4[[#This Row],[AGEN ID]],Reseller!A:E,5,0)</f>
        <v/>
      </c>
    </row>
    <row r="1559">
      <c r="A1559" t="inlineStr">
        <is>
          <t>OP18952</t>
        </is>
      </c>
      <c r="B1559">
        <f>VLOOKUP(A1559,Reseller!G:H,2,0)</f>
        <v/>
      </c>
      <c r="C1559" t="inlineStr">
        <is>
          <t>ONLINE</t>
        </is>
      </c>
      <c r="G1559" s="34">
        <f>VLOOKUP(Table4[[#This Row],[AGEN ID]],Reseller!A:E,5,0)</f>
        <v/>
      </c>
    </row>
    <row r="1560">
      <c r="A1560" s="32" t="inlineStr">
        <is>
          <t>OP18957</t>
        </is>
      </c>
      <c r="B1560">
        <f>VLOOKUP(A1560,Reseller!G:H,2,0)</f>
        <v/>
      </c>
      <c r="C1560" t="inlineStr">
        <is>
          <t>ONLINE</t>
        </is>
      </c>
      <c r="G1560" s="34">
        <f>VLOOKUP(Table4[[#This Row],[AGEN ID]],Reseller!A:E,5,0)</f>
        <v/>
      </c>
    </row>
    <row r="1561">
      <c r="A1561" t="inlineStr">
        <is>
          <t>OP18959</t>
        </is>
      </c>
      <c r="B1561">
        <f>VLOOKUP(A1561,Reseller!G:H,2,0)</f>
        <v/>
      </c>
      <c r="C1561" t="inlineStr">
        <is>
          <t>ONLINE</t>
        </is>
      </c>
      <c r="G1561" s="34">
        <f>VLOOKUP(Table4[[#This Row],[AGEN ID]],Reseller!A:E,5,0)</f>
        <v/>
      </c>
    </row>
    <row r="1562">
      <c r="A1562" t="inlineStr">
        <is>
          <t>OP18966</t>
        </is>
      </c>
      <c r="B1562">
        <f>VLOOKUP(A1562,Reseller!G:H,2,0)</f>
        <v/>
      </c>
      <c r="C1562" t="inlineStr">
        <is>
          <t>ONLINE</t>
        </is>
      </c>
      <c r="G1562" s="34">
        <f>VLOOKUP(Table4[[#This Row],[AGEN ID]],Reseller!A:E,5,0)</f>
        <v/>
      </c>
    </row>
    <row r="1563">
      <c r="A1563" t="inlineStr">
        <is>
          <t>OP18967</t>
        </is>
      </c>
      <c r="B1563">
        <f>VLOOKUP(A1563,Reseller!G:H,2,0)</f>
        <v/>
      </c>
      <c r="C1563" t="inlineStr">
        <is>
          <t>ONLINE</t>
        </is>
      </c>
      <c r="G1563" s="34">
        <f>VLOOKUP(Table4[[#This Row],[AGEN ID]],Reseller!A:E,5,0)</f>
        <v/>
      </c>
    </row>
    <row r="1564">
      <c r="A1564" t="inlineStr">
        <is>
          <t>OP18968</t>
        </is>
      </c>
      <c r="B1564">
        <f>VLOOKUP(A1564,Reseller!G:H,2,0)</f>
        <v/>
      </c>
      <c r="C1564" t="inlineStr">
        <is>
          <t>ONLINE</t>
        </is>
      </c>
      <c r="G1564" s="34">
        <f>VLOOKUP(Table4[[#This Row],[AGEN ID]],Reseller!A:E,5,0)</f>
        <v/>
      </c>
    </row>
    <row r="1565">
      <c r="A1565" s="32" t="inlineStr">
        <is>
          <t>OP19046</t>
        </is>
      </c>
      <c r="B1565">
        <f>VLOOKUP(A1565,Reseller!G:H,2,0)</f>
        <v/>
      </c>
      <c r="C1565" t="inlineStr">
        <is>
          <t>ONLINE</t>
        </is>
      </c>
      <c r="G1565" s="34">
        <f>VLOOKUP(Table4[[#This Row],[AGEN ID]],Reseller!A:E,5,0)</f>
        <v/>
      </c>
    </row>
    <row r="1566">
      <c r="A1566" t="inlineStr">
        <is>
          <t>OP19106</t>
        </is>
      </c>
      <c r="B1566">
        <f>VLOOKUP(A1566,Reseller!G:H,2,0)</f>
        <v/>
      </c>
      <c r="C1566" t="inlineStr">
        <is>
          <t>ONLINE</t>
        </is>
      </c>
      <c r="G1566" s="34">
        <f>VLOOKUP(Table4[[#This Row],[AGEN ID]],Reseller!A:E,5,0)</f>
        <v/>
      </c>
    </row>
    <row r="1567">
      <c r="A1567" t="inlineStr">
        <is>
          <t>OP19145</t>
        </is>
      </c>
      <c r="B1567">
        <f>VLOOKUP(A1567,Reseller!G:H,2,0)</f>
        <v/>
      </c>
      <c r="C1567" t="inlineStr">
        <is>
          <t>ONLINE</t>
        </is>
      </c>
      <c r="G1567" s="34">
        <f>VLOOKUP(Table4[[#This Row],[AGEN ID]],Reseller!A:E,5,0)</f>
        <v/>
      </c>
    </row>
    <row r="1568">
      <c r="A1568" t="inlineStr">
        <is>
          <t>OP19261</t>
        </is>
      </c>
      <c r="B1568">
        <f>VLOOKUP(A1568,Reseller!G:H,2,0)</f>
        <v/>
      </c>
      <c r="C1568" t="inlineStr">
        <is>
          <t>ONLINE</t>
        </is>
      </c>
      <c r="G1568" s="34">
        <f>VLOOKUP(Table4[[#This Row],[AGEN ID]],Reseller!A:E,5,0)</f>
        <v/>
      </c>
    </row>
    <row r="1569">
      <c r="A1569" t="inlineStr">
        <is>
          <t>OP19341</t>
        </is>
      </c>
      <c r="B1569">
        <f>VLOOKUP(A1569,Reseller!G:H,2,0)</f>
        <v/>
      </c>
      <c r="C1569" t="inlineStr">
        <is>
          <t>ONLINE</t>
        </is>
      </c>
      <c r="G1569" s="34">
        <f>VLOOKUP(Table4[[#This Row],[AGEN ID]],Reseller!A:E,5,0)</f>
        <v/>
      </c>
    </row>
    <row r="1570">
      <c r="A1570" t="inlineStr">
        <is>
          <t>OP19404</t>
        </is>
      </c>
      <c r="B1570">
        <f>VLOOKUP(A1570,Reseller!G:H,2,0)</f>
        <v/>
      </c>
      <c r="C1570" t="inlineStr">
        <is>
          <t>ONLINE</t>
        </is>
      </c>
      <c r="G1570" s="34">
        <f>VLOOKUP(Table4[[#This Row],[AGEN ID]],Reseller!A:E,5,0)</f>
        <v/>
      </c>
    </row>
    <row r="1571">
      <c r="A1571" t="inlineStr">
        <is>
          <t>OP19417</t>
        </is>
      </c>
      <c r="B1571">
        <f>VLOOKUP(A1571,Reseller!G:H,2,0)</f>
        <v/>
      </c>
      <c r="C1571" t="inlineStr">
        <is>
          <t>ONLINE</t>
        </is>
      </c>
      <c r="G1571" s="34">
        <f>VLOOKUP(Table4[[#This Row],[AGEN ID]],Reseller!A:E,5,0)</f>
        <v/>
      </c>
    </row>
    <row r="1572">
      <c r="A1572" t="inlineStr">
        <is>
          <t>OP19442</t>
        </is>
      </c>
      <c r="B1572">
        <f>VLOOKUP(A1572,Reseller!G:H,2,0)</f>
        <v/>
      </c>
      <c r="C1572" t="inlineStr">
        <is>
          <t>ONLINE</t>
        </is>
      </c>
      <c r="G1572" s="34">
        <f>VLOOKUP(Table4[[#This Row],[AGEN ID]],Reseller!A:E,5,0)</f>
        <v/>
      </c>
    </row>
    <row r="1573">
      <c r="A1573" t="inlineStr">
        <is>
          <t>OP19459</t>
        </is>
      </c>
      <c r="B1573">
        <f>VLOOKUP(A1573,Reseller!G:H,2,0)</f>
        <v/>
      </c>
      <c r="C1573" t="inlineStr">
        <is>
          <t>ONLINE</t>
        </is>
      </c>
      <c r="G1573" s="34">
        <f>VLOOKUP(Table4[[#This Row],[AGEN ID]],Reseller!A:E,5,0)</f>
        <v/>
      </c>
    </row>
    <row r="1574">
      <c r="A1574" s="32" t="inlineStr">
        <is>
          <t>OP19513</t>
        </is>
      </c>
      <c r="B1574">
        <f>VLOOKUP(A1574,Reseller!G:H,2,0)</f>
        <v/>
      </c>
      <c r="C1574" t="inlineStr">
        <is>
          <t>ONLINE</t>
        </is>
      </c>
      <c r="G1574" s="34">
        <f>VLOOKUP(Table4[[#This Row],[AGEN ID]],Reseller!A:E,5,0)</f>
        <v/>
      </c>
    </row>
    <row r="1575">
      <c r="A1575" t="inlineStr">
        <is>
          <t>OP19530</t>
        </is>
      </c>
      <c r="B1575">
        <f>VLOOKUP(A1575,Reseller!G:H,2,0)</f>
        <v/>
      </c>
      <c r="C1575" t="inlineStr">
        <is>
          <t>ONLINE</t>
        </is>
      </c>
      <c r="G1575" s="34">
        <f>VLOOKUP(Table4[[#This Row],[AGEN ID]],Reseller!A:E,5,0)</f>
        <v/>
      </c>
    </row>
    <row r="1576">
      <c r="A1576" t="inlineStr">
        <is>
          <t>OP19537</t>
        </is>
      </c>
      <c r="B1576">
        <f>VLOOKUP(A1576,Reseller!G:H,2,0)</f>
        <v/>
      </c>
      <c r="C1576" t="inlineStr">
        <is>
          <t>ONLINE</t>
        </is>
      </c>
      <c r="G1576" s="34">
        <f>VLOOKUP(Table4[[#This Row],[AGEN ID]],Reseller!A:E,5,0)</f>
        <v/>
      </c>
    </row>
    <row r="1577">
      <c r="A1577" t="inlineStr">
        <is>
          <t>OP19587</t>
        </is>
      </c>
      <c r="B1577">
        <f>VLOOKUP(A1577,Reseller!G:H,2,0)</f>
        <v/>
      </c>
      <c r="C1577" t="inlineStr">
        <is>
          <t>ONLINE</t>
        </is>
      </c>
      <c r="G1577" s="34">
        <f>VLOOKUP(Table4[[#This Row],[AGEN ID]],Reseller!A:E,5,0)</f>
        <v/>
      </c>
    </row>
    <row r="1578">
      <c r="A1578" t="inlineStr">
        <is>
          <t>OP19637</t>
        </is>
      </c>
      <c r="B1578">
        <f>VLOOKUP(A1578,Reseller!G:H,2,0)</f>
        <v/>
      </c>
      <c r="C1578" t="inlineStr">
        <is>
          <t>ONLINE</t>
        </is>
      </c>
      <c r="G1578" s="34">
        <f>VLOOKUP(Table4[[#This Row],[AGEN ID]],Reseller!A:E,5,0)</f>
        <v/>
      </c>
    </row>
    <row r="1579">
      <c r="A1579" t="inlineStr">
        <is>
          <t>OP19640</t>
        </is>
      </c>
      <c r="B1579">
        <f>VLOOKUP(A1579,Reseller!G:H,2,0)</f>
        <v/>
      </c>
      <c r="C1579" t="inlineStr">
        <is>
          <t>ONLINE</t>
        </is>
      </c>
      <c r="G1579" s="34">
        <f>VLOOKUP(Table4[[#This Row],[AGEN ID]],Reseller!A:E,5,0)</f>
        <v/>
      </c>
    </row>
    <row r="1580">
      <c r="A1580" t="inlineStr">
        <is>
          <t>OP19660</t>
        </is>
      </c>
      <c r="B1580">
        <f>VLOOKUP(A1580,Reseller!G:H,2,0)</f>
        <v/>
      </c>
      <c r="C1580" t="inlineStr">
        <is>
          <t>ONLINE</t>
        </is>
      </c>
      <c r="G1580" s="34">
        <f>VLOOKUP(Table4[[#This Row],[AGEN ID]],Reseller!A:E,5,0)</f>
        <v/>
      </c>
    </row>
    <row r="1581">
      <c r="A1581" t="inlineStr">
        <is>
          <t>OP19674</t>
        </is>
      </c>
      <c r="B1581">
        <f>VLOOKUP(A1581,Reseller!G:H,2,0)</f>
        <v/>
      </c>
      <c r="C1581" t="inlineStr">
        <is>
          <t>ONLINE</t>
        </is>
      </c>
      <c r="G1581" s="34">
        <f>VLOOKUP(Table4[[#This Row],[AGEN ID]],Reseller!A:E,5,0)</f>
        <v/>
      </c>
    </row>
    <row r="1582">
      <c r="A1582" t="inlineStr">
        <is>
          <t>OP19675</t>
        </is>
      </c>
      <c r="B1582">
        <f>VLOOKUP(A1582,Reseller!G:H,2,0)</f>
        <v/>
      </c>
      <c r="C1582" t="inlineStr">
        <is>
          <t>ONLINE</t>
        </is>
      </c>
      <c r="G1582" s="34">
        <f>VLOOKUP(Table4[[#This Row],[AGEN ID]],Reseller!A:E,5,0)</f>
        <v/>
      </c>
    </row>
    <row r="1583">
      <c r="A1583" t="inlineStr">
        <is>
          <t>OP19677</t>
        </is>
      </c>
      <c r="B1583">
        <f>VLOOKUP(A1583,Reseller!G:H,2,0)</f>
        <v/>
      </c>
      <c r="C1583" t="inlineStr">
        <is>
          <t>ONLINE</t>
        </is>
      </c>
      <c r="G1583" s="34">
        <f>VLOOKUP(Table4[[#This Row],[AGEN ID]],Reseller!A:E,5,0)</f>
        <v/>
      </c>
    </row>
    <row r="1584">
      <c r="A1584" t="inlineStr">
        <is>
          <t>OP19687</t>
        </is>
      </c>
      <c r="B1584">
        <f>VLOOKUP(A1584,Reseller!G:H,2,0)</f>
        <v/>
      </c>
      <c r="C1584" t="inlineStr">
        <is>
          <t>ONLINE</t>
        </is>
      </c>
      <c r="G1584" s="34">
        <f>VLOOKUP(Table4[[#This Row],[AGEN ID]],Reseller!A:E,5,0)</f>
        <v/>
      </c>
    </row>
    <row r="1585">
      <c r="A1585" t="inlineStr">
        <is>
          <t>OP19689</t>
        </is>
      </c>
      <c r="B1585">
        <f>VLOOKUP(A1585,Reseller!G:H,2,0)</f>
        <v/>
      </c>
      <c r="C1585" t="inlineStr">
        <is>
          <t>ONLINE</t>
        </is>
      </c>
      <c r="G1585" s="34">
        <f>VLOOKUP(Table4[[#This Row],[AGEN ID]],Reseller!A:E,5,0)</f>
        <v/>
      </c>
    </row>
    <row r="1586">
      <c r="A1586" t="inlineStr">
        <is>
          <t>OP19699</t>
        </is>
      </c>
      <c r="B1586">
        <f>VLOOKUP(A1586,Reseller!G:H,2,0)</f>
        <v/>
      </c>
      <c r="C1586" t="inlineStr">
        <is>
          <t>ONLINE</t>
        </is>
      </c>
      <c r="G1586" s="34">
        <f>VLOOKUP(Table4[[#This Row],[AGEN ID]],Reseller!A:E,5,0)</f>
        <v/>
      </c>
    </row>
    <row r="1587">
      <c r="A1587" t="inlineStr">
        <is>
          <t>OP19705</t>
        </is>
      </c>
      <c r="B1587">
        <f>VLOOKUP(A1587,Reseller!G:H,2,0)</f>
        <v/>
      </c>
      <c r="C1587" t="inlineStr">
        <is>
          <t>ONLINE</t>
        </is>
      </c>
      <c r="G1587" s="34">
        <f>VLOOKUP(Table4[[#This Row],[AGEN ID]],Reseller!A:E,5,0)</f>
        <v/>
      </c>
    </row>
    <row r="1588">
      <c r="A1588" t="inlineStr">
        <is>
          <t>OP19710</t>
        </is>
      </c>
      <c r="B1588">
        <f>VLOOKUP(A1588,Reseller!G:H,2,0)</f>
        <v/>
      </c>
      <c r="C1588" t="inlineStr">
        <is>
          <t>ONLINE</t>
        </is>
      </c>
      <c r="G1588" s="34">
        <f>VLOOKUP(Table4[[#This Row],[AGEN ID]],Reseller!A:E,5,0)</f>
        <v/>
      </c>
    </row>
    <row r="1589">
      <c r="A1589" t="inlineStr">
        <is>
          <t>OP19713</t>
        </is>
      </c>
      <c r="B1589">
        <f>VLOOKUP(A1589,Reseller!G:H,2,0)</f>
        <v/>
      </c>
      <c r="C1589" t="inlineStr">
        <is>
          <t>ONLINE</t>
        </is>
      </c>
      <c r="G1589" s="34">
        <f>VLOOKUP(Table4[[#This Row],[AGEN ID]],Reseller!A:E,5,0)</f>
        <v/>
      </c>
    </row>
    <row r="1590">
      <c r="A1590" t="inlineStr">
        <is>
          <t>OP19729</t>
        </is>
      </c>
      <c r="B1590">
        <f>VLOOKUP(A1590,Reseller!G:H,2,0)</f>
        <v/>
      </c>
      <c r="C1590" t="inlineStr">
        <is>
          <t>ONLINE</t>
        </is>
      </c>
      <c r="G1590" s="34">
        <f>VLOOKUP(Table4[[#This Row],[AGEN ID]],Reseller!A:E,5,0)</f>
        <v/>
      </c>
    </row>
    <row r="1591">
      <c r="A1591" t="inlineStr">
        <is>
          <t>OP19743</t>
        </is>
      </c>
      <c r="B1591">
        <f>VLOOKUP(A1591,Reseller!G:H,2,0)</f>
        <v/>
      </c>
      <c r="C1591" t="inlineStr">
        <is>
          <t>ONLINE</t>
        </is>
      </c>
      <c r="G1591" s="34">
        <f>VLOOKUP(Table4[[#This Row],[AGEN ID]],Reseller!A:E,5,0)</f>
        <v/>
      </c>
    </row>
    <row r="1592">
      <c r="A1592" t="inlineStr">
        <is>
          <t>OP19748</t>
        </is>
      </c>
      <c r="B1592">
        <f>VLOOKUP(A1592,Reseller!G:H,2,0)</f>
        <v/>
      </c>
      <c r="C1592" t="inlineStr">
        <is>
          <t>ONLINE</t>
        </is>
      </c>
      <c r="G1592" s="34">
        <f>VLOOKUP(Table4[[#This Row],[AGEN ID]],Reseller!A:E,5,0)</f>
        <v/>
      </c>
    </row>
    <row r="1593">
      <c r="A1593" t="inlineStr">
        <is>
          <t>OP19754</t>
        </is>
      </c>
      <c r="B1593">
        <f>VLOOKUP(A1593,Reseller!G:H,2,0)</f>
        <v/>
      </c>
      <c r="C1593" t="inlineStr">
        <is>
          <t>ONLINE</t>
        </is>
      </c>
      <c r="G1593" s="34">
        <f>VLOOKUP(Table4[[#This Row],[AGEN ID]],Reseller!A:E,5,0)</f>
        <v/>
      </c>
    </row>
    <row r="1594">
      <c r="A1594" t="inlineStr">
        <is>
          <t>OP19755</t>
        </is>
      </c>
      <c r="B1594">
        <f>VLOOKUP(A1594,Reseller!G:H,2,0)</f>
        <v/>
      </c>
      <c r="C1594" t="inlineStr">
        <is>
          <t>ONLINE</t>
        </is>
      </c>
      <c r="G1594" s="34">
        <f>VLOOKUP(Table4[[#This Row],[AGEN ID]],Reseller!A:E,5,0)</f>
        <v/>
      </c>
    </row>
    <row r="1595">
      <c r="A1595" t="inlineStr">
        <is>
          <t>OP19760</t>
        </is>
      </c>
      <c r="B1595">
        <f>VLOOKUP(A1595,Reseller!G:H,2,0)</f>
        <v/>
      </c>
      <c r="C1595" t="inlineStr">
        <is>
          <t>ONLINE</t>
        </is>
      </c>
      <c r="G1595" s="34">
        <f>VLOOKUP(Table4[[#This Row],[AGEN ID]],Reseller!A:E,5,0)</f>
        <v/>
      </c>
    </row>
    <row r="1596">
      <c r="A1596" t="inlineStr">
        <is>
          <t>OP19761</t>
        </is>
      </c>
      <c r="B1596">
        <f>VLOOKUP(A1596,Reseller!G:H,2,0)</f>
        <v/>
      </c>
      <c r="C1596" t="inlineStr">
        <is>
          <t>ONLINE</t>
        </is>
      </c>
      <c r="G1596" s="34">
        <f>VLOOKUP(Table4[[#This Row],[AGEN ID]],Reseller!A:E,5,0)</f>
        <v/>
      </c>
    </row>
    <row r="1597">
      <c r="A1597" t="inlineStr">
        <is>
          <t>OP19769</t>
        </is>
      </c>
      <c r="B1597">
        <f>VLOOKUP(A1597,Reseller!G:H,2,0)</f>
        <v/>
      </c>
      <c r="C1597" t="inlineStr">
        <is>
          <t>ONLINE</t>
        </is>
      </c>
      <c r="G1597" s="34">
        <f>VLOOKUP(Table4[[#This Row],[AGEN ID]],Reseller!A:E,5,0)</f>
        <v/>
      </c>
    </row>
    <row r="1598">
      <c r="A1598" t="inlineStr">
        <is>
          <t>OP19770</t>
        </is>
      </c>
      <c r="B1598">
        <f>VLOOKUP(A1598,Reseller!G:H,2,0)</f>
        <v/>
      </c>
      <c r="C1598" t="inlineStr">
        <is>
          <t>ONLINE</t>
        </is>
      </c>
      <c r="G1598" s="34">
        <f>VLOOKUP(Table4[[#This Row],[AGEN ID]],Reseller!A:E,5,0)</f>
        <v/>
      </c>
    </row>
    <row r="1599">
      <c r="A1599" t="inlineStr">
        <is>
          <t>OP19774</t>
        </is>
      </c>
      <c r="B1599">
        <f>VLOOKUP(A1599,Reseller!G:H,2,0)</f>
        <v/>
      </c>
      <c r="C1599" t="inlineStr">
        <is>
          <t>ONLINE</t>
        </is>
      </c>
      <c r="G1599" s="34">
        <f>VLOOKUP(Table4[[#This Row],[AGEN ID]],Reseller!A:E,5,0)</f>
        <v/>
      </c>
    </row>
    <row r="1600">
      <c r="A1600" t="inlineStr">
        <is>
          <t>OP19782</t>
        </is>
      </c>
      <c r="B1600">
        <f>VLOOKUP(A1600,Reseller!G:H,2,0)</f>
        <v/>
      </c>
      <c r="C1600" t="inlineStr">
        <is>
          <t>ONLINE</t>
        </is>
      </c>
      <c r="G1600" s="34">
        <f>VLOOKUP(Table4[[#This Row],[AGEN ID]],Reseller!A:E,5,0)</f>
        <v/>
      </c>
    </row>
    <row r="1601">
      <c r="A1601" t="inlineStr">
        <is>
          <t>OP19816</t>
        </is>
      </c>
      <c r="B1601">
        <f>VLOOKUP(A1601,Reseller!G:H,2,0)</f>
        <v/>
      </c>
      <c r="C1601" t="inlineStr">
        <is>
          <t>ONLINE</t>
        </is>
      </c>
      <c r="G1601" s="34">
        <f>VLOOKUP(Table4[[#This Row],[AGEN ID]],Reseller!A:E,5,0)</f>
        <v/>
      </c>
    </row>
    <row r="1602">
      <c r="A1602" t="inlineStr">
        <is>
          <t>OP19828</t>
        </is>
      </c>
      <c r="B1602">
        <f>VLOOKUP(A1602,Reseller!G:H,2,0)</f>
        <v/>
      </c>
      <c r="C1602" t="inlineStr">
        <is>
          <t>ONLINE</t>
        </is>
      </c>
      <c r="G1602" s="34">
        <f>VLOOKUP(Table4[[#This Row],[AGEN ID]],Reseller!A:E,5,0)</f>
        <v/>
      </c>
    </row>
    <row r="1603">
      <c r="A1603" t="inlineStr">
        <is>
          <t>OP19837</t>
        </is>
      </c>
      <c r="B1603">
        <f>VLOOKUP(A1603,Reseller!G:H,2,0)</f>
        <v/>
      </c>
      <c r="C1603" t="inlineStr">
        <is>
          <t>ONLINE</t>
        </is>
      </c>
      <c r="G1603" s="34">
        <f>VLOOKUP(Table4[[#This Row],[AGEN ID]],Reseller!A:E,5,0)</f>
        <v/>
      </c>
    </row>
    <row r="1604">
      <c r="A1604" t="inlineStr">
        <is>
          <t>OP19838</t>
        </is>
      </c>
      <c r="B1604">
        <f>VLOOKUP(A1604,Reseller!G:H,2,0)</f>
        <v/>
      </c>
      <c r="C1604" t="inlineStr">
        <is>
          <t>ONLINE</t>
        </is>
      </c>
      <c r="G1604" s="34">
        <f>VLOOKUP(Table4[[#This Row],[AGEN ID]],Reseller!A:E,5,0)</f>
        <v/>
      </c>
    </row>
    <row r="1605">
      <c r="A1605" t="inlineStr">
        <is>
          <t>OP19841</t>
        </is>
      </c>
      <c r="B1605">
        <f>VLOOKUP(A1605,Reseller!G:H,2,0)</f>
        <v/>
      </c>
      <c r="C1605" t="inlineStr">
        <is>
          <t>ONLINE</t>
        </is>
      </c>
      <c r="G1605" s="34">
        <f>VLOOKUP(Table4[[#This Row],[AGEN ID]],Reseller!A:E,5,0)</f>
        <v/>
      </c>
    </row>
    <row r="1606">
      <c r="A1606" t="inlineStr">
        <is>
          <t>OP19849</t>
        </is>
      </c>
      <c r="B1606">
        <f>VLOOKUP(A1606,Reseller!G:H,2,0)</f>
        <v/>
      </c>
      <c r="C1606" t="inlineStr">
        <is>
          <t>ONLINE</t>
        </is>
      </c>
      <c r="G1606" s="34">
        <f>VLOOKUP(Table4[[#This Row],[AGEN ID]],Reseller!A:E,5,0)</f>
        <v/>
      </c>
    </row>
    <row r="1607">
      <c r="A1607" t="inlineStr">
        <is>
          <t>OP19867</t>
        </is>
      </c>
      <c r="B1607">
        <f>VLOOKUP(A1607,Reseller!G:H,2,0)</f>
        <v/>
      </c>
      <c r="C1607" t="inlineStr">
        <is>
          <t>ONLINE</t>
        </is>
      </c>
      <c r="G1607" s="34">
        <f>VLOOKUP(Table4[[#This Row],[AGEN ID]],Reseller!A:E,5,0)</f>
        <v/>
      </c>
    </row>
    <row r="1608">
      <c r="A1608" t="inlineStr">
        <is>
          <t>OP19871</t>
        </is>
      </c>
      <c r="B1608">
        <f>VLOOKUP(A1608,Reseller!G:H,2,0)</f>
        <v/>
      </c>
      <c r="C1608" t="inlineStr">
        <is>
          <t>ONLINE</t>
        </is>
      </c>
      <c r="G1608" s="34">
        <f>VLOOKUP(Table4[[#This Row],[AGEN ID]],Reseller!A:E,5,0)</f>
        <v/>
      </c>
    </row>
    <row r="1609">
      <c r="A1609" t="inlineStr">
        <is>
          <t>OP19882</t>
        </is>
      </c>
      <c r="B1609">
        <f>VLOOKUP(A1609,Reseller!G:H,2,0)</f>
        <v/>
      </c>
      <c r="C1609" t="inlineStr">
        <is>
          <t>ONLINE</t>
        </is>
      </c>
      <c r="G1609" s="34">
        <f>VLOOKUP(Table4[[#This Row],[AGEN ID]],Reseller!A:E,5,0)</f>
        <v/>
      </c>
    </row>
    <row r="1610">
      <c r="A1610" t="inlineStr">
        <is>
          <t>OP19914</t>
        </is>
      </c>
      <c r="B1610">
        <f>VLOOKUP(A1610,Reseller!G:H,2,0)</f>
        <v/>
      </c>
      <c r="C1610" t="inlineStr">
        <is>
          <t>ONLINE</t>
        </is>
      </c>
      <c r="G1610" s="34">
        <f>VLOOKUP(Table4[[#This Row],[AGEN ID]],Reseller!A:E,5,0)</f>
        <v/>
      </c>
    </row>
    <row r="1611">
      <c r="A1611" t="inlineStr">
        <is>
          <t>OP19918</t>
        </is>
      </c>
      <c r="B1611">
        <f>VLOOKUP(A1611,Reseller!G:H,2,0)</f>
        <v/>
      </c>
      <c r="C1611" t="inlineStr">
        <is>
          <t>ONLINE</t>
        </is>
      </c>
      <c r="G1611" s="34">
        <f>VLOOKUP(Table4[[#This Row],[AGEN ID]],Reseller!A:E,5,0)</f>
        <v/>
      </c>
    </row>
    <row r="1612">
      <c r="A1612" t="inlineStr">
        <is>
          <t>OP19920</t>
        </is>
      </c>
      <c r="B1612">
        <f>VLOOKUP(A1612,Reseller!G:H,2,0)</f>
        <v/>
      </c>
      <c r="C1612" t="inlineStr">
        <is>
          <t>ONLINE</t>
        </is>
      </c>
      <c r="G1612" s="34">
        <f>VLOOKUP(Table4[[#This Row],[AGEN ID]],Reseller!A:E,5,0)</f>
        <v/>
      </c>
    </row>
    <row r="1613">
      <c r="A1613" t="inlineStr">
        <is>
          <t>OP19924</t>
        </is>
      </c>
      <c r="B1613">
        <f>VLOOKUP(A1613,Reseller!G:H,2,0)</f>
        <v/>
      </c>
      <c r="C1613" t="inlineStr">
        <is>
          <t>ONLINE</t>
        </is>
      </c>
      <c r="G1613" s="34">
        <f>VLOOKUP(Table4[[#This Row],[AGEN ID]],Reseller!A:E,5,0)</f>
        <v/>
      </c>
    </row>
    <row r="1614">
      <c r="A1614" t="inlineStr">
        <is>
          <t>OP19926</t>
        </is>
      </c>
      <c r="B1614">
        <f>VLOOKUP(A1614,Reseller!G:H,2,0)</f>
        <v/>
      </c>
      <c r="C1614" t="inlineStr">
        <is>
          <t>ONLINE</t>
        </is>
      </c>
      <c r="G1614" s="34">
        <f>VLOOKUP(Table4[[#This Row],[AGEN ID]],Reseller!A:E,5,0)</f>
        <v/>
      </c>
    </row>
    <row r="1615">
      <c r="A1615" t="inlineStr">
        <is>
          <t>OP19929</t>
        </is>
      </c>
      <c r="B1615">
        <f>VLOOKUP(A1615,Reseller!G:H,2,0)</f>
        <v/>
      </c>
      <c r="C1615" t="inlineStr">
        <is>
          <t>ONLINE</t>
        </is>
      </c>
      <c r="G1615" s="34">
        <f>VLOOKUP(Table4[[#This Row],[AGEN ID]],Reseller!A:E,5,0)</f>
        <v/>
      </c>
    </row>
    <row r="1616">
      <c r="A1616" t="inlineStr">
        <is>
          <t>OP19934</t>
        </is>
      </c>
      <c r="B1616">
        <f>VLOOKUP(A1616,Reseller!G:H,2,0)</f>
        <v/>
      </c>
      <c r="C1616" t="inlineStr">
        <is>
          <t>ONLINE</t>
        </is>
      </c>
      <c r="G1616" s="34">
        <f>VLOOKUP(Table4[[#This Row],[AGEN ID]],Reseller!A:E,5,0)</f>
        <v/>
      </c>
    </row>
    <row r="1617">
      <c r="A1617" t="inlineStr">
        <is>
          <t>OP19937</t>
        </is>
      </c>
      <c r="B1617">
        <f>VLOOKUP(A1617,Reseller!G:H,2,0)</f>
        <v/>
      </c>
      <c r="C1617" t="inlineStr">
        <is>
          <t>ONLINE</t>
        </is>
      </c>
      <c r="G1617" s="34">
        <f>VLOOKUP(Table4[[#This Row],[AGEN ID]],Reseller!A:E,5,0)</f>
        <v/>
      </c>
    </row>
    <row r="1618">
      <c r="A1618" t="inlineStr">
        <is>
          <t>OP19953</t>
        </is>
      </c>
      <c r="B1618">
        <f>VLOOKUP(A1618,Reseller!G:H,2,0)</f>
        <v/>
      </c>
      <c r="C1618" t="inlineStr">
        <is>
          <t>ONLINE</t>
        </is>
      </c>
      <c r="G1618" s="34">
        <f>VLOOKUP(Table4[[#This Row],[AGEN ID]],Reseller!A:E,5,0)</f>
        <v/>
      </c>
    </row>
    <row r="1619">
      <c r="A1619" t="inlineStr">
        <is>
          <t>OP19960</t>
        </is>
      </c>
      <c r="B1619">
        <f>VLOOKUP(A1619,Reseller!G:H,2,0)</f>
        <v/>
      </c>
      <c r="C1619" t="inlineStr">
        <is>
          <t>ONLINE</t>
        </is>
      </c>
      <c r="G1619" s="34">
        <f>VLOOKUP(Table4[[#This Row],[AGEN ID]],Reseller!A:E,5,0)</f>
        <v/>
      </c>
    </row>
    <row r="1620">
      <c r="A1620" t="inlineStr">
        <is>
          <t>OP19965</t>
        </is>
      </c>
      <c r="B1620">
        <f>VLOOKUP(A1620,Reseller!G:H,2,0)</f>
        <v/>
      </c>
      <c r="C1620" t="inlineStr">
        <is>
          <t>ONLINE</t>
        </is>
      </c>
      <c r="G1620" s="34">
        <f>VLOOKUP(Table4[[#This Row],[AGEN ID]],Reseller!A:E,5,0)</f>
        <v/>
      </c>
    </row>
    <row r="1621">
      <c r="A1621" t="inlineStr">
        <is>
          <t>OP19967</t>
        </is>
      </c>
      <c r="B1621">
        <f>VLOOKUP(A1621,Reseller!G:H,2,0)</f>
        <v/>
      </c>
      <c r="C1621" t="inlineStr">
        <is>
          <t>ONLINE</t>
        </is>
      </c>
      <c r="G1621" s="34">
        <f>VLOOKUP(Table4[[#This Row],[AGEN ID]],Reseller!A:E,5,0)</f>
        <v/>
      </c>
    </row>
    <row r="1622">
      <c r="A1622" t="inlineStr">
        <is>
          <t>OP19968</t>
        </is>
      </c>
      <c r="B1622">
        <f>VLOOKUP(A1622,Reseller!G:H,2,0)</f>
        <v/>
      </c>
      <c r="C1622" t="inlineStr">
        <is>
          <t>ONLINE</t>
        </is>
      </c>
      <c r="G1622" s="34">
        <f>VLOOKUP(Table4[[#This Row],[AGEN ID]],Reseller!A:E,5,0)</f>
        <v/>
      </c>
    </row>
    <row r="1623">
      <c r="A1623" t="inlineStr">
        <is>
          <t>OP19988</t>
        </is>
      </c>
      <c r="B1623">
        <f>VLOOKUP(A1623,Reseller!G:H,2,0)</f>
        <v/>
      </c>
      <c r="C1623" t="inlineStr">
        <is>
          <t>ONLINE</t>
        </is>
      </c>
      <c r="G1623" s="34">
        <f>VLOOKUP(Table4[[#This Row],[AGEN ID]],Reseller!A:E,5,0)</f>
        <v/>
      </c>
    </row>
    <row r="1624">
      <c r="A1624" t="inlineStr">
        <is>
          <t>OP19989</t>
        </is>
      </c>
      <c r="B1624">
        <f>VLOOKUP(A1624,Reseller!G:H,2,0)</f>
        <v/>
      </c>
      <c r="C1624" t="inlineStr">
        <is>
          <t>ONLINE</t>
        </is>
      </c>
      <c r="G1624" s="34">
        <f>VLOOKUP(Table4[[#This Row],[AGEN ID]],Reseller!A:E,5,0)</f>
        <v/>
      </c>
    </row>
    <row r="1625">
      <c r="A1625" t="inlineStr">
        <is>
          <t>OP19998</t>
        </is>
      </c>
      <c r="B1625">
        <f>VLOOKUP(A1625,Reseller!G:H,2,0)</f>
        <v/>
      </c>
      <c r="C1625" t="inlineStr">
        <is>
          <t>ONLINE</t>
        </is>
      </c>
      <c r="G1625" s="34">
        <f>VLOOKUP(Table4[[#This Row],[AGEN ID]],Reseller!A:E,5,0)</f>
        <v/>
      </c>
    </row>
    <row r="1626">
      <c r="A1626" t="inlineStr">
        <is>
          <t>OP20001</t>
        </is>
      </c>
      <c r="B1626">
        <f>VLOOKUP(A1626,Reseller!G:H,2,0)</f>
        <v/>
      </c>
      <c r="C1626" t="inlineStr">
        <is>
          <t>ONLINE</t>
        </is>
      </c>
      <c r="G1626" s="34">
        <f>VLOOKUP(Table4[[#This Row],[AGEN ID]],Reseller!A:E,5,0)</f>
        <v/>
      </c>
    </row>
    <row r="1627">
      <c r="A1627" t="inlineStr">
        <is>
          <t>OP20019</t>
        </is>
      </c>
      <c r="B1627">
        <f>VLOOKUP(A1627,Reseller!G:H,2,0)</f>
        <v/>
      </c>
      <c r="C1627" t="inlineStr">
        <is>
          <t>ONLINE</t>
        </is>
      </c>
      <c r="G1627" s="34">
        <f>VLOOKUP(Table4[[#This Row],[AGEN ID]],Reseller!A:E,5,0)</f>
        <v/>
      </c>
    </row>
    <row r="1628">
      <c r="A1628" t="inlineStr">
        <is>
          <t>OP20023</t>
        </is>
      </c>
      <c r="B1628">
        <f>VLOOKUP(A1628,Reseller!G:H,2,0)</f>
        <v/>
      </c>
      <c r="C1628" t="inlineStr">
        <is>
          <t>ONLINE</t>
        </is>
      </c>
      <c r="G1628" s="34">
        <f>VLOOKUP(Table4[[#This Row],[AGEN ID]],Reseller!A:E,5,0)</f>
        <v/>
      </c>
    </row>
    <row r="1629">
      <c r="A1629" t="inlineStr">
        <is>
          <t>OP20051</t>
        </is>
      </c>
      <c r="B1629">
        <f>VLOOKUP(A1629,Reseller!G:H,2,0)</f>
        <v/>
      </c>
      <c r="C1629" t="inlineStr">
        <is>
          <t>ONLINE</t>
        </is>
      </c>
      <c r="G1629" s="34">
        <f>VLOOKUP(Table4[[#This Row],[AGEN ID]],Reseller!A:E,5,0)</f>
        <v/>
      </c>
    </row>
    <row r="1630">
      <c r="A1630" t="inlineStr">
        <is>
          <t>OP20052</t>
        </is>
      </c>
      <c r="B1630">
        <f>VLOOKUP(A1630,Reseller!G:H,2,0)</f>
        <v/>
      </c>
      <c r="C1630" t="inlineStr">
        <is>
          <t>ONLINE</t>
        </is>
      </c>
      <c r="G1630" s="34">
        <f>VLOOKUP(Table4[[#This Row],[AGEN ID]],Reseller!A:E,5,0)</f>
        <v/>
      </c>
    </row>
    <row r="1631">
      <c r="A1631" t="inlineStr">
        <is>
          <t>OP20058</t>
        </is>
      </c>
      <c r="B1631">
        <f>VLOOKUP(A1631,Reseller!G:H,2,0)</f>
        <v/>
      </c>
      <c r="C1631" t="inlineStr">
        <is>
          <t>ONLINE</t>
        </is>
      </c>
      <c r="G1631" s="34">
        <f>VLOOKUP(Table4[[#This Row],[AGEN ID]],Reseller!A:E,5,0)</f>
        <v/>
      </c>
    </row>
    <row r="1632">
      <c r="A1632" t="inlineStr">
        <is>
          <t>OP20064</t>
        </is>
      </c>
      <c r="B1632">
        <f>VLOOKUP(A1632,Reseller!G:H,2,0)</f>
        <v/>
      </c>
      <c r="C1632" t="inlineStr">
        <is>
          <t>ONLINE</t>
        </is>
      </c>
      <c r="G1632" s="34">
        <f>VLOOKUP(Table4[[#This Row],[AGEN ID]],Reseller!A:E,5,0)</f>
        <v/>
      </c>
    </row>
    <row r="1633">
      <c r="A1633" t="inlineStr">
        <is>
          <t>OP20071</t>
        </is>
      </c>
      <c r="B1633">
        <f>VLOOKUP(A1633,Reseller!G:H,2,0)</f>
        <v/>
      </c>
      <c r="C1633" t="inlineStr">
        <is>
          <t>ONLINE</t>
        </is>
      </c>
      <c r="G1633" s="34">
        <f>VLOOKUP(Table4[[#This Row],[AGEN ID]],Reseller!A:E,5,0)</f>
        <v/>
      </c>
    </row>
    <row r="1634">
      <c r="A1634" t="inlineStr">
        <is>
          <t>OP20074</t>
        </is>
      </c>
      <c r="B1634">
        <f>VLOOKUP(A1634,Reseller!G:H,2,0)</f>
        <v/>
      </c>
      <c r="C1634" t="inlineStr">
        <is>
          <t>ONLINE</t>
        </is>
      </c>
      <c r="G1634" s="34">
        <f>VLOOKUP(Table4[[#This Row],[AGEN ID]],Reseller!A:E,5,0)</f>
        <v/>
      </c>
    </row>
    <row r="1635">
      <c r="A1635" t="inlineStr">
        <is>
          <t>OP20076</t>
        </is>
      </c>
      <c r="B1635">
        <f>VLOOKUP(A1635,Reseller!G:H,2,0)</f>
        <v/>
      </c>
      <c r="C1635" t="inlineStr">
        <is>
          <t>ONLINE</t>
        </is>
      </c>
      <c r="G1635" s="34">
        <f>VLOOKUP(Table4[[#This Row],[AGEN ID]],Reseller!A:E,5,0)</f>
        <v/>
      </c>
    </row>
    <row r="1636">
      <c r="A1636" t="inlineStr">
        <is>
          <t>OP20078</t>
        </is>
      </c>
      <c r="B1636">
        <f>VLOOKUP(A1636,Reseller!G:H,2,0)</f>
        <v/>
      </c>
      <c r="C1636" t="inlineStr">
        <is>
          <t>ONLINE</t>
        </is>
      </c>
      <c r="G1636" s="34">
        <f>VLOOKUP(Table4[[#This Row],[AGEN ID]],Reseller!A:E,5,0)</f>
        <v/>
      </c>
    </row>
    <row r="1637">
      <c r="A1637" t="inlineStr">
        <is>
          <t>OP20092</t>
        </is>
      </c>
      <c r="B1637">
        <f>VLOOKUP(A1637,Reseller!G:H,2,0)</f>
        <v/>
      </c>
      <c r="C1637" t="inlineStr">
        <is>
          <t>ONLINE</t>
        </is>
      </c>
      <c r="G1637" s="34">
        <f>VLOOKUP(Table4[[#This Row],[AGEN ID]],Reseller!A:E,5,0)</f>
        <v/>
      </c>
    </row>
    <row r="1638">
      <c r="A1638" t="inlineStr">
        <is>
          <t>OP20104</t>
        </is>
      </c>
      <c r="B1638">
        <f>VLOOKUP(A1638,Reseller!G:H,2,0)</f>
        <v/>
      </c>
      <c r="C1638" t="inlineStr">
        <is>
          <t>ONLINE</t>
        </is>
      </c>
      <c r="G1638" s="34">
        <f>VLOOKUP(Table4[[#This Row],[AGEN ID]],Reseller!A:E,5,0)</f>
        <v/>
      </c>
    </row>
    <row r="1639">
      <c r="A1639" t="inlineStr">
        <is>
          <t>OP20122</t>
        </is>
      </c>
      <c r="B1639">
        <f>VLOOKUP(A1639,Reseller!G:H,2,0)</f>
        <v/>
      </c>
      <c r="C1639" t="inlineStr">
        <is>
          <t>ONLINE</t>
        </is>
      </c>
      <c r="G1639" s="34">
        <f>VLOOKUP(Table4[[#This Row],[AGEN ID]],Reseller!A:E,5,0)</f>
        <v/>
      </c>
    </row>
    <row r="1640">
      <c r="A1640" t="inlineStr">
        <is>
          <t>OP20141</t>
        </is>
      </c>
      <c r="B1640">
        <f>VLOOKUP(A1640,Reseller!G:H,2,0)</f>
        <v/>
      </c>
      <c r="C1640" t="inlineStr">
        <is>
          <t>ONLINE</t>
        </is>
      </c>
      <c r="G1640" s="34">
        <f>VLOOKUP(Table4[[#This Row],[AGEN ID]],Reseller!A:E,5,0)</f>
        <v/>
      </c>
    </row>
    <row r="1641">
      <c r="A1641" s="32" t="inlineStr">
        <is>
          <t>OP20145</t>
        </is>
      </c>
      <c r="B1641">
        <f>VLOOKUP(A1641,Reseller!G:H,2,0)</f>
        <v/>
      </c>
      <c r="C1641" t="inlineStr">
        <is>
          <t>ONLINE</t>
        </is>
      </c>
      <c r="G1641" s="34">
        <f>VLOOKUP(Table4[[#This Row],[AGEN ID]],Reseller!A:E,5,0)</f>
        <v/>
      </c>
    </row>
    <row r="1642">
      <c r="A1642" t="inlineStr">
        <is>
          <t>OP20146</t>
        </is>
      </c>
      <c r="B1642">
        <f>VLOOKUP(A1642,Reseller!G:H,2,0)</f>
        <v/>
      </c>
      <c r="C1642" t="inlineStr">
        <is>
          <t>ONLINE</t>
        </is>
      </c>
      <c r="G1642" s="34">
        <f>VLOOKUP(Table4[[#This Row],[AGEN ID]],Reseller!A:E,5,0)</f>
        <v/>
      </c>
    </row>
    <row r="1643">
      <c r="A1643" s="32" t="inlineStr">
        <is>
          <t>OP18958</t>
        </is>
      </c>
      <c r="B1643">
        <f>VLOOKUP(A1643,Reseller!G:H,2,0)</f>
        <v/>
      </c>
      <c r="C1643" t="inlineStr">
        <is>
          <t>ONLINE</t>
        </is>
      </c>
      <c r="G1643" s="34">
        <f>VLOOKUP(Table4[[#This Row],[AGEN ID]],Reseller!A:E,5,0)</f>
        <v/>
      </c>
    </row>
    <row r="1644">
      <c r="A1644" s="32" t="inlineStr">
        <is>
          <t>OP18960</t>
        </is>
      </c>
      <c r="B1644">
        <f>VLOOKUP(A1644,Reseller!G:H,2,0)</f>
        <v/>
      </c>
      <c r="C1644" t="inlineStr">
        <is>
          <t>ONLINE</t>
        </is>
      </c>
      <c r="G1644" s="34">
        <f>VLOOKUP(Table4[[#This Row],[AGEN ID]],Reseller!A:E,5,0)</f>
        <v/>
      </c>
    </row>
    <row r="1645">
      <c r="A1645" s="32" t="inlineStr">
        <is>
          <t>OP18973</t>
        </is>
      </c>
      <c r="B1645">
        <f>VLOOKUP(A1645,Reseller!G:H,2,0)</f>
        <v/>
      </c>
      <c r="C1645" t="inlineStr">
        <is>
          <t>ONLINE</t>
        </is>
      </c>
      <c r="G1645" s="34">
        <f>VLOOKUP(Table4[[#This Row],[AGEN ID]],Reseller!A:E,5,0)</f>
        <v/>
      </c>
    </row>
    <row r="1646">
      <c r="A1646" s="32" t="inlineStr">
        <is>
          <t>OP19042</t>
        </is>
      </c>
      <c r="B1646">
        <f>VLOOKUP(A1646,Reseller!G:H,2,0)</f>
        <v/>
      </c>
      <c r="C1646" t="inlineStr">
        <is>
          <t>ONLINE</t>
        </is>
      </c>
      <c r="G1646" s="34">
        <f>VLOOKUP(Table4[[#This Row],[AGEN ID]],Reseller!A:E,5,0)</f>
        <v/>
      </c>
    </row>
    <row r="1647">
      <c r="A1647" s="32" t="inlineStr">
        <is>
          <t>OP19072</t>
        </is>
      </c>
      <c r="B1647">
        <f>VLOOKUP(A1647,Reseller!G:H,2,0)</f>
        <v/>
      </c>
      <c r="C1647" t="inlineStr">
        <is>
          <t>ONLINE</t>
        </is>
      </c>
      <c r="G1647" s="34">
        <f>VLOOKUP(Table4[[#This Row],[AGEN ID]],Reseller!A:E,5,0)</f>
        <v/>
      </c>
    </row>
    <row r="1648">
      <c r="A1648" s="32" t="inlineStr">
        <is>
          <t>OP19178</t>
        </is>
      </c>
      <c r="B1648">
        <f>VLOOKUP(A1648,Reseller!G:H,2,0)</f>
        <v/>
      </c>
      <c r="C1648" t="inlineStr">
        <is>
          <t>ONLINE</t>
        </is>
      </c>
      <c r="G1648" s="34">
        <f>VLOOKUP(Table4[[#This Row],[AGEN ID]],Reseller!A:E,5,0)</f>
        <v/>
      </c>
    </row>
    <row r="1649">
      <c r="A1649" s="32" t="inlineStr">
        <is>
          <t>OP19210</t>
        </is>
      </c>
      <c r="B1649">
        <f>VLOOKUP(A1649,Reseller!G:H,2,0)</f>
        <v/>
      </c>
      <c r="C1649" t="inlineStr">
        <is>
          <t>ONLINE</t>
        </is>
      </c>
      <c r="G1649" s="34">
        <f>VLOOKUP(Table4[[#This Row],[AGEN ID]],Reseller!A:E,5,0)</f>
        <v/>
      </c>
    </row>
    <row r="1650">
      <c r="A1650" s="32" t="inlineStr">
        <is>
          <t>OP19216</t>
        </is>
      </c>
      <c r="B1650">
        <f>VLOOKUP(A1650,Reseller!G:H,2,0)</f>
        <v/>
      </c>
      <c r="C1650" t="inlineStr">
        <is>
          <t>ONLINE</t>
        </is>
      </c>
      <c r="G1650" s="34">
        <f>VLOOKUP(Table4[[#This Row],[AGEN ID]],Reseller!A:E,5,0)</f>
        <v/>
      </c>
    </row>
    <row r="1651">
      <c r="A1651" s="32" t="inlineStr">
        <is>
          <t>OP19268</t>
        </is>
      </c>
      <c r="B1651">
        <f>VLOOKUP(A1651,Reseller!G:H,2,0)</f>
        <v/>
      </c>
      <c r="C1651" t="inlineStr">
        <is>
          <t>ONLINE</t>
        </is>
      </c>
      <c r="G1651" s="34">
        <f>VLOOKUP(Table4[[#This Row],[AGEN ID]],Reseller!A:E,5,0)</f>
        <v/>
      </c>
    </row>
    <row r="1652">
      <c r="A1652" s="32" t="inlineStr">
        <is>
          <t>OP19365</t>
        </is>
      </c>
      <c r="B1652">
        <f>VLOOKUP(A1652,Reseller!G:H,2,0)</f>
        <v/>
      </c>
      <c r="C1652" t="inlineStr">
        <is>
          <t>ONLINE</t>
        </is>
      </c>
      <c r="G1652" s="34">
        <f>VLOOKUP(Table4[[#This Row],[AGEN ID]],Reseller!A:E,5,0)</f>
        <v/>
      </c>
    </row>
    <row r="1653">
      <c r="A1653" s="32" t="inlineStr">
        <is>
          <t>OP18894</t>
        </is>
      </c>
      <c r="B1653">
        <f>VLOOKUP(A1653,Reseller!G:H,2,0)</f>
        <v/>
      </c>
      <c r="C1653" t="inlineStr">
        <is>
          <t>ONLINE</t>
        </is>
      </c>
      <c r="G1653" s="34">
        <f>VLOOKUP(Table4[[#This Row],[AGEN ID]],Reseller!A:E,5,0)</f>
        <v/>
      </c>
    </row>
    <row r="1654">
      <c r="A1654" s="32" t="inlineStr">
        <is>
          <t>OP19368</t>
        </is>
      </c>
      <c r="B1654">
        <f>VLOOKUP(A1654,Reseller!G:H,2,0)</f>
        <v/>
      </c>
      <c r="C1654" t="inlineStr">
        <is>
          <t>ONLINE</t>
        </is>
      </c>
      <c r="G1654" s="34">
        <f>VLOOKUP(Table4[[#This Row],[AGEN ID]],Reseller!A:E,5,0)</f>
        <v/>
      </c>
    </row>
    <row r="1655">
      <c r="A1655" s="32" t="inlineStr">
        <is>
          <t>OP19390</t>
        </is>
      </c>
      <c r="B1655">
        <f>VLOOKUP(A1655,Reseller!G:H,2,0)</f>
        <v/>
      </c>
      <c r="C1655" t="inlineStr">
        <is>
          <t>ONLINE</t>
        </is>
      </c>
      <c r="G1655" s="34">
        <f>VLOOKUP(Table4[[#This Row],[AGEN ID]],Reseller!A:E,5,0)</f>
        <v/>
      </c>
    </row>
    <row r="1656">
      <c r="A1656" s="32" t="inlineStr">
        <is>
          <t>OP19428</t>
        </is>
      </c>
      <c r="B1656">
        <f>VLOOKUP(A1656,Reseller!G:H,2,0)</f>
        <v/>
      </c>
      <c r="C1656" t="inlineStr">
        <is>
          <t>ONLINE</t>
        </is>
      </c>
      <c r="G1656" s="34">
        <f>VLOOKUP(Table4[[#This Row],[AGEN ID]],Reseller!A:E,5,0)</f>
        <v/>
      </c>
    </row>
    <row r="1657">
      <c r="A1657" s="32" t="inlineStr">
        <is>
          <t>OP19433</t>
        </is>
      </c>
      <c r="B1657">
        <f>VLOOKUP(A1657,Reseller!G:H,2,0)</f>
        <v/>
      </c>
      <c r="C1657" t="inlineStr">
        <is>
          <t>ONLINE</t>
        </is>
      </c>
      <c r="G1657" s="34">
        <f>VLOOKUP(Table4[[#This Row],[AGEN ID]],Reseller!A:E,5,0)</f>
        <v/>
      </c>
    </row>
    <row r="1658">
      <c r="A1658" s="32" t="inlineStr">
        <is>
          <t>OP19451</t>
        </is>
      </c>
      <c r="B1658">
        <f>VLOOKUP(A1658,Reseller!G:H,2,0)</f>
        <v/>
      </c>
      <c r="C1658" t="inlineStr">
        <is>
          <t>ONLINE</t>
        </is>
      </c>
      <c r="G1658" s="34">
        <f>VLOOKUP(Table4[[#This Row],[AGEN ID]],Reseller!A:E,5,0)</f>
        <v/>
      </c>
    </row>
    <row r="1659">
      <c r="A1659" s="32" t="inlineStr">
        <is>
          <t>OP19455</t>
        </is>
      </c>
      <c r="B1659">
        <f>VLOOKUP(A1659,Reseller!G:H,2,0)</f>
        <v/>
      </c>
      <c r="C1659" t="inlineStr">
        <is>
          <t>ONLINE</t>
        </is>
      </c>
      <c r="G1659" s="34">
        <f>VLOOKUP(Table4[[#This Row],[AGEN ID]],Reseller!A:E,5,0)</f>
        <v/>
      </c>
    </row>
    <row r="1660">
      <c r="A1660" s="32" t="inlineStr">
        <is>
          <t>OP19457</t>
        </is>
      </c>
      <c r="B1660">
        <f>VLOOKUP(A1660,Reseller!G:H,2,0)</f>
        <v/>
      </c>
      <c r="C1660" t="inlineStr">
        <is>
          <t>ONLINE</t>
        </is>
      </c>
      <c r="G1660" s="34">
        <f>VLOOKUP(Table4[[#This Row],[AGEN ID]],Reseller!A:E,5,0)</f>
        <v/>
      </c>
    </row>
    <row r="1661">
      <c r="A1661" s="32" t="inlineStr">
        <is>
          <t>OP19464</t>
        </is>
      </c>
      <c r="B1661">
        <f>VLOOKUP(A1661,Reseller!G:H,2,0)</f>
        <v/>
      </c>
      <c r="C1661" t="inlineStr">
        <is>
          <t>ONLINE</t>
        </is>
      </c>
      <c r="G1661" s="34">
        <f>VLOOKUP(Table4[[#This Row],[AGEN ID]],Reseller!A:E,5,0)</f>
        <v/>
      </c>
    </row>
    <row r="1662">
      <c r="A1662" s="32" t="inlineStr">
        <is>
          <t>OP19482</t>
        </is>
      </c>
      <c r="B1662">
        <f>VLOOKUP(A1662,Reseller!G:H,2,0)</f>
        <v/>
      </c>
      <c r="C1662" t="inlineStr">
        <is>
          <t>ONLINE</t>
        </is>
      </c>
      <c r="G1662" s="34">
        <f>VLOOKUP(Table4[[#This Row],[AGEN ID]],Reseller!A:E,5,0)</f>
        <v/>
      </c>
    </row>
    <row r="1663">
      <c r="A1663" s="32" t="inlineStr">
        <is>
          <t>OP19548</t>
        </is>
      </c>
      <c r="B1663">
        <f>VLOOKUP(A1663,Reseller!G:H,2,0)</f>
        <v/>
      </c>
      <c r="C1663" t="inlineStr">
        <is>
          <t>ONLINE</t>
        </is>
      </c>
      <c r="G1663" s="34">
        <f>VLOOKUP(Table4[[#This Row],[AGEN ID]],Reseller!A:E,5,0)</f>
        <v/>
      </c>
    </row>
    <row r="1664">
      <c r="A1664" s="32" t="inlineStr">
        <is>
          <t>OP19552</t>
        </is>
      </c>
      <c r="B1664">
        <f>VLOOKUP(A1664,Reseller!G:H,2,0)</f>
        <v/>
      </c>
      <c r="C1664" t="inlineStr">
        <is>
          <t>ONLINE</t>
        </is>
      </c>
      <c r="G1664" s="34">
        <f>VLOOKUP(Table4[[#This Row],[AGEN ID]],Reseller!A:E,5,0)</f>
        <v/>
      </c>
    </row>
    <row r="1665">
      <c r="A1665" s="32" t="inlineStr">
        <is>
          <t>OP19575</t>
        </is>
      </c>
      <c r="B1665">
        <f>VLOOKUP(A1665,Reseller!G:H,2,0)</f>
        <v/>
      </c>
      <c r="C1665" t="inlineStr">
        <is>
          <t>ONLINE</t>
        </is>
      </c>
      <c r="G1665" s="34">
        <f>VLOOKUP(Table4[[#This Row],[AGEN ID]],Reseller!A:E,5,0)</f>
        <v/>
      </c>
    </row>
    <row r="1666">
      <c r="A1666" s="32" t="inlineStr">
        <is>
          <t>OP19576</t>
        </is>
      </c>
      <c r="B1666">
        <f>VLOOKUP(A1666,Reseller!G:H,2,0)</f>
        <v/>
      </c>
      <c r="C1666" t="inlineStr">
        <is>
          <t>ONLINE</t>
        </is>
      </c>
      <c r="G1666" s="34">
        <f>VLOOKUP(Table4[[#This Row],[AGEN ID]],Reseller!A:E,5,0)</f>
        <v/>
      </c>
    </row>
    <row r="1667">
      <c r="A1667" s="32" t="inlineStr">
        <is>
          <t>OP19598</t>
        </is>
      </c>
      <c r="B1667">
        <f>VLOOKUP(A1667,Reseller!G:H,2,0)</f>
        <v/>
      </c>
      <c r="C1667" t="inlineStr">
        <is>
          <t>ONLINE</t>
        </is>
      </c>
      <c r="G1667" s="34">
        <f>VLOOKUP(Table4[[#This Row],[AGEN ID]],Reseller!A:E,5,0)</f>
        <v/>
      </c>
    </row>
    <row r="1668">
      <c r="A1668" s="32" t="inlineStr">
        <is>
          <t>OP19636</t>
        </is>
      </c>
      <c r="B1668">
        <f>VLOOKUP(A1668,Reseller!G:H,2,0)</f>
        <v/>
      </c>
      <c r="C1668" t="inlineStr">
        <is>
          <t>ONLINE</t>
        </is>
      </c>
      <c r="G1668" s="34">
        <f>VLOOKUP(Table4[[#This Row],[AGEN ID]],Reseller!A:E,5,0)</f>
        <v/>
      </c>
    </row>
    <row r="1669">
      <c r="A1669" s="32" t="inlineStr">
        <is>
          <t>OP19638</t>
        </is>
      </c>
      <c r="B1669">
        <f>VLOOKUP(A1669,Reseller!G:H,2,0)</f>
        <v/>
      </c>
      <c r="C1669" t="inlineStr">
        <is>
          <t>ONLINE</t>
        </is>
      </c>
      <c r="G1669" s="34">
        <f>VLOOKUP(Table4[[#This Row],[AGEN ID]],Reseller!A:E,5,0)</f>
        <v/>
      </c>
    </row>
    <row r="1670">
      <c r="A1670" s="32" t="inlineStr">
        <is>
          <t>OP19641</t>
        </is>
      </c>
      <c r="B1670">
        <f>VLOOKUP(A1670,Reseller!G:H,2,0)</f>
        <v/>
      </c>
      <c r="C1670" t="inlineStr">
        <is>
          <t>ONLINE</t>
        </is>
      </c>
      <c r="G1670" s="34">
        <f>VLOOKUP(Table4[[#This Row],[AGEN ID]],Reseller!A:E,5,0)</f>
        <v/>
      </c>
    </row>
    <row r="1671">
      <c r="A1671" s="32" t="inlineStr">
        <is>
          <t>OP19654</t>
        </is>
      </c>
      <c r="B1671">
        <f>VLOOKUP(A1671,Reseller!G:H,2,0)</f>
        <v/>
      </c>
      <c r="C1671" t="inlineStr">
        <is>
          <t>ONLINE</t>
        </is>
      </c>
      <c r="G1671" s="34">
        <f>VLOOKUP(Table4[[#This Row],[AGEN ID]],Reseller!A:E,5,0)</f>
        <v/>
      </c>
    </row>
    <row r="1672">
      <c r="A1672" s="32" t="inlineStr">
        <is>
          <t>OP19656</t>
        </is>
      </c>
      <c r="B1672">
        <f>VLOOKUP(A1672,Reseller!G:H,2,0)</f>
        <v/>
      </c>
      <c r="C1672" t="inlineStr">
        <is>
          <t>ONLINE</t>
        </is>
      </c>
      <c r="G1672" s="34">
        <f>VLOOKUP(Table4[[#This Row],[AGEN ID]],Reseller!A:E,5,0)</f>
        <v/>
      </c>
    </row>
    <row r="1673">
      <c r="A1673" s="32" t="inlineStr">
        <is>
          <t>OP19663</t>
        </is>
      </c>
      <c r="B1673">
        <f>VLOOKUP(A1673,Reseller!G:H,2,0)</f>
        <v/>
      </c>
      <c r="C1673" t="inlineStr">
        <is>
          <t>ONLINE</t>
        </is>
      </c>
      <c r="G1673" s="34">
        <f>VLOOKUP(Table4[[#This Row],[AGEN ID]],Reseller!A:E,5,0)</f>
        <v/>
      </c>
    </row>
    <row r="1674">
      <c r="A1674" s="32" t="inlineStr">
        <is>
          <t>OP19672</t>
        </is>
      </c>
      <c r="B1674">
        <f>VLOOKUP(A1674,Reseller!G:H,2,0)</f>
        <v/>
      </c>
      <c r="C1674" t="inlineStr">
        <is>
          <t>ONLINE</t>
        </is>
      </c>
      <c r="G1674" s="34">
        <f>VLOOKUP(Table4[[#This Row],[AGEN ID]],Reseller!A:E,5,0)</f>
        <v/>
      </c>
    </row>
    <row r="1675">
      <c r="A1675" s="32" t="inlineStr">
        <is>
          <t>OP19673</t>
        </is>
      </c>
      <c r="B1675">
        <f>VLOOKUP(A1675,Reseller!G:H,2,0)</f>
        <v/>
      </c>
      <c r="C1675" t="inlineStr">
        <is>
          <t>ONLINE</t>
        </is>
      </c>
      <c r="G1675" s="34">
        <f>VLOOKUP(Table4[[#This Row],[AGEN ID]],Reseller!A:E,5,0)</f>
        <v/>
      </c>
    </row>
    <row r="1676">
      <c r="A1676" s="32" t="inlineStr">
        <is>
          <t>OP19721</t>
        </is>
      </c>
      <c r="B1676">
        <f>VLOOKUP(A1676,Reseller!G:H,2,0)</f>
        <v/>
      </c>
      <c r="C1676" t="inlineStr">
        <is>
          <t>ONLINE</t>
        </is>
      </c>
      <c r="G1676" s="34">
        <f>VLOOKUP(Table4[[#This Row],[AGEN ID]],Reseller!A:E,5,0)</f>
        <v/>
      </c>
    </row>
    <row r="1677">
      <c r="A1677" s="32" t="inlineStr">
        <is>
          <t>OP19731</t>
        </is>
      </c>
      <c r="B1677">
        <f>VLOOKUP(A1677,Reseller!G:H,2,0)</f>
        <v/>
      </c>
      <c r="C1677" t="inlineStr">
        <is>
          <t>ONLINE</t>
        </is>
      </c>
      <c r="G1677" s="34">
        <f>VLOOKUP(Table4[[#This Row],[AGEN ID]],Reseller!A:E,5,0)</f>
        <v/>
      </c>
    </row>
    <row r="1678">
      <c r="A1678" s="32" t="inlineStr">
        <is>
          <t>OP19742</t>
        </is>
      </c>
      <c r="B1678">
        <f>VLOOKUP(A1678,Reseller!G:H,2,0)</f>
        <v/>
      </c>
      <c r="C1678" t="inlineStr">
        <is>
          <t>ONLINE</t>
        </is>
      </c>
      <c r="G1678" s="34">
        <f>VLOOKUP(Table4[[#This Row],[AGEN ID]],Reseller!A:E,5,0)</f>
        <v/>
      </c>
    </row>
    <row r="1679">
      <c r="A1679" s="32" t="inlineStr">
        <is>
          <t>OP19597</t>
        </is>
      </c>
      <c r="B1679">
        <f>VLOOKUP(A1679,Reseller!G:H,2,0)</f>
        <v/>
      </c>
      <c r="C1679" t="inlineStr">
        <is>
          <t>ONLINE</t>
        </is>
      </c>
      <c r="G1679" s="34">
        <f>VLOOKUP(Table4[[#This Row],[AGEN ID]],Reseller!A:E,5,0)</f>
        <v/>
      </c>
    </row>
    <row r="1680">
      <c r="A1680" s="32" t="inlineStr">
        <is>
          <t>OP19768</t>
        </is>
      </c>
      <c r="B1680">
        <f>VLOOKUP(A1680,Reseller!G:H,2,0)</f>
        <v/>
      </c>
      <c r="C1680" t="inlineStr">
        <is>
          <t>ONLINE</t>
        </is>
      </c>
      <c r="G1680" s="34">
        <f>VLOOKUP(Table4[[#This Row],[AGEN ID]],Reseller!A:E,5,0)</f>
        <v/>
      </c>
    </row>
    <row r="1681">
      <c r="A1681" s="32" t="inlineStr">
        <is>
          <t>OP19817</t>
        </is>
      </c>
      <c r="B1681">
        <f>VLOOKUP(A1681,Reseller!G:H,2,0)</f>
        <v/>
      </c>
      <c r="C1681" t="inlineStr">
        <is>
          <t>ONLINE</t>
        </is>
      </c>
      <c r="G1681" s="34">
        <f>VLOOKUP(Table4[[#This Row],[AGEN ID]],Reseller!A:E,5,0)</f>
        <v/>
      </c>
    </row>
    <row r="1682">
      <c r="A1682" s="32" t="inlineStr">
        <is>
          <t>OP19819</t>
        </is>
      </c>
      <c r="B1682">
        <f>VLOOKUP(A1682,Reseller!G:H,2,0)</f>
        <v/>
      </c>
      <c r="C1682" t="inlineStr">
        <is>
          <t>ONLINE</t>
        </is>
      </c>
      <c r="G1682" s="34">
        <f>VLOOKUP(Table4[[#This Row],[AGEN ID]],Reseller!A:E,5,0)</f>
        <v/>
      </c>
    </row>
    <row r="1683">
      <c r="A1683" s="32" t="inlineStr">
        <is>
          <t>OP20196</t>
        </is>
      </c>
      <c r="B1683">
        <f>VLOOKUP(A1683,Reseller!G:H,2,0)</f>
        <v/>
      </c>
      <c r="C1683" t="inlineStr">
        <is>
          <t>ONLINE</t>
        </is>
      </c>
      <c r="G1683" s="34">
        <f>VLOOKUP(Table4[[#This Row],[AGEN ID]],Reseller!A:E,5,0)</f>
        <v/>
      </c>
    </row>
    <row r="1684">
      <c r="A1684" s="32" t="inlineStr">
        <is>
          <t>OP20191</t>
        </is>
      </c>
      <c r="B1684">
        <f>VLOOKUP(A1684,Reseller!G:H,2,0)</f>
        <v/>
      </c>
      <c r="C1684" t="inlineStr">
        <is>
          <t>ONLINE</t>
        </is>
      </c>
      <c r="G1684" s="34">
        <f>VLOOKUP(Table4[[#This Row],[AGEN ID]],Reseller!A:E,5,0)</f>
        <v/>
      </c>
    </row>
    <row r="1685">
      <c r="A1685" s="32" t="inlineStr">
        <is>
          <t>OP20212</t>
        </is>
      </c>
      <c r="B1685">
        <f>VLOOKUP(A1685,Reseller!G:H,2,0)</f>
        <v/>
      </c>
      <c r="C1685" t="inlineStr">
        <is>
          <t>ONLINE</t>
        </is>
      </c>
      <c r="G1685" s="34">
        <f>VLOOKUP(Table4[[#This Row],[AGEN ID]],Reseller!A:E,5,0)</f>
        <v/>
      </c>
    </row>
    <row r="1686">
      <c r="A1686" s="32" t="inlineStr">
        <is>
          <t>OP19753</t>
        </is>
      </c>
      <c r="B1686">
        <f>VLOOKUP(A1686,Reseller!G:H,2,0)</f>
        <v/>
      </c>
      <c r="C1686" t="inlineStr">
        <is>
          <t>ONLINE</t>
        </is>
      </c>
      <c r="G1686" s="34">
        <f>VLOOKUP(Table4[[#This Row],[AGEN ID]],Reseller!A:E,5,0)</f>
        <v/>
      </c>
    </row>
    <row r="1687">
      <c r="A1687" s="32" t="inlineStr">
        <is>
          <t>OP20207</t>
        </is>
      </c>
      <c r="B1687">
        <f>VLOOKUP(A1687,Reseller!G:H,2,0)</f>
        <v/>
      </c>
      <c r="C1687" t="inlineStr">
        <is>
          <t>ONLINE</t>
        </is>
      </c>
      <c r="G1687" s="34">
        <f>VLOOKUP(Table4[[#This Row],[AGEN ID]],Reseller!A:E,5,0)</f>
        <v/>
      </c>
    </row>
    <row r="1688">
      <c r="A1688" s="32" t="inlineStr">
        <is>
          <t>OP20221</t>
        </is>
      </c>
      <c r="B1688">
        <f>VLOOKUP(A1688,Reseller!G:H,2,0)</f>
        <v/>
      </c>
      <c r="C1688" t="inlineStr">
        <is>
          <t>H2H</t>
        </is>
      </c>
      <c r="G1688" s="34">
        <f>VLOOKUP(Table4[[#This Row],[AGEN ID]],Reseller!A:E,5,0)</f>
        <v/>
      </c>
    </row>
    <row r="1689">
      <c r="A1689" s="32" t="inlineStr">
        <is>
          <t>OP00017</t>
        </is>
      </c>
      <c r="B1689">
        <f>VLOOKUP(A1689,Reseller!G:H,2,0)</f>
        <v/>
      </c>
      <c r="C1689" t="inlineStr">
        <is>
          <t>ONLINE</t>
        </is>
      </c>
      <c r="G1689" s="34">
        <f>VLOOKUP(Table4[[#This Row],[AGEN ID]],Reseller!A:E,5,0)</f>
        <v/>
      </c>
    </row>
    <row r="1690">
      <c r="A1690" s="32" t="inlineStr">
        <is>
          <t>OP19515</t>
        </is>
      </c>
      <c r="B1690">
        <f>VLOOKUP(A1690,Reseller!G:H,2,0)</f>
        <v/>
      </c>
      <c r="C1690" t="inlineStr">
        <is>
          <t>ONLINE</t>
        </is>
      </c>
      <c r="G1690" s="34">
        <f>VLOOKUP(Table4[[#This Row],[AGEN ID]],Reseller!A:E,5,0)</f>
        <v/>
      </c>
    </row>
    <row r="1691">
      <c r="A1691" s="32" t="inlineStr">
        <is>
          <t>OP20223</t>
        </is>
      </c>
      <c r="B1691">
        <f>VLOOKUP(A1691,Reseller!G:H,2,0)</f>
        <v/>
      </c>
      <c r="C1691" t="inlineStr">
        <is>
          <t>ONLINE</t>
        </is>
      </c>
      <c r="G1691" s="34">
        <f>VLOOKUP(Table4[[#This Row],[AGEN ID]],Reseller!A:E,5,0)</f>
        <v/>
      </c>
    </row>
    <row r="1692">
      <c r="A1692" s="32" t="inlineStr">
        <is>
          <t>OP20227</t>
        </is>
      </c>
      <c r="B1692">
        <f>VLOOKUP(A1692,Reseller!G:H,2,0)</f>
        <v/>
      </c>
      <c r="C1692" t="inlineStr">
        <is>
          <t>ONLINE</t>
        </is>
      </c>
      <c r="G1692" s="34">
        <f>VLOOKUP(Table4[[#This Row],[AGEN ID]],Reseller!A:E,5,0)</f>
        <v/>
      </c>
    </row>
    <row r="1693">
      <c r="A1693" s="32" t="inlineStr">
        <is>
          <t>OP20231</t>
        </is>
      </c>
      <c r="B1693">
        <f>VLOOKUP(A1693,Reseller!G:H,2,0)</f>
        <v/>
      </c>
      <c r="C1693" t="inlineStr">
        <is>
          <t>ONLINE</t>
        </is>
      </c>
      <c r="G1693" s="34">
        <f>VLOOKUP(Table4[[#This Row],[AGEN ID]],Reseller!A:E,5,0)</f>
        <v/>
      </c>
    </row>
    <row r="1694">
      <c r="A1694" s="32" t="inlineStr">
        <is>
          <t>OP20240</t>
        </is>
      </c>
      <c r="B1694">
        <f>VLOOKUP(A1694,Reseller!G:H,2,0)</f>
        <v/>
      </c>
      <c r="C1694" t="inlineStr">
        <is>
          <t>ONLINE</t>
        </is>
      </c>
      <c r="G1694" s="34">
        <f>VLOOKUP(Table4[[#This Row],[AGEN ID]],Reseller!A:E,5,0)</f>
        <v/>
      </c>
    </row>
    <row r="1695">
      <c r="A1695" s="32" t="inlineStr">
        <is>
          <t>OP20236</t>
        </is>
      </c>
      <c r="B1695">
        <f>VLOOKUP(A1695,Reseller!G:H,2,0)</f>
        <v/>
      </c>
      <c r="C1695" t="inlineStr">
        <is>
          <t>ONLINE</t>
        </is>
      </c>
      <c r="G1695" s="34">
        <f>VLOOKUP(Table4[[#This Row],[AGEN ID]],Reseller!A:E,5,0)</f>
        <v/>
      </c>
    </row>
    <row r="1696">
      <c r="A1696" s="32" t="inlineStr">
        <is>
          <t>OP20246</t>
        </is>
      </c>
      <c r="B1696">
        <f>VLOOKUP(A1696,Reseller!G:H,2,0)</f>
        <v/>
      </c>
      <c r="C1696" t="inlineStr">
        <is>
          <t>ONLINE</t>
        </is>
      </c>
      <c r="G1696" s="34">
        <f>VLOOKUP(Table4[[#This Row],[AGEN ID]],Reseller!A:E,5,0)</f>
        <v/>
      </c>
    </row>
    <row r="1697">
      <c r="A1697" s="32" t="inlineStr">
        <is>
          <t>OP20208</t>
        </is>
      </c>
      <c r="B1697">
        <f>VLOOKUP(A1697,Reseller!G:H,2,0)</f>
        <v/>
      </c>
      <c r="C1697" t="inlineStr">
        <is>
          <t>ONLINE</t>
        </is>
      </c>
      <c r="G1697" s="34">
        <f>VLOOKUP(Table4[[#This Row],[AGEN ID]],Reseller!A:E,5,0)</f>
        <v/>
      </c>
    </row>
    <row r="1698">
      <c r="A1698" s="32" t="inlineStr">
        <is>
          <t>OP20243</t>
        </is>
      </c>
      <c r="B1698">
        <f>VLOOKUP(A1698,Reseller!G:H,2,0)</f>
        <v/>
      </c>
      <c r="C1698" t="inlineStr">
        <is>
          <t>ONLINE</t>
        </is>
      </c>
      <c r="G1698" s="34">
        <f>VLOOKUP(Table4[[#This Row],[AGEN ID]],Reseller!A:E,5,0)</f>
        <v/>
      </c>
    </row>
    <row r="1699">
      <c r="A1699" s="32" t="inlineStr">
        <is>
          <t>OP20249</t>
        </is>
      </c>
      <c r="B1699">
        <f>VLOOKUP(A1699,Reseller!G:H,2,0)</f>
        <v/>
      </c>
      <c r="C1699" t="inlineStr">
        <is>
          <t>ONLINE</t>
        </is>
      </c>
      <c r="G1699" s="34">
        <f>VLOOKUP(Table4[[#This Row],[AGEN ID]],Reseller!A:E,5,0)</f>
        <v/>
      </c>
    </row>
    <row r="1700">
      <c r="A1700" s="32" t="inlineStr">
        <is>
          <t>OP20252</t>
        </is>
      </c>
      <c r="B1700">
        <f>VLOOKUP(A1700,Reseller!G:H,2,0)</f>
        <v/>
      </c>
      <c r="C1700" t="inlineStr">
        <is>
          <t>ONLINE</t>
        </is>
      </c>
      <c r="G1700" s="34">
        <f>VLOOKUP(Table4[[#This Row],[AGEN ID]],Reseller!A:E,5,0)</f>
        <v/>
      </c>
    </row>
    <row r="1701">
      <c r="A1701" s="32" t="inlineStr">
        <is>
          <t>OP20247</t>
        </is>
      </c>
      <c r="B1701">
        <f>VLOOKUP(A1701,Reseller!G:H,2,0)</f>
        <v/>
      </c>
      <c r="C1701" t="inlineStr">
        <is>
          <t>ONLINE</t>
        </is>
      </c>
      <c r="G1701" s="34">
        <f>VLOOKUP(Table4[[#This Row],[AGEN ID]],Reseller!A:E,5,0)</f>
        <v/>
      </c>
    </row>
    <row r="1702">
      <c r="A1702" s="32" t="inlineStr">
        <is>
          <t>OP20253</t>
        </is>
      </c>
      <c r="B1702">
        <f>VLOOKUP(A1702,Reseller!G:H,2,0)</f>
        <v/>
      </c>
      <c r="C1702" t="inlineStr">
        <is>
          <t>ONLINE</t>
        </is>
      </c>
      <c r="G1702" s="34">
        <f>VLOOKUP(Table4[[#This Row],[AGEN ID]],Reseller!A:E,5,0)</f>
        <v/>
      </c>
    </row>
    <row r="1703">
      <c r="A1703" s="5" t="inlineStr">
        <is>
          <t>OP19727</t>
        </is>
      </c>
      <c r="B1703">
        <f>VLOOKUP(A1703,Reseller!G:H,2,0)</f>
        <v/>
      </c>
      <c r="C1703" t="inlineStr">
        <is>
          <t>ONLINE</t>
        </is>
      </c>
      <c r="G1703" s="34">
        <f>VLOOKUP(Table4[[#This Row],[AGEN ID]],Reseller!A:E,5,0)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Lisa Mutiara</dc:creator>
  <dcterms:created xsi:type="dcterms:W3CDTF">2015-06-05T18:17:20Z</dcterms:created>
  <dcterms:modified xsi:type="dcterms:W3CDTF">2026-10-05T07:38:59Z</dcterms:modified>
  <cp:lastModifiedBy>Pasha</cp:lastModifiedBy>
</cp:coreProperties>
</file>